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neatcom-my.sharepoint.com/personal/shirdn_neat-tech_com/Documents/CRM/"/>
    </mc:Choice>
  </mc:AlternateContent>
  <xr:revisionPtr revIDLastSave="434" documentId="13_ncr:1_{DCD72BA1-8AE3-45FE-8703-6F668E1A2E41}" xr6:coauthVersionLast="47" xr6:coauthVersionMax="47" xr10:uidLastSave="{DCE56280-C604-CF49-8E93-B19754184796}"/>
  <bookViews>
    <workbookView xWindow="0" yWindow="600" windowWidth="33600" windowHeight="20400" tabRatio="500" activeTab="4" xr2:uid="{00000000-000D-0000-FFFF-FFFF00000000}"/>
  </bookViews>
  <sheets>
    <sheet name="Lists" sheetId="1" r:id="rId1"/>
    <sheet name="Next Actions" sheetId="6" state="hidden" r:id="rId2"/>
    <sheet name="Companies" sheetId="2" r:id="rId3"/>
    <sheet name="Contacts" sheetId="3" r:id="rId4"/>
    <sheet name="Outreach Log" sheetId="4" r:id="rId5"/>
  </sheets>
  <definedNames>
    <definedName name="ExternalData_1" localSheetId="1" hidden="1">'Next Actions'!$B$3:$K$7</definedName>
    <definedName name="LeadTypeList">Lists!$4:$4</definedName>
    <definedName name="SourceList">Lists!$3:$3</definedName>
    <definedName name="StageList">Lists!$A$1:$I$1</definedName>
    <definedName name="TypeList">Lists!$A$2:$F$2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80" i="4" l="1"/>
  <c r="E480" i="4"/>
  <c r="A480" i="4"/>
  <c r="L480"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A303" i="4"/>
  <c r="A304" i="4"/>
  <c r="D303" i="4"/>
  <c r="D304" i="4"/>
  <c r="E303" i="4"/>
  <c r="E304" i="4"/>
  <c r="L303" i="4"/>
  <c r="L304" i="4"/>
  <c r="K657" i="3" a="1"/>
  <c r="K657" i="3" s="1"/>
  <c r="N657" i="3"/>
  <c r="K656" i="3" a="1"/>
  <c r="K656" i="3" s="1"/>
  <c r="N656" i="3"/>
  <c r="A657" i="3"/>
  <c r="A656" i="3"/>
  <c r="A526" i="2"/>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35" i="4"/>
  <c r="E236" i="4"/>
  <c r="E237" i="4"/>
  <c r="E231" i="4"/>
  <c r="E238" i="4"/>
  <c r="E225" i="4"/>
  <c r="E226" i="4"/>
  <c r="E239" i="4"/>
  <c r="E240" i="4"/>
  <c r="E241" i="4"/>
  <c r="E242" i="4"/>
  <c r="E243" i="4"/>
  <c r="E244" i="4"/>
  <c r="E245" i="4"/>
  <c r="E246" i="4"/>
  <c r="E247" i="4"/>
  <c r="E248" i="4"/>
  <c r="E249" i="4"/>
  <c r="E250" i="4"/>
  <c r="E251" i="4"/>
  <c r="E252" i="4"/>
  <c r="E253" i="4"/>
  <c r="E254" i="4"/>
  <c r="E255" i="4"/>
  <c r="E256" i="4"/>
  <c r="E232" i="4"/>
  <c r="E227" i="4"/>
  <c r="E228"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229" i="4"/>
  <c r="E230" i="4"/>
  <c r="E300" i="4"/>
  <c r="E301" i="4"/>
  <c r="E302" i="4"/>
  <c r="E233" i="4"/>
  <c r="E234"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35" i="4"/>
  <c r="D236" i="4"/>
  <c r="D237" i="4"/>
  <c r="D231" i="4"/>
  <c r="D238" i="4"/>
  <c r="D225" i="4"/>
  <c r="D226" i="4"/>
  <c r="D239" i="4"/>
  <c r="D240" i="4"/>
  <c r="D241" i="4"/>
  <c r="D242" i="4"/>
  <c r="D243" i="4"/>
  <c r="D244" i="4"/>
  <c r="D245" i="4"/>
  <c r="D246" i="4"/>
  <c r="D247" i="4"/>
  <c r="D248" i="4"/>
  <c r="D249" i="4"/>
  <c r="D250" i="4"/>
  <c r="D251" i="4"/>
  <c r="D252" i="4"/>
  <c r="D253" i="4"/>
  <c r="D254" i="4"/>
  <c r="D255" i="4"/>
  <c r="D256" i="4"/>
  <c r="D232" i="4"/>
  <c r="D227" i="4"/>
  <c r="D228"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229" i="4"/>
  <c r="D230" i="4"/>
  <c r="D300" i="4"/>
  <c r="D301" i="4"/>
  <c r="D302" i="4"/>
  <c r="D233" i="4"/>
  <c r="D234" i="4"/>
  <c r="A234" i="4"/>
  <c r="L234" i="4"/>
  <c r="N655" i="3"/>
  <c r="K655" i="3" a="1"/>
  <c r="K655" i="3" s="1"/>
  <c r="A655" i="3"/>
  <c r="A233" i="4"/>
  <c r="L233" i="4"/>
  <c r="A26" i="3"/>
  <c r="K26" i="3" a="1"/>
  <c r="K26" i="3" s="1"/>
  <c r="N26" i="3"/>
  <c r="A232" i="4"/>
  <c r="A225" i="4"/>
  <c r="A226" i="4"/>
  <c r="A239" i="4"/>
  <c r="A240" i="4"/>
  <c r="A241" i="4"/>
  <c r="A242" i="4"/>
  <c r="A243" i="4"/>
  <c r="A244" i="4"/>
  <c r="A245" i="4"/>
  <c r="A246" i="4"/>
  <c r="A247" i="4"/>
  <c r="A248" i="4"/>
  <c r="A249" i="4"/>
  <c r="A250" i="4"/>
  <c r="A251" i="4"/>
  <c r="A252" i="4"/>
  <c r="A253" i="4"/>
  <c r="A254" i="4"/>
  <c r="A255" i="4"/>
  <c r="A256" i="4"/>
  <c r="A227" i="4"/>
  <c r="A228"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229" i="4"/>
  <c r="A230" i="4"/>
  <c r="A300" i="4"/>
  <c r="A301" i="4"/>
  <c r="A302" i="4"/>
  <c r="L225" i="4"/>
  <c r="L226" i="4"/>
  <c r="L239" i="4"/>
  <c r="L240" i="4"/>
  <c r="L241" i="4"/>
  <c r="L242" i="4"/>
  <c r="L243" i="4"/>
  <c r="L244" i="4"/>
  <c r="L245" i="4"/>
  <c r="L246" i="4"/>
  <c r="L247" i="4"/>
  <c r="L248" i="4"/>
  <c r="L249" i="4"/>
  <c r="L250" i="4"/>
  <c r="L251" i="4"/>
  <c r="L252" i="4"/>
  <c r="L253" i="4"/>
  <c r="L254" i="4"/>
  <c r="L255" i="4"/>
  <c r="L256" i="4"/>
  <c r="L232" i="4"/>
  <c r="L227" i="4"/>
  <c r="L228"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229" i="4"/>
  <c r="L230" i="4"/>
  <c r="L300" i="4"/>
  <c r="L301" i="4"/>
  <c r="L302" i="4"/>
  <c r="B672" i="3"/>
  <c r="A672" i="3" s="1"/>
  <c r="B711" i="3"/>
  <c r="A711" i="3" s="1"/>
  <c r="B674" i="3"/>
  <c r="A674" i="3" s="1"/>
  <c r="K643" i="3" a="1"/>
  <c r="K643" i="3" s="1"/>
  <c r="N643" i="3"/>
  <c r="K524" i="3" a="1"/>
  <c r="K524" i="3" s="1"/>
  <c r="N524" i="3"/>
  <c r="K574" i="3" a="1"/>
  <c r="K574" i="3" s="1"/>
  <c r="N574" i="3"/>
  <c r="K212" i="3" a="1"/>
  <c r="K212" i="3" s="1"/>
  <c r="N212" i="3"/>
  <c r="K463" i="3" a="1"/>
  <c r="K463" i="3" s="1"/>
  <c r="N463" i="3"/>
  <c r="K468" i="3" a="1"/>
  <c r="K468" i="3" s="1"/>
  <c r="N468" i="3"/>
  <c r="K386" i="3" a="1"/>
  <c r="K386" i="3" s="1"/>
  <c r="N386" i="3"/>
  <c r="K611" i="3" a="1"/>
  <c r="K611" i="3" s="1"/>
  <c r="N611" i="3"/>
  <c r="K590" i="3" a="1"/>
  <c r="K590" i="3" s="1"/>
  <c r="N590" i="3"/>
  <c r="K612" i="3" a="1"/>
  <c r="K612" i="3" s="1"/>
  <c r="N612" i="3"/>
  <c r="K560" i="3" a="1"/>
  <c r="K560" i="3" s="1"/>
  <c r="N560" i="3"/>
  <c r="K510" i="3" a="1"/>
  <c r="K510" i="3" s="1"/>
  <c r="N510" i="3"/>
  <c r="K472" i="3" a="1"/>
  <c r="K472" i="3" s="1"/>
  <c r="N472" i="3"/>
  <c r="K434" i="3" a="1"/>
  <c r="K434" i="3" s="1"/>
  <c r="N434" i="3"/>
  <c r="K547" i="3" a="1"/>
  <c r="K547" i="3" s="1"/>
  <c r="N547" i="3"/>
  <c r="K48" i="3" a="1"/>
  <c r="K48" i="3" s="1"/>
  <c r="N48" i="3"/>
  <c r="K579" i="3" a="1"/>
  <c r="K579" i="3" s="1"/>
  <c r="N579" i="3"/>
  <c r="K474" i="3" a="1"/>
  <c r="K474" i="3" s="1"/>
  <c r="N474" i="3"/>
  <c r="K400" i="3" a="1"/>
  <c r="K400" i="3" s="1"/>
  <c r="N400" i="3"/>
  <c r="K412" i="3" a="1"/>
  <c r="K412" i="3" s="1"/>
  <c r="N412" i="3"/>
  <c r="K563" i="3" a="1"/>
  <c r="K563" i="3" s="1"/>
  <c r="N563" i="3"/>
  <c r="K70" i="3" a="1"/>
  <c r="K70" i="3" s="1"/>
  <c r="N70" i="3"/>
  <c r="K636" i="3" a="1"/>
  <c r="K636" i="3" s="1"/>
  <c r="N636" i="3"/>
  <c r="K514" i="3" a="1"/>
  <c r="K514" i="3" s="1"/>
  <c r="N514" i="3"/>
  <c r="K518" i="3" a="1"/>
  <c r="K518" i="3" s="1"/>
  <c r="N518" i="3"/>
  <c r="K625" i="3" a="1"/>
  <c r="K625" i="3" s="1"/>
  <c r="N625" i="3"/>
  <c r="K365" i="3" a="1"/>
  <c r="K365" i="3" s="1"/>
  <c r="N365" i="3"/>
  <c r="K220" i="3" a="1"/>
  <c r="K220" i="3" s="1"/>
  <c r="N220" i="3"/>
  <c r="K236" i="3" a="1"/>
  <c r="K236" i="3" s="1"/>
  <c r="N236" i="3"/>
  <c r="K401" i="3" a="1"/>
  <c r="K401" i="3" s="1"/>
  <c r="N401" i="3"/>
  <c r="K347" i="3" a="1"/>
  <c r="K347" i="3" s="1"/>
  <c r="N347" i="3"/>
  <c r="K516" i="3" a="1"/>
  <c r="K516" i="3" s="1"/>
  <c r="N516" i="3"/>
  <c r="K446" i="3" a="1"/>
  <c r="K446" i="3" s="1"/>
  <c r="N446" i="3"/>
  <c r="K580" i="3" a="1"/>
  <c r="K580" i="3" s="1"/>
  <c r="N580" i="3"/>
  <c r="K109" i="3" a="1"/>
  <c r="K109" i="3" s="1"/>
  <c r="N109" i="3"/>
  <c r="K207" i="3" a="1"/>
  <c r="K207" i="3" s="1"/>
  <c r="N207" i="3"/>
  <c r="K27" i="3" a="1"/>
  <c r="K27" i="3" s="1"/>
  <c r="N27" i="3"/>
  <c r="K644" i="3" a="1"/>
  <c r="K644" i="3" s="1"/>
  <c r="N644" i="3"/>
  <c r="K411" i="3" a="1"/>
  <c r="K411" i="3" s="1"/>
  <c r="N411" i="3"/>
  <c r="K617" i="3" a="1"/>
  <c r="K617" i="3" s="1"/>
  <c r="N617" i="3"/>
  <c r="K639" i="3" a="1"/>
  <c r="K639" i="3" s="1"/>
  <c r="N639" i="3"/>
  <c r="K628" i="3" a="1"/>
  <c r="K628" i="3" s="1"/>
  <c r="N628" i="3"/>
  <c r="K515" i="3" a="1"/>
  <c r="K515" i="3" s="1"/>
  <c r="N515" i="3"/>
  <c r="K456" i="3" a="1"/>
  <c r="K456" i="3" s="1"/>
  <c r="N456" i="3"/>
  <c r="K573" i="3" a="1"/>
  <c r="K573" i="3" s="1"/>
  <c r="N573" i="3"/>
  <c r="K531" i="3" a="1"/>
  <c r="K531" i="3" s="1"/>
  <c r="N531" i="3"/>
  <c r="K544" i="3" a="1"/>
  <c r="K544" i="3" s="1"/>
  <c r="N544" i="3"/>
  <c r="K585" i="3" a="1"/>
  <c r="K585" i="3" s="1"/>
  <c r="N585" i="3"/>
  <c r="K266" i="3" a="1"/>
  <c r="K266" i="3" s="1"/>
  <c r="N266" i="3"/>
  <c r="K633" i="3" a="1"/>
  <c r="K633" i="3" s="1"/>
  <c r="N633" i="3"/>
  <c r="K414" i="3" a="1"/>
  <c r="K414" i="3" s="1"/>
  <c r="N414" i="3"/>
  <c r="K631" i="3" a="1"/>
  <c r="K631" i="3" s="1"/>
  <c r="N631" i="3"/>
  <c r="K399" i="3" a="1"/>
  <c r="K399" i="3" s="1"/>
  <c r="N399" i="3"/>
  <c r="K642" i="3" a="1"/>
  <c r="K642" i="3" s="1"/>
  <c r="N642" i="3"/>
  <c r="K452" i="3" a="1"/>
  <c r="K452" i="3" s="1"/>
  <c r="N452" i="3"/>
  <c r="K587" i="3" a="1"/>
  <c r="K587" i="3" s="1"/>
  <c r="N587" i="3"/>
  <c r="K469" i="3" a="1"/>
  <c r="K469" i="3" s="1"/>
  <c r="N469" i="3"/>
  <c r="K475" i="3" a="1"/>
  <c r="K475" i="3" s="1"/>
  <c r="N475" i="3"/>
  <c r="K568" i="3" a="1"/>
  <c r="K568" i="3" s="1"/>
  <c r="N568" i="3"/>
  <c r="A643" i="3"/>
  <c r="A524" i="3"/>
  <c r="A574" i="3"/>
  <c r="A212" i="3"/>
  <c r="A463" i="3"/>
  <c r="A468" i="3"/>
  <c r="A386" i="3"/>
  <c r="A611" i="3"/>
  <c r="A590" i="3"/>
  <c r="A612" i="3"/>
  <c r="A560" i="3"/>
  <c r="A510" i="3"/>
  <c r="A472" i="3"/>
  <c r="A434" i="3"/>
  <c r="A547" i="3"/>
  <c r="A48" i="3"/>
  <c r="A579" i="3"/>
  <c r="A474" i="3"/>
  <c r="A400" i="3"/>
  <c r="A412" i="3"/>
  <c r="A563" i="3"/>
  <c r="A70" i="3"/>
  <c r="A636" i="3"/>
  <c r="A514" i="3"/>
  <c r="A518" i="3"/>
  <c r="A625" i="3"/>
  <c r="A365" i="3"/>
  <c r="A220" i="3"/>
  <c r="A236" i="3"/>
  <c r="A401" i="3"/>
  <c r="A347" i="3"/>
  <c r="A516" i="3"/>
  <c r="A446" i="3"/>
  <c r="A580" i="3"/>
  <c r="A109" i="3"/>
  <c r="A207" i="3"/>
  <c r="A27" i="3"/>
  <c r="A644" i="3"/>
  <c r="A411" i="3"/>
  <c r="A617" i="3"/>
  <c r="A639" i="3"/>
  <c r="A628" i="3"/>
  <c r="A515" i="3"/>
  <c r="A456" i="3"/>
  <c r="A573" i="3"/>
  <c r="A531" i="3"/>
  <c r="A544" i="3"/>
  <c r="A585" i="3"/>
  <c r="A266" i="3"/>
  <c r="A633" i="3"/>
  <c r="A414" i="3"/>
  <c r="A631" i="3"/>
  <c r="A399" i="3"/>
  <c r="A642" i="3"/>
  <c r="A452" i="3"/>
  <c r="A587" i="3"/>
  <c r="A469" i="3"/>
  <c r="A475" i="3"/>
  <c r="A568" i="3"/>
  <c r="A108" i="2"/>
  <c r="A157" i="2"/>
  <c r="A109" i="2"/>
  <c r="A171" i="2"/>
  <c r="A110" i="2"/>
  <c r="A111" i="2"/>
  <c r="A112" i="2"/>
  <c r="A205" i="2"/>
  <c r="A207" i="2"/>
  <c r="A113" i="2"/>
  <c r="A114" i="2"/>
  <c r="A230" i="2"/>
  <c r="A115" i="2"/>
  <c r="A116" i="2"/>
  <c r="A237" i="2"/>
  <c r="A244" i="2"/>
  <c r="A118" i="2"/>
  <c r="A119" i="2"/>
  <c r="A265" i="2"/>
  <c r="A123" i="2"/>
  <c r="A273" i="2"/>
  <c r="A282" i="2"/>
  <c r="A124" i="2"/>
  <c r="A289" i="2"/>
  <c r="A125" i="2"/>
  <c r="A126" i="2"/>
  <c r="A314" i="2"/>
  <c r="A127" i="2"/>
  <c r="A320" i="2"/>
  <c r="A326" i="2"/>
  <c r="A333" i="2"/>
  <c r="A128" i="2"/>
  <c r="A129" i="2"/>
  <c r="A335" i="2"/>
  <c r="A338" i="2"/>
  <c r="A340" i="2"/>
  <c r="A352" i="2"/>
  <c r="A353" i="2"/>
  <c r="A354" i="2"/>
  <c r="A131" i="2"/>
  <c r="A365" i="2"/>
  <c r="A369" i="2"/>
  <c r="A132" i="2"/>
  <c r="A373" i="2"/>
  <c r="A382" i="2"/>
  <c r="A384" i="2"/>
  <c r="A133" i="2"/>
  <c r="A134" i="2"/>
  <c r="A407" i="2"/>
  <c r="A415" i="2"/>
  <c r="A418" i="2"/>
  <c r="A76" i="2"/>
  <c r="A424" i="2"/>
  <c r="A438" i="2"/>
  <c r="A442" i="2"/>
  <c r="A445" i="2"/>
  <c r="A138" i="2"/>
  <c r="A139" i="2"/>
  <c r="A449" i="2"/>
  <c r="A453" i="2"/>
  <c r="A140" i="2"/>
  <c r="A141" i="2"/>
  <c r="A462" i="2"/>
  <c r="A476" i="2"/>
  <c r="A483" i="2"/>
  <c r="A484" i="2"/>
  <c r="A492" i="2"/>
  <c r="A493" i="2"/>
  <c r="A494" i="2"/>
  <c r="A520" i="2"/>
  <c r="A521" i="2"/>
  <c r="A146" i="2"/>
  <c r="A238" i="4"/>
  <c r="L238" i="4"/>
  <c r="A231" i="4"/>
  <c r="L231" i="4"/>
  <c r="A5" i="6"/>
  <c r="A6" i="6"/>
  <c r="A7" i="6"/>
  <c r="A4" i="6"/>
  <c r="L5" i="6"/>
  <c r="L6" i="6"/>
  <c r="L7" i="6"/>
  <c r="L4" i="6"/>
  <c r="M5" i="6"/>
  <c r="M6" i="6"/>
  <c r="M7" i="6"/>
  <c r="M4" i="6"/>
  <c r="K660" i="3" a="1"/>
  <c r="K660" i="3" s="1"/>
  <c r="N660" i="3"/>
  <c r="K187" i="3" a="1"/>
  <c r="K187" i="3" s="1"/>
  <c r="N187" i="3"/>
  <c r="K46" i="3" a="1"/>
  <c r="K46" i="3" s="1"/>
  <c r="N46" i="3"/>
  <c r="K336" i="3" a="1"/>
  <c r="K336" i="3" s="1"/>
  <c r="N336" i="3"/>
  <c r="K352" i="3" a="1"/>
  <c r="K352" i="3" s="1"/>
  <c r="N352" i="3"/>
  <c r="K142" i="3" a="1"/>
  <c r="K142" i="3" s="1"/>
  <c r="N142" i="3"/>
  <c r="K61" i="3" a="1"/>
  <c r="K61" i="3" s="1"/>
  <c r="N61" i="3"/>
  <c r="K29" i="3" a="1"/>
  <c r="K29" i="3" s="1"/>
  <c r="N29" i="3"/>
  <c r="K179" i="3" a="1"/>
  <c r="K179" i="3" s="1"/>
  <c r="N179" i="3"/>
  <c r="K85" i="3" a="1"/>
  <c r="K85" i="3" s="1"/>
  <c r="N85" i="3"/>
  <c r="K149" i="3" a="1"/>
  <c r="K149" i="3" s="1"/>
  <c r="N149" i="3"/>
  <c r="K361" i="3" a="1"/>
  <c r="K361" i="3" s="1"/>
  <c r="N361" i="3"/>
  <c r="K357" i="3" a="1"/>
  <c r="K357" i="3" s="1"/>
  <c r="N357" i="3"/>
  <c r="K273" i="3" a="1"/>
  <c r="K273" i="3" s="1"/>
  <c r="N273" i="3"/>
  <c r="K283" i="3" a="1"/>
  <c r="K283" i="3" s="1"/>
  <c r="N283" i="3"/>
  <c r="K676" i="3" a="1"/>
  <c r="K676" i="3" s="1"/>
  <c r="N676" i="3"/>
  <c r="K683" i="3" a="1"/>
  <c r="K683" i="3" s="1"/>
  <c r="N683" i="3"/>
  <c r="K696" i="3" a="1"/>
  <c r="K696" i="3" s="1"/>
  <c r="N696" i="3"/>
  <c r="K688" i="3" a="1"/>
  <c r="K688" i="3" s="1"/>
  <c r="N688" i="3"/>
  <c r="K700" i="3" a="1"/>
  <c r="K700" i="3" s="1"/>
  <c r="N700" i="3"/>
  <c r="K716" i="3" a="1"/>
  <c r="K716" i="3" s="1"/>
  <c r="N716" i="3"/>
  <c r="K673" i="3" a="1"/>
  <c r="K673" i="3" s="1"/>
  <c r="N673" i="3"/>
  <c r="K667" i="3" a="1"/>
  <c r="K667" i="3" s="1"/>
  <c r="N667" i="3"/>
  <c r="K691" i="3" a="1"/>
  <c r="K691" i="3" s="1"/>
  <c r="N691" i="3"/>
  <c r="K712" i="3" a="1"/>
  <c r="K712" i="3" s="1"/>
  <c r="N712" i="3"/>
  <c r="K690" i="3" a="1"/>
  <c r="K690" i="3" s="1"/>
  <c r="N690" i="3"/>
  <c r="K704" i="3" a="1"/>
  <c r="K704" i="3" s="1"/>
  <c r="N704" i="3"/>
  <c r="K699" i="3" a="1"/>
  <c r="K699" i="3" s="1"/>
  <c r="N699" i="3"/>
  <c r="K671" i="3" a="1"/>
  <c r="K671" i="3" s="1"/>
  <c r="N671" i="3"/>
  <c r="K709" i="3" a="1"/>
  <c r="K709" i="3" s="1"/>
  <c r="N709" i="3"/>
  <c r="K693" i="3" a="1"/>
  <c r="K693" i="3" s="1"/>
  <c r="N693" i="3"/>
  <c r="K684" i="3" a="1"/>
  <c r="K684" i="3" s="1"/>
  <c r="N684" i="3"/>
  <c r="K689" i="3" a="1"/>
  <c r="K689" i="3" s="1"/>
  <c r="N689" i="3"/>
  <c r="K686" i="3" a="1"/>
  <c r="K686" i="3" s="1"/>
  <c r="N686" i="3"/>
  <c r="K680" i="3" a="1"/>
  <c r="K680" i="3" s="1"/>
  <c r="N680" i="3"/>
  <c r="K663" i="3" a="1"/>
  <c r="K663" i="3" s="1"/>
  <c r="N663" i="3"/>
  <c r="K682" i="3" a="1"/>
  <c r="K682" i="3" s="1"/>
  <c r="N682" i="3"/>
  <c r="K664" i="3" a="1"/>
  <c r="K664" i="3" s="1"/>
  <c r="N664" i="3"/>
  <c r="K661" i="3" a="1"/>
  <c r="K661" i="3" s="1"/>
  <c r="N661" i="3"/>
  <c r="K666" i="3" a="1"/>
  <c r="K666" i="3" s="1"/>
  <c r="N666" i="3"/>
  <c r="K707" i="3" a="1"/>
  <c r="K707" i="3" s="1"/>
  <c r="N707" i="3"/>
  <c r="K670" i="3" a="1"/>
  <c r="K670" i="3" s="1"/>
  <c r="N670" i="3"/>
  <c r="K702" i="3" a="1"/>
  <c r="K702" i="3" s="1"/>
  <c r="N702" i="3"/>
  <c r="K708" i="3" a="1"/>
  <c r="K708" i="3" s="1"/>
  <c r="N708" i="3"/>
  <c r="K705" i="3" a="1"/>
  <c r="K705" i="3" s="1"/>
  <c r="N705" i="3"/>
  <c r="K678" i="3" a="1"/>
  <c r="K678" i="3" s="1"/>
  <c r="N678" i="3"/>
  <c r="K687" i="3" a="1"/>
  <c r="K687" i="3" s="1"/>
  <c r="N687" i="3"/>
  <c r="K679" i="3" a="1"/>
  <c r="K679" i="3" s="1"/>
  <c r="N679" i="3"/>
  <c r="K715" i="3" a="1"/>
  <c r="K715" i="3" s="1"/>
  <c r="N715" i="3"/>
  <c r="K675" i="3" a="1"/>
  <c r="K675" i="3" s="1"/>
  <c r="N675" i="3"/>
  <c r="K710" i="3" a="1"/>
  <c r="K710" i="3" s="1"/>
  <c r="N710" i="3"/>
  <c r="K662" i="3" a="1"/>
  <c r="K662" i="3" s="1"/>
  <c r="N662" i="3"/>
  <c r="K695" i="3" a="1"/>
  <c r="K695" i="3" s="1"/>
  <c r="N695" i="3"/>
  <c r="K698" i="3" a="1"/>
  <c r="K698" i="3" s="1"/>
  <c r="N698" i="3"/>
  <c r="K703" i="3" a="1"/>
  <c r="K703" i="3" s="1"/>
  <c r="N703" i="3"/>
  <c r="K714" i="3" a="1"/>
  <c r="K714" i="3" s="1"/>
  <c r="N714" i="3"/>
  <c r="K685" i="3" a="1"/>
  <c r="K685" i="3" s="1"/>
  <c r="N685" i="3"/>
  <c r="K701" i="3" a="1"/>
  <c r="K701" i="3" s="1"/>
  <c r="N701" i="3"/>
  <c r="K677" i="3" a="1"/>
  <c r="K677" i="3" s="1"/>
  <c r="N677" i="3"/>
  <c r="K692" i="3" a="1"/>
  <c r="K692" i="3" s="1"/>
  <c r="N692" i="3"/>
  <c r="K713" i="3" a="1"/>
  <c r="K713" i="3" s="1"/>
  <c r="N713" i="3"/>
  <c r="K706" i="3" a="1"/>
  <c r="K706" i="3" s="1"/>
  <c r="N706" i="3"/>
  <c r="K681" i="3" a="1"/>
  <c r="K681" i="3" s="1"/>
  <c r="N681" i="3"/>
  <c r="K665" i="3" a="1"/>
  <c r="K665" i="3" s="1"/>
  <c r="N665" i="3"/>
  <c r="K668" i="3" a="1"/>
  <c r="K668" i="3" s="1"/>
  <c r="N668" i="3"/>
  <c r="K669" i="3" a="1"/>
  <c r="K669" i="3" s="1"/>
  <c r="N669" i="3"/>
  <c r="K697" i="3" a="1"/>
  <c r="K697" i="3" s="1"/>
  <c r="N697" i="3"/>
  <c r="K694" i="3" a="1"/>
  <c r="K694" i="3" s="1"/>
  <c r="N694" i="3"/>
  <c r="K672" i="3" a="1"/>
  <c r="K672" i="3" s="1"/>
  <c r="N672" i="3"/>
  <c r="K711" i="3" a="1"/>
  <c r="K711" i="3" s="1"/>
  <c r="N711" i="3"/>
  <c r="K674" i="3" a="1"/>
  <c r="K674" i="3" s="1"/>
  <c r="N674" i="3"/>
  <c r="A676" i="3"/>
  <c r="A683" i="3"/>
  <c r="A696" i="3"/>
  <c r="A688" i="3"/>
  <c r="A700" i="3"/>
  <c r="A716" i="3"/>
  <c r="A673" i="3"/>
  <c r="A667" i="3"/>
  <c r="A691" i="3"/>
  <c r="A712" i="3"/>
  <c r="A690" i="3"/>
  <c r="A704" i="3"/>
  <c r="A699" i="3"/>
  <c r="A671" i="3"/>
  <c r="A709" i="3"/>
  <c r="A693" i="3"/>
  <c r="A684" i="3"/>
  <c r="A689" i="3"/>
  <c r="A686" i="3"/>
  <c r="A680" i="3"/>
  <c r="A663" i="3"/>
  <c r="A682" i="3"/>
  <c r="A664" i="3"/>
  <c r="A661" i="3"/>
  <c r="A666" i="3"/>
  <c r="A707" i="3"/>
  <c r="A670" i="3"/>
  <c r="A702" i="3"/>
  <c r="A708" i="3"/>
  <c r="A705" i="3"/>
  <c r="A678" i="3"/>
  <c r="A687" i="3"/>
  <c r="A679" i="3"/>
  <c r="A715" i="3"/>
  <c r="A675" i="3"/>
  <c r="A710" i="3"/>
  <c r="A662" i="3"/>
  <c r="A695" i="3"/>
  <c r="A698" i="3"/>
  <c r="A703" i="3"/>
  <c r="A714" i="3"/>
  <c r="A685" i="3"/>
  <c r="A701" i="3"/>
  <c r="A677" i="3"/>
  <c r="A692" i="3"/>
  <c r="A713" i="3"/>
  <c r="A706" i="3"/>
  <c r="A681" i="3"/>
  <c r="A665" i="3"/>
  <c r="A668" i="3"/>
  <c r="A669" i="3"/>
  <c r="A697" i="3"/>
  <c r="A694" i="3"/>
  <c r="A187" i="3"/>
  <c r="A46" i="3"/>
  <c r="A336" i="3"/>
  <c r="A352" i="3"/>
  <c r="A142" i="3"/>
  <c r="A61" i="3"/>
  <c r="A29" i="3"/>
  <c r="A179" i="3"/>
  <c r="A85" i="3"/>
  <c r="A149" i="3"/>
  <c r="A361" i="3"/>
  <c r="A357" i="3"/>
  <c r="A273" i="3"/>
  <c r="A283" i="3"/>
  <c r="A660" i="3"/>
  <c r="N172" i="3"/>
  <c r="N154" i="3"/>
  <c r="N63" i="3"/>
  <c r="K441" i="3" a="1"/>
  <c r="K441" i="3" s="1"/>
  <c r="N441" i="3"/>
  <c r="A441" i="3"/>
  <c r="A237" i="4"/>
  <c r="L237" i="4"/>
  <c r="A236" i="4"/>
  <c r="L236" i="4"/>
  <c r="A235" i="4"/>
  <c r="L235" i="4"/>
  <c r="K430" i="3" a="1"/>
  <c r="K430" i="3" s="1"/>
  <c r="K433" i="3" a="1"/>
  <c r="K433" i="3" s="1"/>
  <c r="K436" i="3" a="1"/>
  <c r="K436" i="3" s="1"/>
  <c r="K442" i="3" a="1"/>
  <c r="K442" i="3" s="1"/>
  <c r="K445" i="3" a="1"/>
  <c r="K445" i="3" s="1"/>
  <c r="K454" i="3" a="1"/>
  <c r="K454" i="3" s="1"/>
  <c r="K459" i="3" a="1"/>
  <c r="K459" i="3" s="1"/>
  <c r="K464" i="3" a="1"/>
  <c r="K464" i="3" s="1"/>
  <c r="K467" i="3" a="1"/>
  <c r="K467" i="3" s="1"/>
  <c r="K473" i="3" a="1"/>
  <c r="K473" i="3" s="1"/>
  <c r="K479" i="3" a="1"/>
  <c r="K479" i="3" s="1"/>
  <c r="K525" i="3" a="1"/>
  <c r="K525" i="3" s="1"/>
  <c r="K529" i="3" a="1"/>
  <c r="K529" i="3" s="1"/>
  <c r="K542" i="3" a="1"/>
  <c r="K542" i="3" s="1"/>
  <c r="K548" i="3" a="1"/>
  <c r="K548" i="3" s="1"/>
  <c r="K565" i="3" a="1"/>
  <c r="K565" i="3" s="1"/>
  <c r="K576" i="3" a="1"/>
  <c r="K576" i="3" s="1"/>
  <c r="K583" i="3" a="1"/>
  <c r="K583" i="3" s="1"/>
  <c r="K588" i="3" a="1"/>
  <c r="K588" i="3" s="1"/>
  <c r="K596" i="3" a="1"/>
  <c r="K596" i="3" s="1"/>
  <c r="K609" i="3" a="1"/>
  <c r="K609" i="3" s="1"/>
  <c r="K615" i="3" a="1"/>
  <c r="K615" i="3" s="1"/>
  <c r="K604" i="3" a="1"/>
  <c r="K604" i="3" s="1"/>
  <c r="K458" i="3" a="1"/>
  <c r="K458" i="3" s="1"/>
  <c r="K610" i="3" a="1"/>
  <c r="K610" i="3" s="1"/>
  <c r="K616" i="3" a="1"/>
  <c r="K616" i="3" s="1"/>
  <c r="K608" i="3" a="1"/>
  <c r="K608" i="3" s="1"/>
  <c r="K641" i="3" a="1"/>
  <c r="K641" i="3" s="1"/>
  <c r="K630" i="3" a="1"/>
  <c r="K630" i="3" s="1"/>
  <c r="K508" i="3" a="1"/>
  <c r="K508" i="3" s="1"/>
  <c r="K402" i="3" a="1"/>
  <c r="K402" i="3" s="1"/>
  <c r="K570" i="3" a="1"/>
  <c r="K570" i="3" s="1"/>
  <c r="K513" i="3" a="1"/>
  <c r="K513" i="3" s="1"/>
  <c r="K598" i="3" a="1"/>
  <c r="K598" i="3" s="1"/>
  <c r="K599" i="3" a="1"/>
  <c r="K599" i="3" s="1"/>
  <c r="K521" i="3" a="1"/>
  <c r="K521" i="3" s="1"/>
  <c r="K549" i="3" a="1"/>
  <c r="K549" i="3" s="1"/>
  <c r="K461" i="3" a="1"/>
  <c r="K461" i="3" s="1"/>
  <c r="K564" i="3" a="1"/>
  <c r="K564" i="3" s="1"/>
  <c r="K462" i="3" a="1"/>
  <c r="K462" i="3" s="1"/>
  <c r="K619" i="3" a="1"/>
  <c r="K619" i="3" s="1"/>
  <c r="K422" i="3" a="1"/>
  <c r="K422" i="3" s="1"/>
  <c r="K460" i="3" a="1"/>
  <c r="K460" i="3" s="1"/>
  <c r="K427" i="3" a="1"/>
  <c r="K427" i="3" s="1"/>
  <c r="K569" i="3" a="1"/>
  <c r="K569" i="3" s="1"/>
  <c r="K466" i="3" a="1"/>
  <c r="K466" i="3" s="1"/>
  <c r="K512" i="3" a="1"/>
  <c r="K512" i="3" s="1"/>
  <c r="K405" i="3" a="1"/>
  <c r="K405" i="3" s="1"/>
  <c r="K645" i="3" a="1"/>
  <c r="K645" i="3" s="1"/>
  <c r="K539" i="3" a="1"/>
  <c r="K539" i="3" s="1"/>
  <c r="K540" i="3" a="1"/>
  <c r="K540" i="3" s="1"/>
  <c r="K423" i="3" a="1"/>
  <c r="K423" i="3" s="1"/>
  <c r="K600" i="3" a="1"/>
  <c r="K600" i="3" s="1"/>
  <c r="K450" i="3" a="1"/>
  <c r="K450" i="3" s="1"/>
  <c r="K534" i="3" a="1"/>
  <c r="K534" i="3" s="1"/>
  <c r="K511" i="3" a="1"/>
  <c r="K511" i="3" s="1"/>
  <c r="K455" i="3" a="1"/>
  <c r="K455" i="3" s="1"/>
  <c r="K595" i="3" a="1"/>
  <c r="K595" i="3" s="1"/>
  <c r="K451" i="3" a="1"/>
  <c r="K451" i="3" s="1"/>
  <c r="K425" i="3" a="1"/>
  <c r="K425" i="3" s="1"/>
  <c r="K471" i="3" a="1"/>
  <c r="K471" i="3" s="1"/>
  <c r="K601" i="3" a="1"/>
  <c r="K601" i="3" s="1"/>
  <c r="K578" i="3" a="1"/>
  <c r="K578" i="3" s="1"/>
  <c r="K603" i="3" a="1"/>
  <c r="K603" i="3" s="1"/>
  <c r="K413" i="3" a="1"/>
  <c r="K413" i="3" s="1"/>
  <c r="K577" i="3" a="1"/>
  <c r="K577" i="3" s="1"/>
  <c r="K406" i="3" a="1"/>
  <c r="K406" i="3" s="1"/>
  <c r="K408" i="3" a="1"/>
  <c r="K408" i="3" s="1"/>
  <c r="K453" i="3" a="1"/>
  <c r="K453" i="3" s="1"/>
  <c r="K620" i="3" a="1"/>
  <c r="K620" i="3" s="1"/>
  <c r="K489" i="3" a="1"/>
  <c r="K489" i="3" s="1"/>
  <c r="K449" i="3" a="1"/>
  <c r="K449" i="3" s="1"/>
  <c r="K626" i="3" a="1"/>
  <c r="K626" i="3" s="1"/>
  <c r="K438" i="3" a="1"/>
  <c r="K438" i="3" s="1"/>
  <c r="K614" i="3" a="1"/>
  <c r="K614" i="3" s="1"/>
  <c r="K553" i="3" a="1"/>
  <c r="K553" i="3" s="1"/>
  <c r="K538" i="3" a="1"/>
  <c r="K538" i="3" s="1"/>
  <c r="K443" i="3" a="1"/>
  <c r="K443" i="3" s="1"/>
  <c r="K566" i="3" a="1"/>
  <c r="K566" i="3" s="1"/>
  <c r="K586" i="3" a="1"/>
  <c r="K586" i="3" s="1"/>
  <c r="K428" i="3" a="1"/>
  <c r="K428" i="3" s="1"/>
  <c r="K523" i="3" a="1"/>
  <c r="K523" i="3" s="1"/>
  <c r="K621" i="3" a="1"/>
  <c r="K621" i="3" s="1"/>
  <c r="K607" i="3" a="1"/>
  <c r="K607" i="3" s="1"/>
  <c r="K589" i="3" a="1"/>
  <c r="K589" i="3" s="1"/>
  <c r="K591" i="3" a="1"/>
  <c r="K591" i="3" s="1"/>
  <c r="K437" i="3" a="1"/>
  <c r="K437" i="3" s="1"/>
  <c r="K520" i="3" a="1"/>
  <c r="K520" i="3" s="1"/>
  <c r="K593" i="3" a="1"/>
  <c r="K593" i="3" s="1"/>
  <c r="K582" i="3" a="1"/>
  <c r="K582" i="3" s="1"/>
  <c r="K424" i="3" a="1"/>
  <c r="K424" i="3" s="1"/>
  <c r="K635" i="3" a="1"/>
  <c r="K635" i="3" s="1"/>
  <c r="K426" i="3" a="1"/>
  <c r="K426" i="3" s="1"/>
  <c r="K476" i="3" a="1"/>
  <c r="K476" i="3" s="1"/>
  <c r="K637" i="3" a="1"/>
  <c r="K637" i="3" s="1"/>
  <c r="K429" i="3" a="1"/>
  <c r="K429" i="3" s="1"/>
  <c r="K627" i="3" a="1"/>
  <c r="K627" i="3" s="1"/>
  <c r="K624" i="3" a="1"/>
  <c r="K624" i="3" s="1"/>
  <c r="K597" i="3" a="1"/>
  <c r="K597" i="3" s="1"/>
  <c r="K403" i="3" a="1"/>
  <c r="K403" i="3" s="1"/>
  <c r="K404" i="3" a="1"/>
  <c r="K404" i="3" s="1"/>
  <c r="K407" i="3" a="1"/>
  <c r="K407" i="3" s="1"/>
  <c r="K409" i="3" a="1"/>
  <c r="K409" i="3" s="1"/>
  <c r="K410" i="3" a="1"/>
  <c r="K410" i="3" s="1"/>
  <c r="K415" i="3" a="1"/>
  <c r="K415" i="3" s="1"/>
  <c r="K416" i="3" a="1"/>
  <c r="K416" i="3" s="1"/>
  <c r="K417" i="3" a="1"/>
  <c r="K417" i="3" s="1"/>
  <c r="K421" i="3" a="1"/>
  <c r="K421" i="3" s="1"/>
  <c r="K431" i="3" a="1"/>
  <c r="K431" i="3" s="1"/>
  <c r="K646" i="3" a="1"/>
  <c r="K646" i="3" s="1"/>
  <c r="K432" i="3" a="1"/>
  <c r="K432" i="3" s="1"/>
  <c r="K435" i="3" a="1"/>
  <c r="K435" i="3" s="1"/>
  <c r="K439" i="3" a="1"/>
  <c r="K439" i="3" s="1"/>
  <c r="K440" i="3" a="1"/>
  <c r="K440" i="3" s="1"/>
  <c r="K444" i="3" a="1"/>
  <c r="K444" i="3" s="1"/>
  <c r="K447" i="3" a="1"/>
  <c r="K447" i="3" s="1"/>
  <c r="K448" i="3" a="1"/>
  <c r="K448" i="3" s="1"/>
  <c r="K457" i="3" a="1"/>
  <c r="K457" i="3" s="1"/>
  <c r="K465" i="3" a="1"/>
  <c r="K465" i="3" s="1"/>
  <c r="K470" i="3" a="1"/>
  <c r="K470" i="3" s="1"/>
  <c r="K477" i="3" a="1"/>
  <c r="K477" i="3" s="1"/>
  <c r="K478" i="3" a="1"/>
  <c r="K478" i="3" s="1"/>
  <c r="K480" i="3" a="1"/>
  <c r="K480" i="3" s="1"/>
  <c r="K647" i="3" a="1"/>
  <c r="K647" i="3" s="1"/>
  <c r="K481" i="3" a="1"/>
  <c r="K481" i="3" s="1"/>
  <c r="K482" i="3" a="1"/>
  <c r="K482" i="3" s="1"/>
  <c r="K483" i="3" a="1"/>
  <c r="K483" i="3" s="1"/>
  <c r="K648" i="3" a="1"/>
  <c r="K648" i="3" s="1"/>
  <c r="K484" i="3" a="1"/>
  <c r="K484" i="3" s="1"/>
  <c r="K485" i="3" a="1"/>
  <c r="K485" i="3" s="1"/>
  <c r="K486" i="3" a="1"/>
  <c r="K486" i="3" s="1"/>
  <c r="K649" i="3" a="1"/>
  <c r="K649" i="3" s="1"/>
  <c r="K650" i="3" a="1"/>
  <c r="K650" i="3" s="1"/>
  <c r="K487" i="3" a="1"/>
  <c r="K487" i="3" s="1"/>
  <c r="K488" i="3" a="1"/>
  <c r="K488" i="3" s="1"/>
  <c r="K651" i="3" a="1"/>
  <c r="K651" i="3" s="1"/>
  <c r="K652" i="3" a="1"/>
  <c r="K652" i="3" s="1"/>
  <c r="K490" i="3" a="1"/>
  <c r="K490" i="3" s="1"/>
  <c r="K653" i="3" a="1"/>
  <c r="K653" i="3" s="1"/>
  <c r="K491" i="3" a="1"/>
  <c r="K491" i="3" s="1"/>
  <c r="K492" i="3" a="1"/>
  <c r="K492" i="3" s="1"/>
  <c r="K493" i="3" a="1"/>
  <c r="K493" i="3" s="1"/>
  <c r="K494" i="3" a="1"/>
  <c r="K494" i="3" s="1"/>
  <c r="K495" i="3" a="1"/>
  <c r="K495" i="3" s="1"/>
  <c r="K496" i="3" a="1"/>
  <c r="K496" i="3" s="1"/>
  <c r="K497" i="3" a="1"/>
  <c r="K497" i="3" s="1"/>
  <c r="K654" i="3" a="1"/>
  <c r="K654" i="3" s="1"/>
  <c r="K498" i="3" a="1"/>
  <c r="K498" i="3" s="1"/>
  <c r="K499" i="3" a="1"/>
  <c r="K499" i="3" s="1"/>
  <c r="K500" i="3" a="1"/>
  <c r="K500" i="3" s="1"/>
  <c r="K501" i="3" a="1"/>
  <c r="K501" i="3" s="1"/>
  <c r="K502" i="3" a="1"/>
  <c r="K502" i="3" s="1"/>
  <c r="K503" i="3" a="1"/>
  <c r="K503" i="3" s="1"/>
  <c r="K504" i="3" a="1"/>
  <c r="K504" i="3" s="1"/>
  <c r="K505" i="3" a="1"/>
  <c r="K505" i="3" s="1"/>
  <c r="K506" i="3" a="1"/>
  <c r="K506" i="3" s="1"/>
  <c r="K507" i="3" a="1"/>
  <c r="K507" i="3" s="1"/>
  <c r="K509" i="3" a="1"/>
  <c r="K509" i="3" s="1"/>
  <c r="K517" i="3" a="1"/>
  <c r="K517" i="3" s="1"/>
  <c r="K519" i="3" a="1"/>
  <c r="K519" i="3" s="1"/>
  <c r="K526" i="3" a="1"/>
  <c r="K526" i="3" s="1"/>
  <c r="K528" i="3" a="1"/>
  <c r="K528" i="3" s="1"/>
  <c r="K530" i="3" a="1"/>
  <c r="K530" i="3" s="1"/>
  <c r="K532" i="3" a="1"/>
  <c r="K532" i="3" s="1"/>
  <c r="K533" i="3" a="1"/>
  <c r="K533" i="3" s="1"/>
  <c r="K535" i="3" a="1"/>
  <c r="K535" i="3" s="1"/>
  <c r="K536" i="3" a="1"/>
  <c r="K536" i="3" s="1"/>
  <c r="K537" i="3" a="1"/>
  <c r="K537" i="3" s="1"/>
  <c r="K658" i="3" a="1"/>
  <c r="K658" i="3" s="1"/>
  <c r="K541" i="3" a="1"/>
  <c r="K541" i="3" s="1"/>
  <c r="K543" i="3" a="1"/>
  <c r="K543" i="3" s="1"/>
  <c r="K545" i="3" a="1"/>
  <c r="K545" i="3" s="1"/>
  <c r="K546" i="3" a="1"/>
  <c r="K546" i="3" s="1"/>
  <c r="K551" i="3" a="1"/>
  <c r="K551" i="3" s="1"/>
  <c r="K552" i="3" a="1"/>
  <c r="K552" i="3" s="1"/>
  <c r="K554" i="3" a="1"/>
  <c r="K554" i="3" s="1"/>
  <c r="K555" i="3" a="1"/>
  <c r="K555" i="3" s="1"/>
  <c r="K556" i="3" a="1"/>
  <c r="K556" i="3" s="1"/>
  <c r="K557" i="3" a="1"/>
  <c r="K557" i="3" s="1"/>
  <c r="K558" i="3" a="1"/>
  <c r="K558" i="3" s="1"/>
  <c r="K559" i="3" a="1"/>
  <c r="K559" i="3" s="1"/>
  <c r="K561" i="3" a="1"/>
  <c r="K561" i="3" s="1"/>
  <c r="K562" i="3" a="1"/>
  <c r="K562" i="3" s="1"/>
  <c r="K567" i="3" a="1"/>
  <c r="K567" i="3" s="1"/>
  <c r="K571" i="3" a="1"/>
  <c r="K571" i="3" s="1"/>
  <c r="K572" i="3" a="1"/>
  <c r="K572" i="3" s="1"/>
  <c r="K575" i="3" a="1"/>
  <c r="K575" i="3" s="1"/>
  <c r="K581" i="3" a="1"/>
  <c r="K581" i="3" s="1"/>
  <c r="K584" i="3" a="1"/>
  <c r="K584" i="3" s="1"/>
  <c r="K592" i="3" a="1"/>
  <c r="K592" i="3" s="1"/>
  <c r="K594" i="3" a="1"/>
  <c r="K594" i="3" s="1"/>
  <c r="K602" i="3" a="1"/>
  <c r="K602" i="3" s="1"/>
  <c r="K605" i="3" a="1"/>
  <c r="K605" i="3" s="1"/>
  <c r="K606" i="3" a="1"/>
  <c r="K606" i="3" s="1"/>
  <c r="K613" i="3" a="1"/>
  <c r="K613" i="3" s="1"/>
  <c r="K618" i="3" a="1"/>
  <c r="K618" i="3" s="1"/>
  <c r="K623" i="3" a="1"/>
  <c r="K623" i="3" s="1"/>
  <c r="K629" i="3" a="1"/>
  <c r="K629" i="3" s="1"/>
  <c r="K632" i="3" a="1"/>
  <c r="K632" i="3" s="1"/>
  <c r="K638" i="3" a="1"/>
  <c r="K638" i="3" s="1"/>
  <c r="K640" i="3" a="1"/>
  <c r="K640" i="3" s="1"/>
  <c r="K659" i="3" a="1"/>
  <c r="K659" i="3" s="1"/>
  <c r="K527" i="3" a="1"/>
  <c r="K527" i="3" s="1"/>
  <c r="K550" i="3" a="1"/>
  <c r="K550" i="3" s="1"/>
  <c r="K622" i="3" a="1"/>
  <c r="K622" i="3" s="1"/>
  <c r="K8" i="3" a="1"/>
  <c r="K8" i="3" s="1"/>
  <c r="K2" i="3" a="1"/>
  <c r="K2" i="3" s="1"/>
  <c r="K14" i="3" a="1"/>
  <c r="K14" i="3" s="1"/>
  <c r="K30" i="3" a="1"/>
  <c r="K30" i="3" s="1"/>
  <c r="K73" i="3" a="1"/>
  <c r="K73" i="3" s="1"/>
  <c r="K74" i="3" a="1"/>
  <c r="K74" i="3" s="1"/>
  <c r="K92" i="3" a="1"/>
  <c r="K92" i="3" s="1"/>
  <c r="K101" i="3" a="1"/>
  <c r="K101" i="3" s="1"/>
  <c r="K111" i="3" a="1"/>
  <c r="K111" i="3" s="1"/>
  <c r="K113" i="3" a="1"/>
  <c r="K113" i="3" s="1"/>
  <c r="K121" i="3" a="1"/>
  <c r="K121" i="3" s="1"/>
  <c r="K129" i="3" a="1"/>
  <c r="K129" i="3" s="1"/>
  <c r="K141" i="3" a="1"/>
  <c r="K141" i="3" s="1"/>
  <c r="K163" i="3" a="1"/>
  <c r="K163" i="3" s="1"/>
  <c r="K165" i="3" a="1"/>
  <c r="K165" i="3" s="1"/>
  <c r="K170" i="3" a="1"/>
  <c r="K170" i="3" s="1"/>
  <c r="K176" i="3" a="1"/>
  <c r="K176" i="3" s="1"/>
  <c r="K180" i="3" a="1"/>
  <c r="K180" i="3" s="1"/>
  <c r="K181" i="3" a="1"/>
  <c r="K181" i="3" s="1"/>
  <c r="K189" i="3" a="1"/>
  <c r="K189" i="3" s="1"/>
  <c r="K193" i="3" a="1"/>
  <c r="K193" i="3" s="1"/>
  <c r="K221" i="3" a="1"/>
  <c r="K221" i="3" s="1"/>
  <c r="K223" i="3" a="1"/>
  <c r="K223" i="3" s="1"/>
  <c r="K242" i="3" a="1"/>
  <c r="K242" i="3" s="1"/>
  <c r="K244" i="3" a="1"/>
  <c r="K244" i="3" s="1"/>
  <c r="K262" i="3" a="1"/>
  <c r="K262" i="3" s="1"/>
  <c r="K267" i="3" a="1"/>
  <c r="K267" i="3" s="1"/>
  <c r="K275" i="3" a="1"/>
  <c r="K275" i="3" s="1"/>
  <c r="K279" i="3" a="1"/>
  <c r="K279" i="3" s="1"/>
  <c r="K285" i="3" a="1"/>
  <c r="K285" i="3" s="1"/>
  <c r="K287" i="3" a="1"/>
  <c r="K287" i="3" s="1"/>
  <c r="K298" i="3" a="1"/>
  <c r="K298" i="3" s="1"/>
  <c r="K299" i="3" a="1"/>
  <c r="K299" i="3" s="1"/>
  <c r="K300" i="3" a="1"/>
  <c r="K300" i="3" s="1"/>
  <c r="K307" i="3" a="1"/>
  <c r="K307" i="3" s="1"/>
  <c r="K323" i="3" a="1"/>
  <c r="K323" i="3" s="1"/>
  <c r="K325" i="3" a="1"/>
  <c r="K325" i="3" s="1"/>
  <c r="K326" i="3" a="1"/>
  <c r="K326" i="3" s="1"/>
  <c r="K334" i="3" a="1"/>
  <c r="K334" i="3" s="1"/>
  <c r="K335" i="3" a="1"/>
  <c r="K335" i="3" s="1"/>
  <c r="K351" i="3" a="1"/>
  <c r="K351" i="3" s="1"/>
  <c r="K356" i="3" a="1"/>
  <c r="K356" i="3" s="1"/>
  <c r="K367" i="3" a="1"/>
  <c r="K367" i="3" s="1"/>
  <c r="K381" i="3" a="1"/>
  <c r="K381" i="3" s="1"/>
  <c r="K382" i="3" a="1"/>
  <c r="K382" i="3" s="1"/>
  <c r="K395" i="3" a="1"/>
  <c r="K395" i="3" s="1"/>
  <c r="K396" i="3" a="1"/>
  <c r="K396" i="3" s="1"/>
  <c r="K63" i="3" a="1"/>
  <c r="K63" i="3" s="1"/>
  <c r="K154" i="3" a="1"/>
  <c r="K154" i="3" s="1"/>
  <c r="K172" i="3" a="1"/>
  <c r="K172" i="3" s="1"/>
  <c r="K369" i="3" a="1"/>
  <c r="K369" i="3" s="1"/>
  <c r="K372" i="3" a="1"/>
  <c r="K372" i="3" s="1"/>
  <c r="K57" i="3" a="1"/>
  <c r="K57" i="3" s="1"/>
  <c r="K3" i="3" a="1"/>
  <c r="K3" i="3" s="1"/>
  <c r="K4" i="3" a="1"/>
  <c r="K4" i="3" s="1"/>
  <c r="K5" i="3" a="1"/>
  <c r="K5" i="3" s="1"/>
  <c r="K6" i="3" a="1"/>
  <c r="K6" i="3" s="1"/>
  <c r="K7" i="3" a="1"/>
  <c r="K7" i="3" s="1"/>
  <c r="K9" i="3" a="1"/>
  <c r="K9" i="3" s="1"/>
  <c r="K10" i="3" a="1"/>
  <c r="K10" i="3" s="1"/>
  <c r="K11" i="3" a="1"/>
  <c r="K11" i="3" s="1"/>
  <c r="K12" i="3" a="1"/>
  <c r="K12" i="3" s="1"/>
  <c r="K13" i="3" a="1"/>
  <c r="K13" i="3" s="1"/>
  <c r="K15" i="3" a="1"/>
  <c r="K15" i="3" s="1"/>
  <c r="K16" i="3" a="1"/>
  <c r="K16" i="3" s="1"/>
  <c r="K17" i="3" a="1"/>
  <c r="K17" i="3" s="1"/>
  <c r="K18" i="3" a="1"/>
  <c r="K18" i="3" s="1"/>
  <c r="K19" i="3" a="1"/>
  <c r="K19" i="3" s="1"/>
  <c r="K20" i="3" a="1"/>
  <c r="K20" i="3" s="1"/>
  <c r="K21" i="3" a="1"/>
  <c r="K21" i="3" s="1"/>
  <c r="K22" i="3" a="1"/>
  <c r="K22" i="3" s="1"/>
  <c r="K23" i="3" a="1"/>
  <c r="K23" i="3" s="1"/>
  <c r="K24" i="3" a="1"/>
  <c r="K24" i="3" s="1"/>
  <c r="K25" i="3" a="1"/>
  <c r="K25" i="3" s="1"/>
  <c r="K28" i="3" a="1"/>
  <c r="K28" i="3" s="1"/>
  <c r="K31" i="3" a="1"/>
  <c r="K31" i="3" s="1"/>
  <c r="K32" i="3" a="1"/>
  <c r="K32" i="3" s="1"/>
  <c r="K33" i="3" a="1"/>
  <c r="K33" i="3" s="1"/>
  <c r="K34" i="3" a="1"/>
  <c r="K34" i="3" s="1"/>
  <c r="K35" i="3" a="1"/>
  <c r="K35" i="3" s="1"/>
  <c r="K36" i="3" a="1"/>
  <c r="K36" i="3" s="1"/>
  <c r="K37" i="3" a="1"/>
  <c r="K37" i="3" s="1"/>
  <c r="K38" i="3" a="1"/>
  <c r="K38" i="3" s="1"/>
  <c r="K39" i="3" a="1"/>
  <c r="K39" i="3" s="1"/>
  <c r="K40" i="3" a="1"/>
  <c r="K40" i="3" s="1"/>
  <c r="K41" i="3" a="1"/>
  <c r="K41" i="3" s="1"/>
  <c r="K42" i="3" a="1"/>
  <c r="K42" i="3" s="1"/>
  <c r="K43" i="3" a="1"/>
  <c r="K43" i="3" s="1"/>
  <c r="K44" i="3" a="1"/>
  <c r="K44" i="3" s="1"/>
  <c r="K45" i="3" a="1"/>
  <c r="K45" i="3" s="1"/>
  <c r="K420" i="3" a="1"/>
  <c r="K420" i="3" s="1"/>
  <c r="K47" i="3" a="1"/>
  <c r="K47" i="3" s="1"/>
  <c r="K49" i="3" a="1"/>
  <c r="K49" i="3" s="1"/>
  <c r="K50" i="3" a="1"/>
  <c r="K50" i="3" s="1"/>
  <c r="K51" i="3" a="1"/>
  <c r="K51" i="3" s="1"/>
  <c r="K52" i="3" a="1"/>
  <c r="K52" i="3" s="1"/>
  <c r="K53" i="3" a="1"/>
  <c r="K53" i="3" s="1"/>
  <c r="K54" i="3" a="1"/>
  <c r="K54" i="3" s="1"/>
  <c r="K55" i="3" a="1"/>
  <c r="K55" i="3" s="1"/>
  <c r="K56" i="3" a="1"/>
  <c r="K56" i="3" s="1"/>
  <c r="K58" i="3" a="1"/>
  <c r="K58" i="3" s="1"/>
  <c r="K59" i="3" a="1"/>
  <c r="K59" i="3" s="1"/>
  <c r="K60" i="3" a="1"/>
  <c r="K60" i="3" s="1"/>
  <c r="K62" i="3" a="1"/>
  <c r="K62" i="3" s="1"/>
  <c r="K64" i="3" a="1"/>
  <c r="K64" i="3" s="1"/>
  <c r="K65" i="3" a="1"/>
  <c r="K65" i="3" s="1"/>
  <c r="K66" i="3" a="1"/>
  <c r="K66" i="3" s="1"/>
  <c r="K67" i="3" a="1"/>
  <c r="K67" i="3" s="1"/>
  <c r="K68" i="3" a="1"/>
  <c r="K68" i="3" s="1"/>
  <c r="K69" i="3" a="1"/>
  <c r="K69" i="3" s="1"/>
  <c r="K71" i="3" a="1"/>
  <c r="K71" i="3" s="1"/>
  <c r="K72" i="3" a="1"/>
  <c r="K72" i="3" s="1"/>
  <c r="K75" i="3" a="1"/>
  <c r="K75" i="3" s="1"/>
  <c r="K76" i="3" a="1"/>
  <c r="K76" i="3" s="1"/>
  <c r="K77" i="3" a="1"/>
  <c r="K77" i="3" s="1"/>
  <c r="K78" i="3" a="1"/>
  <c r="K78" i="3" s="1"/>
  <c r="K79" i="3" a="1"/>
  <c r="K79" i="3" s="1"/>
  <c r="K80" i="3" a="1"/>
  <c r="K80" i="3" s="1"/>
  <c r="K81" i="3" a="1"/>
  <c r="K81" i="3" s="1"/>
  <c r="K82" i="3" a="1"/>
  <c r="K82" i="3" s="1"/>
  <c r="K83" i="3" a="1"/>
  <c r="K83" i="3" s="1"/>
  <c r="K84" i="3" a="1"/>
  <c r="K84" i="3" s="1"/>
  <c r="K86" i="3" a="1"/>
  <c r="K86" i="3" s="1"/>
  <c r="K87" i="3" a="1"/>
  <c r="K87" i="3" s="1"/>
  <c r="K88" i="3" a="1"/>
  <c r="K88" i="3" s="1"/>
  <c r="K89" i="3" a="1"/>
  <c r="K89" i="3" s="1"/>
  <c r="K90" i="3" a="1"/>
  <c r="K90" i="3" s="1"/>
  <c r="K91" i="3" a="1"/>
  <c r="K91" i="3" s="1"/>
  <c r="K93" i="3" a="1"/>
  <c r="K93" i="3" s="1"/>
  <c r="K94" i="3" a="1"/>
  <c r="K94" i="3" s="1"/>
  <c r="K95" i="3" a="1"/>
  <c r="K95" i="3" s="1"/>
  <c r="K96" i="3" a="1"/>
  <c r="K96" i="3" s="1"/>
  <c r="K97" i="3" a="1"/>
  <c r="K97" i="3" s="1"/>
  <c r="K98" i="3" a="1"/>
  <c r="K98" i="3" s="1"/>
  <c r="K99" i="3" a="1"/>
  <c r="K99" i="3" s="1"/>
  <c r="K100" i="3" a="1"/>
  <c r="K100" i="3" s="1"/>
  <c r="K102" i="3" a="1"/>
  <c r="K102" i="3" s="1"/>
  <c r="K103" i="3" a="1"/>
  <c r="K103" i="3" s="1"/>
  <c r="K104" i="3" a="1"/>
  <c r="K104" i="3" s="1"/>
  <c r="K105" i="3" a="1"/>
  <c r="K105" i="3" s="1"/>
  <c r="K106" i="3" a="1"/>
  <c r="K106" i="3" s="1"/>
  <c r="K107" i="3" a="1"/>
  <c r="K107" i="3" s="1"/>
  <c r="K108" i="3" a="1"/>
  <c r="K108" i="3" s="1"/>
  <c r="K110" i="3" a="1"/>
  <c r="K110" i="3" s="1"/>
  <c r="K112" i="3" a="1"/>
  <c r="K112" i="3" s="1"/>
  <c r="K114" i="3" a="1"/>
  <c r="K114" i="3" s="1"/>
  <c r="K115" i="3" a="1"/>
  <c r="K115" i="3" s="1"/>
  <c r="K116" i="3" a="1"/>
  <c r="K116" i="3" s="1"/>
  <c r="K117" i="3" a="1"/>
  <c r="K117" i="3" s="1"/>
  <c r="K118" i="3" a="1"/>
  <c r="K118" i="3" s="1"/>
  <c r="K119" i="3" a="1"/>
  <c r="K119" i="3" s="1"/>
  <c r="K120" i="3" a="1"/>
  <c r="K120" i="3" s="1"/>
  <c r="K122" i="3" a="1"/>
  <c r="K122" i="3" s="1"/>
  <c r="K123" i="3" a="1"/>
  <c r="K123" i="3" s="1"/>
  <c r="K124" i="3" a="1"/>
  <c r="K124" i="3" s="1"/>
  <c r="K125" i="3" a="1"/>
  <c r="K125" i="3" s="1"/>
  <c r="K126" i="3" a="1"/>
  <c r="K126" i="3" s="1"/>
  <c r="K127" i="3" a="1"/>
  <c r="K127" i="3" s="1"/>
  <c r="K128" i="3" a="1"/>
  <c r="K128"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3" i="3" a="1"/>
  <c r="K143" i="3" s="1"/>
  <c r="K144" i="3" a="1"/>
  <c r="K144" i="3" s="1"/>
  <c r="K145" i="3" a="1"/>
  <c r="K145" i="3" s="1"/>
  <c r="K146" i="3" a="1"/>
  <c r="K146" i="3" s="1"/>
  <c r="K147" i="3" a="1"/>
  <c r="K147" i="3" s="1"/>
  <c r="K148" i="3" a="1"/>
  <c r="K148" i="3" s="1"/>
  <c r="K150" i="3" a="1"/>
  <c r="K150" i="3" s="1"/>
  <c r="K151" i="3" a="1"/>
  <c r="K151" i="3" s="1"/>
  <c r="K152" i="3" a="1"/>
  <c r="K152" i="3" s="1"/>
  <c r="K153" i="3" a="1"/>
  <c r="K153" i="3" s="1"/>
  <c r="K155" i="3" a="1"/>
  <c r="K155" i="3" s="1"/>
  <c r="K156" i="3" a="1"/>
  <c r="K156" i="3" s="1"/>
  <c r="K157" i="3" a="1"/>
  <c r="K157" i="3" s="1"/>
  <c r="K158" i="3" a="1"/>
  <c r="K158" i="3" s="1"/>
  <c r="K159" i="3" a="1"/>
  <c r="K159" i="3" s="1"/>
  <c r="K160" i="3" a="1"/>
  <c r="K160" i="3" s="1"/>
  <c r="K161" i="3" a="1"/>
  <c r="K161" i="3" s="1"/>
  <c r="K162" i="3" a="1"/>
  <c r="K162" i="3" s="1"/>
  <c r="K164" i="3" a="1"/>
  <c r="K164" i="3" s="1"/>
  <c r="K166" i="3" a="1"/>
  <c r="K166" i="3" s="1"/>
  <c r="K167" i="3" a="1"/>
  <c r="K167" i="3" s="1"/>
  <c r="K168" i="3" a="1"/>
  <c r="K168" i="3" s="1"/>
  <c r="K169" i="3" a="1"/>
  <c r="K169" i="3" s="1"/>
  <c r="K171" i="3" a="1"/>
  <c r="K171" i="3" s="1"/>
  <c r="K173" i="3" a="1"/>
  <c r="K173" i="3" s="1"/>
  <c r="K174" i="3" a="1"/>
  <c r="K174" i="3" s="1"/>
  <c r="K175" i="3" a="1"/>
  <c r="K175" i="3" s="1"/>
  <c r="K177" i="3" a="1"/>
  <c r="K177" i="3" s="1"/>
  <c r="K522" i="3" a="1"/>
  <c r="K522" i="3" s="1"/>
  <c r="K178" i="3" a="1"/>
  <c r="K178" i="3" s="1"/>
  <c r="K182" i="3" a="1"/>
  <c r="K182" i="3" s="1"/>
  <c r="K183" i="3" a="1"/>
  <c r="K183" i="3" s="1"/>
  <c r="K184" i="3" a="1"/>
  <c r="K184" i="3" s="1"/>
  <c r="K185" i="3" a="1"/>
  <c r="K185" i="3" s="1"/>
  <c r="K186" i="3" a="1"/>
  <c r="K186" i="3" s="1"/>
  <c r="K188" i="3" a="1"/>
  <c r="K188" i="3" s="1"/>
  <c r="K190" i="3" a="1"/>
  <c r="K190" i="3" s="1"/>
  <c r="K191" i="3" a="1"/>
  <c r="K191" i="3" s="1"/>
  <c r="K192" i="3" a="1"/>
  <c r="K192" i="3" s="1"/>
  <c r="K194" i="3" a="1"/>
  <c r="K194" i="3" s="1"/>
  <c r="K195" i="3" a="1"/>
  <c r="K195" i="3" s="1"/>
  <c r="K196" i="3" a="1"/>
  <c r="K196" i="3" s="1"/>
  <c r="K197" i="3" a="1"/>
  <c r="K197" i="3" s="1"/>
  <c r="K198" i="3" a="1"/>
  <c r="K198" i="3" s="1"/>
  <c r="K199" i="3" a="1"/>
  <c r="K199" i="3" s="1"/>
  <c r="K200" i="3" a="1"/>
  <c r="K200" i="3" s="1"/>
  <c r="K201" i="3" a="1"/>
  <c r="K201" i="3" s="1"/>
  <c r="K202" i="3" a="1"/>
  <c r="K202" i="3" s="1"/>
  <c r="K203" i="3" a="1"/>
  <c r="K203" i="3" s="1"/>
  <c r="K204" i="3" a="1"/>
  <c r="K204" i="3" s="1"/>
  <c r="K205" i="3" a="1"/>
  <c r="K205" i="3" s="1"/>
  <c r="K206" i="3" a="1"/>
  <c r="K206" i="3" s="1"/>
  <c r="K208" i="3" a="1"/>
  <c r="K208" i="3" s="1"/>
  <c r="K209" i="3" a="1"/>
  <c r="K209" i="3" s="1"/>
  <c r="K210" i="3" a="1"/>
  <c r="K210" i="3" s="1"/>
  <c r="K211" i="3" a="1"/>
  <c r="K211" i="3" s="1"/>
  <c r="K213" i="3" a="1"/>
  <c r="K213" i="3" s="1"/>
  <c r="K214" i="3" a="1"/>
  <c r="K214" i="3" s="1"/>
  <c r="K215" i="3" a="1"/>
  <c r="K215" i="3" s="1"/>
  <c r="K216" i="3" a="1"/>
  <c r="K216" i="3" s="1"/>
  <c r="K217" i="3" a="1"/>
  <c r="K217" i="3" s="1"/>
  <c r="K218" i="3" a="1"/>
  <c r="K218" i="3" s="1"/>
  <c r="K219" i="3" a="1"/>
  <c r="K219" i="3" s="1"/>
  <c r="K222" i="3" a="1"/>
  <c r="K222" i="3" s="1"/>
  <c r="K224" i="3" a="1"/>
  <c r="K224" i="3" s="1"/>
  <c r="K225" i="3" a="1"/>
  <c r="K225" i="3" s="1"/>
  <c r="K226" i="3" a="1"/>
  <c r="K226" i="3" s="1"/>
  <c r="K227" i="3" a="1"/>
  <c r="K227" i="3" s="1"/>
  <c r="K228" i="3" a="1"/>
  <c r="K228" i="3" s="1"/>
  <c r="K229" i="3" a="1"/>
  <c r="K229" i="3" s="1"/>
  <c r="K230" i="3" a="1"/>
  <c r="K230" i="3" s="1"/>
  <c r="K231" i="3" a="1"/>
  <c r="K231" i="3" s="1"/>
  <c r="K232" i="3" a="1"/>
  <c r="K232" i="3" s="1"/>
  <c r="K233" i="3" a="1"/>
  <c r="K233" i="3" s="1"/>
  <c r="K234" i="3" a="1"/>
  <c r="K234" i="3" s="1"/>
  <c r="K235" i="3" a="1"/>
  <c r="K235" i="3" s="1"/>
  <c r="K237" i="3" a="1"/>
  <c r="K237" i="3" s="1"/>
  <c r="K238" i="3" a="1"/>
  <c r="K238" i="3" s="1"/>
  <c r="K239" i="3" a="1"/>
  <c r="K239" i="3" s="1"/>
  <c r="K240" i="3" a="1"/>
  <c r="K240" i="3" s="1"/>
  <c r="K241" i="3" a="1"/>
  <c r="K241" i="3" s="1"/>
  <c r="K243" i="3" a="1"/>
  <c r="K243" i="3" s="1"/>
  <c r="K245" i="3" a="1"/>
  <c r="K245" i="3" s="1"/>
  <c r="K246" i="3" a="1"/>
  <c r="K246" i="3" s="1"/>
  <c r="K247" i="3" a="1"/>
  <c r="K247" i="3" s="1"/>
  <c r="K248" i="3" a="1"/>
  <c r="K248" i="3" s="1"/>
  <c r="K249" i="3" a="1"/>
  <c r="K249" i="3" s="1"/>
  <c r="K250" i="3" a="1"/>
  <c r="K250" i="3" s="1"/>
  <c r="K251" i="3" a="1"/>
  <c r="K251" i="3" s="1"/>
  <c r="K252" i="3" a="1"/>
  <c r="K252" i="3" s="1"/>
  <c r="K253" i="3" a="1"/>
  <c r="K253" i="3" s="1"/>
  <c r="K254" i="3" a="1"/>
  <c r="K254" i="3" s="1"/>
  <c r="K255" i="3" a="1"/>
  <c r="K255" i="3" s="1"/>
  <c r="K256" i="3" a="1"/>
  <c r="K256" i="3" s="1"/>
  <c r="K257" i="3" a="1"/>
  <c r="K257" i="3" s="1"/>
  <c r="K258" i="3" a="1"/>
  <c r="K258" i="3" s="1"/>
  <c r="K259" i="3" a="1"/>
  <c r="K259" i="3" s="1"/>
  <c r="K260" i="3" a="1"/>
  <c r="K260" i="3" s="1"/>
  <c r="K261" i="3" a="1"/>
  <c r="K261" i="3" s="1"/>
  <c r="K263" i="3" a="1"/>
  <c r="K263" i="3" s="1"/>
  <c r="K264" i="3" a="1"/>
  <c r="K264" i="3" s="1"/>
  <c r="K265" i="3" a="1"/>
  <c r="K265" i="3" s="1"/>
  <c r="K268" i="3" a="1"/>
  <c r="K268" i="3" s="1"/>
  <c r="K269" i="3" a="1"/>
  <c r="K269" i="3" s="1"/>
  <c r="K270" i="3" a="1"/>
  <c r="K270" i="3" s="1"/>
  <c r="K271" i="3" a="1"/>
  <c r="K271" i="3" s="1"/>
  <c r="K272" i="3" a="1"/>
  <c r="K272" i="3" s="1"/>
  <c r="K274" i="3" a="1"/>
  <c r="K274" i="3" s="1"/>
  <c r="K276" i="3" a="1"/>
  <c r="K276" i="3" s="1"/>
  <c r="K277" i="3" a="1"/>
  <c r="K277" i="3" s="1"/>
  <c r="K278" i="3" a="1"/>
  <c r="K278" i="3" s="1"/>
  <c r="K280" i="3" a="1"/>
  <c r="K280" i="3" s="1"/>
  <c r="K281" i="3" a="1"/>
  <c r="K281" i="3" s="1"/>
  <c r="K282" i="3" a="1"/>
  <c r="K282" i="3" s="1"/>
  <c r="K284" i="3" a="1"/>
  <c r="K284" i="3" s="1"/>
  <c r="K286" i="3" a="1"/>
  <c r="K286" i="3" s="1"/>
  <c r="K288" i="3" a="1"/>
  <c r="K288" i="3" s="1"/>
  <c r="K289" i="3" a="1"/>
  <c r="K289" i="3" s="1"/>
  <c r="K290" i="3" a="1"/>
  <c r="K290" i="3" s="1"/>
  <c r="K291" i="3" a="1"/>
  <c r="K291" i="3" s="1"/>
  <c r="K292" i="3" a="1"/>
  <c r="K292" i="3" s="1"/>
  <c r="K293" i="3" a="1"/>
  <c r="K293" i="3" s="1"/>
  <c r="K294" i="3" a="1"/>
  <c r="K294" i="3" s="1"/>
  <c r="K295" i="3" a="1"/>
  <c r="K295" i="3" s="1"/>
  <c r="K296" i="3" a="1"/>
  <c r="K296" i="3" s="1"/>
  <c r="K297" i="3" a="1"/>
  <c r="K297" i="3" s="1"/>
  <c r="K301" i="3" a="1"/>
  <c r="K301" i="3" s="1"/>
  <c r="K302" i="3" a="1"/>
  <c r="K302" i="3" s="1"/>
  <c r="K303" i="3" a="1"/>
  <c r="K303" i="3" s="1"/>
  <c r="K304" i="3" a="1"/>
  <c r="K304" i="3" s="1"/>
  <c r="K305" i="3" a="1"/>
  <c r="K305" i="3" s="1"/>
  <c r="K306" i="3" a="1"/>
  <c r="K306" i="3" s="1"/>
  <c r="K308" i="3" a="1"/>
  <c r="K308" i="3" s="1"/>
  <c r="K309" i="3" a="1"/>
  <c r="K309" i="3" s="1"/>
  <c r="K310" i="3" a="1"/>
  <c r="K310" i="3" s="1"/>
  <c r="K311" i="3" a="1"/>
  <c r="K311" i="3" s="1"/>
  <c r="K312" i="3" a="1"/>
  <c r="K312" i="3" s="1"/>
  <c r="K313" i="3" a="1"/>
  <c r="K313" i="3" s="1"/>
  <c r="K314" i="3" a="1"/>
  <c r="K314" i="3" s="1"/>
  <c r="K315" i="3" a="1"/>
  <c r="K315" i="3" s="1"/>
  <c r="K316" i="3" a="1"/>
  <c r="K316" i="3" s="1"/>
  <c r="K317" i="3" a="1"/>
  <c r="K317" i="3" s="1"/>
  <c r="K318" i="3" a="1"/>
  <c r="K318" i="3" s="1"/>
  <c r="K319" i="3" a="1"/>
  <c r="K319" i="3" s="1"/>
  <c r="K320" i="3" a="1"/>
  <c r="K320" i="3" s="1"/>
  <c r="K321" i="3" a="1"/>
  <c r="K321" i="3" s="1"/>
  <c r="K322" i="3" a="1"/>
  <c r="K322" i="3" s="1"/>
  <c r="K324" i="3" a="1"/>
  <c r="K324" i="3" s="1"/>
  <c r="K327" i="3" a="1"/>
  <c r="K327" i="3" s="1"/>
  <c r="K328" i="3" a="1"/>
  <c r="K328" i="3" s="1"/>
  <c r="K329" i="3" a="1"/>
  <c r="K329" i="3" s="1"/>
  <c r="K330" i="3" a="1"/>
  <c r="K330" i="3" s="1"/>
  <c r="K331" i="3" a="1"/>
  <c r="K331" i="3" s="1"/>
  <c r="K332" i="3" a="1"/>
  <c r="K332" i="3" s="1"/>
  <c r="K333" i="3" a="1"/>
  <c r="K333" i="3" s="1"/>
  <c r="K337" i="3" a="1"/>
  <c r="K337" i="3" s="1"/>
  <c r="K338" i="3" a="1"/>
  <c r="K338" i="3" s="1"/>
  <c r="K339" i="3" a="1"/>
  <c r="K339" i="3" s="1"/>
  <c r="K340" i="3" a="1"/>
  <c r="K340" i="3" s="1"/>
  <c r="K341" i="3" a="1"/>
  <c r="K341" i="3" s="1"/>
  <c r="K342" i="3" a="1"/>
  <c r="K342" i="3" s="1"/>
  <c r="K343" i="3" a="1"/>
  <c r="K343" i="3" s="1"/>
  <c r="K344" i="3" a="1"/>
  <c r="K344" i="3" s="1"/>
  <c r="K345" i="3" a="1"/>
  <c r="K345" i="3" s="1"/>
  <c r="K346" i="3" a="1"/>
  <c r="K346" i="3" s="1"/>
  <c r="K348" i="3" a="1"/>
  <c r="K348" i="3" s="1"/>
  <c r="K349" i="3" a="1"/>
  <c r="K349" i="3" s="1"/>
  <c r="K350" i="3" a="1"/>
  <c r="K350" i="3" s="1"/>
  <c r="K353" i="3" a="1"/>
  <c r="K353" i="3" s="1"/>
  <c r="K354" i="3" a="1"/>
  <c r="K354" i="3" s="1"/>
  <c r="K355" i="3" a="1"/>
  <c r="K355" i="3" s="1"/>
  <c r="K358" i="3" a="1"/>
  <c r="K358" i="3" s="1"/>
  <c r="K359" i="3" a="1"/>
  <c r="K359" i="3" s="1"/>
  <c r="K360" i="3" a="1"/>
  <c r="K360" i="3" s="1"/>
  <c r="K362" i="3" a="1"/>
  <c r="K362" i="3" s="1"/>
  <c r="K363" i="3" a="1"/>
  <c r="K363" i="3" s="1"/>
  <c r="K364" i="3" a="1"/>
  <c r="K364" i="3" s="1"/>
  <c r="K366" i="3" a="1"/>
  <c r="K366" i="3" s="1"/>
  <c r="K368" i="3" a="1"/>
  <c r="K368" i="3" s="1"/>
  <c r="K370" i="3" a="1"/>
  <c r="K370" i="3" s="1"/>
  <c r="K371" i="3" a="1"/>
  <c r="K371" i="3" s="1"/>
  <c r="K634" i="3" a="1"/>
  <c r="K634" i="3" s="1"/>
  <c r="K373" i="3" a="1"/>
  <c r="K373" i="3" s="1"/>
  <c r="K374" i="3" a="1"/>
  <c r="K374" i="3" s="1"/>
  <c r="K375" i="3" a="1"/>
  <c r="K375" i="3" s="1"/>
  <c r="K376" i="3" a="1"/>
  <c r="K376" i="3" s="1"/>
  <c r="K377" i="3" a="1"/>
  <c r="K377" i="3" s="1"/>
  <c r="K378" i="3" a="1"/>
  <c r="K378" i="3" s="1"/>
  <c r="K379" i="3" a="1"/>
  <c r="K379" i="3" s="1"/>
  <c r="K380" i="3" a="1"/>
  <c r="K380" i="3" s="1"/>
  <c r="K383" i="3" a="1"/>
  <c r="K383" i="3" s="1"/>
  <c r="K384" i="3" a="1"/>
  <c r="K384" i="3" s="1"/>
  <c r="K385" i="3" a="1"/>
  <c r="K385" i="3" s="1"/>
  <c r="K387" i="3" a="1"/>
  <c r="K387" i="3" s="1"/>
  <c r="K388" i="3" a="1"/>
  <c r="K388" i="3" s="1"/>
  <c r="K389" i="3" a="1"/>
  <c r="K389" i="3" s="1"/>
  <c r="K390" i="3" a="1"/>
  <c r="K390" i="3" s="1"/>
  <c r="K391" i="3" a="1"/>
  <c r="K391" i="3" s="1"/>
  <c r="K392" i="3" a="1"/>
  <c r="K392" i="3" s="1"/>
  <c r="K393" i="3" a="1"/>
  <c r="K393" i="3" s="1"/>
  <c r="K394" i="3" a="1"/>
  <c r="K394" i="3" s="1"/>
  <c r="K397" i="3" a="1"/>
  <c r="K397" i="3" s="1"/>
  <c r="K398" i="3" a="1"/>
  <c r="K398" i="3" s="1"/>
  <c r="K419" i="3" a="1"/>
  <c r="K419" i="3" s="1"/>
  <c r="A224" i="4"/>
  <c r="L224"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25" i="4"/>
  <c r="L3" i="4"/>
  <c r="L4" i="4"/>
  <c r="L5" i="4"/>
  <c r="L6" i="4"/>
  <c r="L7" i="4"/>
  <c r="L8" i="4"/>
  <c r="L9" i="4"/>
  <c r="L10" i="4"/>
  <c r="L11" i="4"/>
  <c r="L12" i="4"/>
  <c r="L13" i="4"/>
  <c r="L14" i="4"/>
  <c r="L15" i="4"/>
  <c r="L16" i="4"/>
  <c r="L17" i="4"/>
  <c r="L18" i="4"/>
  <c r="L19" i="4"/>
  <c r="L20" i="4"/>
  <c r="L21" i="4"/>
  <c r="L22" i="4"/>
  <c r="L23" i="4"/>
  <c r="L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J125" i="2" l="1"/>
  <c r="J76" i="2"/>
  <c r="J132" i="2"/>
  <c r="A376" i="2"/>
  <c r="A260" i="2"/>
  <c r="A121" i="2"/>
  <c r="A495" i="2"/>
  <c r="A486" i="2"/>
  <c r="A351" i="2"/>
  <c r="A368" i="2"/>
  <c r="A175" i="2"/>
  <c r="A269" i="2"/>
  <c r="A170" i="2"/>
  <c r="A67" i="2"/>
  <c r="A327" i="2"/>
  <c r="A275" i="2"/>
  <c r="A188" i="2"/>
  <c r="A316" i="2"/>
  <c r="A285" i="2"/>
  <c r="A482" i="2"/>
  <c r="A423" i="2"/>
  <c r="A38" i="2"/>
  <c r="A32" i="2"/>
  <c r="A210" i="2"/>
  <c r="A71" i="2"/>
  <c r="A394" i="2"/>
  <c r="A324" i="2"/>
  <c r="A222" i="2"/>
  <c r="A515" i="2"/>
  <c r="A70" i="2"/>
  <c r="A95" i="2"/>
  <c r="A309" i="2"/>
  <c r="A80" i="2"/>
  <c r="A122" i="2"/>
  <c r="A51" i="2"/>
  <c r="A235" i="2"/>
  <c r="A395" i="2"/>
  <c r="A392" i="2"/>
  <c r="A292" i="2"/>
  <c r="A233" i="2"/>
  <c r="A153" i="2"/>
  <c r="A304" i="2"/>
  <c r="A49" i="2"/>
  <c r="A319" i="2"/>
  <c r="A37" i="2"/>
  <c r="A349" i="2"/>
  <c r="A303" i="2"/>
  <c r="A206" i="2"/>
  <c r="A308" i="2"/>
  <c r="A501" i="2"/>
  <c r="A199" i="2"/>
  <c r="A252" i="2"/>
  <c r="A8" i="2"/>
  <c r="A5" i="2"/>
  <c r="A145" i="2"/>
  <c r="A65" i="2"/>
  <c r="A514" i="2"/>
  <c r="A43" i="2"/>
  <c r="A477" i="2"/>
  <c r="A337" i="2"/>
  <c r="A239" i="2"/>
  <c r="A359" i="2"/>
  <c r="A461" i="2"/>
  <c r="A267" i="2"/>
  <c r="A194" i="2"/>
  <c r="A227" i="2"/>
  <c r="A23" i="2"/>
  <c r="A414" i="2"/>
  <c r="A63" i="2"/>
  <c r="A143" i="2"/>
  <c r="A54" i="2"/>
  <c r="A450" i="2"/>
  <c r="A242" i="2"/>
  <c r="A29" i="2"/>
  <c r="A10" i="2"/>
  <c r="A345" i="2"/>
  <c r="A478" i="2"/>
  <c r="A58" i="2"/>
  <c r="A472" i="2"/>
  <c r="A503" i="2"/>
  <c r="A18" i="2"/>
  <c r="A44" i="2"/>
  <c r="A497" i="2"/>
  <c r="A160" i="2"/>
  <c r="A47" i="2"/>
  <c r="A293" i="2"/>
  <c r="A256" i="2"/>
  <c r="A186" i="2"/>
  <c r="A428" i="2"/>
  <c r="A3" i="2"/>
  <c r="A211" i="2"/>
  <c r="A334" i="2"/>
  <c r="A88" i="2"/>
  <c r="A15" i="2"/>
  <c r="A512" i="2"/>
  <c r="A433" i="2"/>
  <c r="A130" i="2"/>
  <c r="A250" i="2"/>
  <c r="A78" i="2"/>
  <c r="A329" i="2"/>
  <c r="A30" i="2"/>
  <c r="A271" i="2"/>
  <c r="A325" i="2"/>
  <c r="A298" i="2"/>
  <c r="A34" i="2"/>
  <c r="A435" i="2"/>
  <c r="A437" i="2"/>
  <c r="A55" i="2"/>
  <c r="A276" i="2"/>
  <c r="A240" i="2"/>
  <c r="A253" i="2"/>
  <c r="A21" i="2"/>
  <c r="A279" i="2"/>
  <c r="A301" i="2"/>
  <c r="A251" i="2"/>
  <c r="A448" i="2"/>
  <c r="A159" i="2"/>
  <c r="A511" i="2"/>
  <c r="A419" i="2"/>
  <c r="A166" i="2"/>
  <c r="A396" i="2"/>
  <c r="A363" i="2"/>
  <c r="A24" i="2"/>
  <c r="A193" i="2"/>
  <c r="A444" i="2"/>
  <c r="A223" i="2"/>
  <c r="A485" i="2"/>
  <c r="A274" i="2"/>
  <c r="A328" i="2"/>
  <c r="A172" i="2"/>
  <c r="A100" i="2"/>
  <c r="A436" i="2"/>
  <c r="A203" i="2"/>
  <c r="A460" i="2"/>
  <c r="A81" i="2"/>
  <c r="A255" i="2"/>
  <c r="A287" i="2"/>
  <c r="A364" i="2"/>
  <c r="A504" i="2"/>
  <c r="A14" i="2"/>
  <c r="A161" i="2"/>
  <c r="A174" i="2"/>
  <c r="A360" i="2"/>
  <c r="A358" i="2"/>
  <c r="A264" i="2"/>
  <c r="A266" i="2"/>
  <c r="A26" i="2"/>
  <c r="A525" i="2"/>
  <c r="A297" i="2"/>
  <c r="A489" i="2"/>
  <c r="A357" i="2"/>
  <c r="A469" i="2"/>
  <c r="A339" i="2"/>
  <c r="A17" i="2"/>
  <c r="A439" i="2"/>
  <c r="A69" i="2"/>
  <c r="A490" i="2"/>
  <c r="A156" i="2"/>
  <c r="A243" i="2"/>
  <c r="A347" i="2"/>
  <c r="A20" i="2"/>
  <c r="A441" i="2"/>
  <c r="A374" i="2"/>
  <c r="A372" i="2"/>
  <c r="A362" i="2"/>
  <c r="A102" i="2"/>
  <c r="A427" i="2"/>
  <c r="A311" i="2"/>
  <c r="A158" i="2"/>
  <c r="A215" i="2"/>
  <c r="A13" i="2"/>
  <c r="A432" i="2"/>
  <c r="A144" i="2"/>
  <c r="A390" i="2"/>
  <c r="A221" i="2"/>
  <c r="A192" i="2"/>
  <c r="A409" i="2"/>
  <c r="A56" i="2"/>
  <c r="A2" i="2"/>
  <c r="A36" i="2"/>
  <c r="A39" i="2"/>
  <c r="A40" i="2"/>
  <c r="A25" i="2"/>
  <c r="A42" i="2"/>
  <c r="A27" i="2"/>
  <c r="A45" i="2"/>
  <c r="A48" i="2"/>
  <c r="A68" i="2"/>
  <c r="A82" i="2"/>
  <c r="A33" i="2"/>
  <c r="A79" i="2"/>
  <c r="A90" i="2"/>
  <c r="A64" i="2"/>
  <c r="A105" i="2"/>
  <c r="A28" i="2"/>
  <c r="A87" i="2"/>
  <c r="A85" i="2"/>
  <c r="A83" i="2"/>
  <c r="A84" i="2"/>
  <c r="A91" i="2"/>
  <c r="A94" i="2"/>
  <c r="A77" i="2"/>
  <c r="A97" i="2"/>
  <c r="A73" i="2"/>
  <c r="A106" i="2"/>
  <c r="A46" i="2"/>
  <c r="A101" i="2"/>
  <c r="A302" i="2"/>
  <c r="A53" i="2"/>
  <c r="A52" i="2"/>
  <c r="A417" i="2"/>
  <c r="A447" i="2"/>
  <c r="A263" i="2"/>
  <c r="A86" i="2"/>
  <c r="A278" i="2"/>
  <c r="A404" i="2"/>
  <c r="A295" i="2"/>
  <c r="A169" i="2"/>
  <c r="A451" i="2"/>
  <c r="A187" i="2"/>
  <c r="A261" i="2"/>
  <c r="A425" i="2"/>
  <c r="A393" i="2"/>
  <c r="A457" i="2"/>
  <c r="A491" i="2"/>
  <c r="A517" i="2"/>
  <c r="A452" i="2"/>
  <c r="A380" i="2"/>
  <c r="A163" i="2"/>
  <c r="A181" i="2"/>
  <c r="A208" i="2"/>
  <c r="A323" i="2"/>
  <c r="A107" i="2"/>
  <c r="A155" i="2"/>
  <c r="A164" i="2"/>
  <c r="A202" i="2"/>
  <c r="A245" i="2"/>
  <c r="A343" i="2"/>
  <c r="A234" i="2"/>
  <c r="A356" i="2"/>
  <c r="A198" i="2"/>
  <c r="A89" i="2"/>
  <c r="A232" i="2"/>
  <c r="A50" i="2"/>
  <c r="A220" i="2"/>
  <c r="A443" i="2"/>
  <c r="A248" i="2"/>
  <c r="A7" i="2"/>
  <c r="A413" i="2"/>
  <c r="A367" i="2"/>
  <c r="A135" i="2"/>
  <c r="A72" i="2"/>
  <c r="A331" i="2"/>
  <c r="A103" i="2"/>
  <c r="A330" i="2"/>
  <c r="A148" i="2"/>
  <c r="A416" i="2"/>
  <c r="A62" i="2"/>
  <c r="A523" i="2"/>
  <c r="A410" i="2"/>
  <c r="A524" i="2"/>
  <c r="A426" i="2"/>
  <c r="A246" i="2"/>
  <c r="A149" i="2"/>
  <c r="A310" i="2"/>
  <c r="A412" i="2"/>
  <c r="A197" i="2"/>
  <c r="A218" i="2"/>
  <c r="A312" i="2"/>
  <c r="A429" i="2"/>
  <c r="A499" i="2"/>
  <c r="A152" i="2"/>
  <c r="A315" i="2"/>
  <c r="A57" i="2"/>
  <c r="A332" i="2"/>
  <c r="A420" i="2"/>
  <c r="A189" i="2"/>
  <c r="A226" i="2"/>
  <c r="A191" i="2"/>
  <c r="A288" i="2"/>
  <c r="A377" i="2"/>
  <c r="A178" i="2"/>
  <c r="A268" i="2"/>
  <c r="A247" i="2"/>
  <c r="A422" i="2"/>
  <c r="A104" i="2"/>
  <c r="A214" i="2"/>
  <c r="A479" i="2"/>
  <c r="A12" i="2"/>
  <c r="A258" i="2"/>
  <c r="A336" i="2"/>
  <c r="A92" i="2"/>
  <c r="A238" i="2"/>
  <c r="A136" i="2"/>
  <c r="A185" i="2"/>
  <c r="A291" i="2"/>
  <c r="A381" i="2"/>
  <c r="A93" i="2"/>
  <c r="A370" i="2"/>
  <c r="A344" i="2"/>
  <c r="A98" i="2"/>
  <c r="A470" i="2"/>
  <c r="A421" i="2"/>
  <c r="A162" i="2"/>
  <c r="A284" i="2"/>
  <c r="A117" i="2"/>
  <c r="A22" i="2"/>
  <c r="A277" i="2"/>
  <c r="A281" i="2"/>
  <c r="A348" i="2"/>
  <c r="A459" i="2"/>
  <c r="A400" i="2"/>
  <c r="A500" i="2"/>
  <c r="A41" i="2"/>
  <c r="A502" i="2"/>
  <c r="A405" i="2"/>
  <c r="A487" i="2"/>
  <c r="A75" i="2"/>
  <c r="A522" i="2"/>
  <c r="A518" i="2"/>
  <c r="A212" i="2"/>
  <c r="A241" i="2"/>
  <c r="A454" i="2"/>
  <c r="A35" i="2"/>
  <c r="A430" i="2"/>
  <c r="A378" i="2"/>
  <c r="A167" i="2"/>
  <c r="A463" i="2"/>
  <c r="A224" i="2"/>
  <c r="A190" i="2"/>
  <c r="A318" i="2"/>
  <c r="A31" i="2"/>
  <c r="A388" i="2"/>
  <c r="A346" i="2"/>
  <c r="A471" i="2"/>
  <c r="A254" i="2"/>
  <c r="A6" i="2"/>
  <c r="A231" i="2"/>
  <c r="A204" i="2"/>
  <c r="A322" i="2"/>
  <c r="A516" i="2"/>
  <c r="A513" i="2"/>
  <c r="A510" i="2"/>
  <c r="A154" i="2"/>
  <c r="A9" i="2"/>
  <c r="A177" i="2"/>
  <c r="A411" i="2"/>
  <c r="A217" i="2"/>
  <c r="A506" i="2"/>
  <c r="A219" i="2"/>
  <c r="A434" i="2"/>
  <c r="A60" i="2"/>
  <c r="A19" i="2"/>
  <c r="A398" i="2"/>
  <c r="A299" i="2"/>
  <c r="A300" i="2"/>
  <c r="A446" i="2"/>
  <c r="A61" i="2"/>
  <c r="A137" i="2"/>
  <c r="A200" i="2"/>
  <c r="A290" i="2"/>
  <c r="A283" i="2"/>
  <c r="A142" i="2"/>
  <c r="A474" i="2"/>
  <c r="A383" i="2"/>
  <c r="A366" i="2"/>
  <c r="A16" i="2"/>
  <c r="A355" i="2"/>
  <c r="A180" i="2"/>
  <c r="A307" i="2"/>
  <c r="A280" i="2"/>
  <c r="A321" i="2"/>
  <c r="A496" i="2"/>
  <c r="A458" i="2"/>
  <c r="A184" i="2"/>
  <c r="A59" i="2"/>
  <c r="A440" i="2"/>
  <c r="A228" i="2"/>
  <c r="A213" i="2"/>
  <c r="A216" i="2"/>
  <c r="A168" i="2"/>
  <c r="A4" i="2"/>
  <c r="A270" i="2"/>
  <c r="A361" i="2"/>
  <c r="A350" i="2"/>
  <c r="A173" i="2"/>
  <c r="A176" i="2"/>
  <c r="A466" i="2"/>
  <c r="A147" i="2"/>
  <c r="A481" i="2"/>
  <c r="A66" i="2"/>
  <c r="A313" i="2"/>
  <c r="A196" i="2"/>
  <c r="A464" i="2"/>
  <c r="A468" i="2"/>
  <c r="A402" i="2"/>
  <c r="A375" i="2"/>
  <c r="A179" i="2"/>
  <c r="A165" i="2"/>
  <c r="A11" i="2"/>
  <c r="A467" i="2"/>
  <c r="A342" i="2"/>
  <c r="A386" i="2"/>
  <c r="A488" i="2"/>
  <c r="A456" i="2"/>
  <c r="A201" i="2"/>
  <c r="A209" i="2"/>
  <c r="A305" i="2"/>
  <c r="A99" i="2"/>
  <c r="A195" i="2"/>
  <c r="A259" i="2"/>
  <c r="A508" i="2"/>
  <c r="A182" i="2"/>
  <c r="A341" i="2"/>
  <c r="A401" i="2"/>
  <c r="A408" i="2"/>
  <c r="A150" i="2"/>
  <c r="A96" i="2"/>
  <c r="A475" i="2"/>
  <c r="A286" i="2"/>
  <c r="A519" i="2"/>
  <c r="A406" i="2"/>
  <c r="A399" i="2"/>
  <c r="A509" i="2"/>
  <c r="A317" i="2"/>
  <c r="A371" i="2"/>
  <c r="A379" i="2"/>
  <c r="A74" i="2"/>
  <c r="A151" i="2"/>
  <c r="A455" i="2"/>
  <c r="A120" i="2"/>
  <c r="A296" i="2"/>
  <c r="A387" i="2"/>
  <c r="A498" i="2"/>
  <c r="A465" i="2"/>
  <c r="A257" i="2"/>
  <c r="A473" i="2"/>
  <c r="A403" i="2"/>
  <c r="A389" i="2"/>
  <c r="A391" i="2"/>
  <c r="A225" i="2"/>
  <c r="A431" i="2"/>
  <c r="A272" i="2"/>
  <c r="A294" i="2"/>
  <c r="A306" i="2"/>
  <c r="A236" i="2"/>
  <c r="A397" i="2"/>
  <c r="A480" i="2"/>
  <c r="A385" i="2"/>
  <c r="A229" i="2"/>
  <c r="A505" i="2"/>
  <c r="A183" i="2"/>
  <c r="A262" i="2"/>
  <c r="A507" i="2"/>
  <c r="A249" i="2"/>
  <c r="A2" i="3"/>
  <c r="A3" i="3"/>
  <c r="A4" i="3"/>
  <c r="A5" i="3"/>
  <c r="A6" i="3"/>
  <c r="A7" i="3"/>
  <c r="A8" i="3"/>
  <c r="A9" i="3"/>
  <c r="A10" i="3"/>
  <c r="A11" i="3"/>
  <c r="A12" i="3"/>
  <c r="A13" i="3"/>
  <c r="A14" i="3"/>
  <c r="A15" i="3"/>
  <c r="A16" i="3"/>
  <c r="A17" i="3"/>
  <c r="A18" i="3"/>
  <c r="A403" i="3"/>
  <c r="A404" i="3"/>
  <c r="A19" i="3"/>
  <c r="A407" i="3"/>
  <c r="A20" i="3"/>
  <c r="A21" i="3"/>
  <c r="A22" i="3"/>
  <c r="A23" i="3"/>
  <c r="A24" i="3"/>
  <c r="A409" i="3"/>
  <c r="A25" i="3"/>
  <c r="A410" i="3"/>
  <c r="A28" i="3"/>
  <c r="A415" i="3"/>
  <c r="A30" i="3"/>
  <c r="A31" i="3"/>
  <c r="A32" i="3"/>
  <c r="A33" i="3"/>
  <c r="A34" i="3"/>
  <c r="A35" i="3"/>
  <c r="A36" i="3"/>
  <c r="A37" i="3"/>
  <c r="A416" i="3"/>
  <c r="A38" i="3"/>
  <c r="A417" i="3"/>
  <c r="A39" i="3"/>
  <c r="A40" i="3"/>
  <c r="A41" i="3"/>
  <c r="A42" i="3"/>
  <c r="A43" i="3"/>
  <c r="A44" i="3"/>
  <c r="A45" i="3"/>
  <c r="A418" i="3"/>
  <c r="A419" i="3"/>
  <c r="A420" i="3"/>
  <c r="A421" i="3"/>
  <c r="A47" i="3"/>
  <c r="A49" i="3"/>
  <c r="A50" i="3"/>
  <c r="A51" i="3"/>
  <c r="A52" i="3"/>
  <c r="A53" i="3"/>
  <c r="A54" i="3"/>
  <c r="A55" i="3"/>
  <c r="A56" i="3"/>
  <c r="A430" i="3"/>
  <c r="A58" i="3"/>
  <c r="A59" i="3"/>
  <c r="A431" i="3"/>
  <c r="A646" i="3"/>
  <c r="A60" i="3"/>
  <c r="A62" i="3"/>
  <c r="A432" i="3"/>
  <c r="A433" i="3"/>
  <c r="A63" i="3"/>
  <c r="A64" i="3"/>
  <c r="A65" i="3"/>
  <c r="A435" i="3"/>
  <c r="A66" i="3"/>
  <c r="A67" i="3"/>
  <c r="A436" i="3"/>
  <c r="A439" i="3"/>
  <c r="A68" i="3"/>
  <c r="A69" i="3"/>
  <c r="A440" i="3"/>
  <c r="A71" i="3"/>
  <c r="A72" i="3"/>
  <c r="A73" i="3"/>
  <c r="A74" i="3"/>
  <c r="A442" i="3"/>
  <c r="A75" i="3"/>
  <c r="A76" i="3"/>
  <c r="A444" i="3"/>
  <c r="A445" i="3"/>
  <c r="A77" i="3"/>
  <c r="A78" i="3"/>
  <c r="A447" i="3"/>
  <c r="A79" i="3"/>
  <c r="A80" i="3"/>
  <c r="A81" i="3"/>
  <c r="A82" i="3"/>
  <c r="A83" i="3"/>
  <c r="A84" i="3"/>
  <c r="A86" i="3"/>
  <c r="A87" i="3"/>
  <c r="A88" i="3"/>
  <c r="A448" i="3"/>
  <c r="A89" i="3"/>
  <c r="A90" i="3"/>
  <c r="A91" i="3"/>
  <c r="A92" i="3"/>
  <c r="A93" i="3"/>
  <c r="A94" i="3"/>
  <c r="A95" i="3"/>
  <c r="A96" i="3"/>
  <c r="A97" i="3"/>
  <c r="A98" i="3"/>
  <c r="A99" i="3"/>
  <c r="A100" i="3"/>
  <c r="A101" i="3"/>
  <c r="A102" i="3"/>
  <c r="A103" i="3"/>
  <c r="A454" i="3"/>
  <c r="A104" i="3"/>
  <c r="A105" i="3"/>
  <c r="A106" i="3"/>
  <c r="A107" i="3"/>
  <c r="A108" i="3"/>
  <c r="A110" i="3"/>
  <c r="A111" i="3"/>
  <c r="A112" i="3"/>
  <c r="A113" i="3"/>
  <c r="A114" i="3"/>
  <c r="A115" i="3"/>
  <c r="A457" i="3"/>
  <c r="A116" i="3"/>
  <c r="A117" i="3"/>
  <c r="A118" i="3"/>
  <c r="A119" i="3"/>
  <c r="A459" i="3"/>
  <c r="A120" i="3"/>
  <c r="A121" i="3"/>
  <c r="A122" i="3"/>
  <c r="A123" i="3"/>
  <c r="A124" i="3"/>
  <c r="A125" i="3"/>
  <c r="A126" i="3"/>
  <c r="A127" i="3"/>
  <c r="A128" i="3"/>
  <c r="A129" i="3"/>
  <c r="A130" i="3"/>
  <c r="A131" i="3"/>
  <c r="A132" i="3"/>
  <c r="A464" i="3"/>
  <c r="A133" i="3"/>
  <c r="A465" i="3"/>
  <c r="A134" i="3"/>
  <c r="A135" i="3"/>
  <c r="A136" i="3"/>
  <c r="A137" i="3"/>
  <c r="A467" i="3"/>
  <c r="A138" i="3"/>
  <c r="A139" i="3"/>
  <c r="A140" i="3"/>
  <c r="A141" i="3"/>
  <c r="A470" i="3"/>
  <c r="A143" i="3"/>
  <c r="A144" i="3"/>
  <c r="A145" i="3"/>
  <c r="A146" i="3"/>
  <c r="A473" i="3"/>
  <c r="A147" i="3"/>
  <c r="A148" i="3"/>
  <c r="A477" i="3"/>
  <c r="A150" i="3"/>
  <c r="A151" i="3"/>
  <c r="A152" i="3"/>
  <c r="A153" i="3"/>
  <c r="A478" i="3"/>
  <c r="A479" i="3"/>
  <c r="A480" i="3"/>
  <c r="A647" i="3"/>
  <c r="A481" i="3"/>
  <c r="A482" i="3"/>
  <c r="A483" i="3"/>
  <c r="A648" i="3"/>
  <c r="A484" i="3"/>
  <c r="A485" i="3"/>
  <c r="A486" i="3"/>
  <c r="A649" i="3"/>
  <c r="A650" i="3"/>
  <c r="A487" i="3"/>
  <c r="A488" i="3"/>
  <c r="A651" i="3"/>
  <c r="A652" i="3"/>
  <c r="A154" i="3"/>
  <c r="A490" i="3"/>
  <c r="A653" i="3"/>
  <c r="A491" i="3"/>
  <c r="A492" i="3"/>
  <c r="A493" i="3"/>
  <c r="A494" i="3"/>
  <c r="A495" i="3"/>
  <c r="A496" i="3"/>
  <c r="A497" i="3"/>
  <c r="A654" i="3"/>
  <c r="A498" i="3"/>
  <c r="A499" i="3"/>
  <c r="A500" i="3"/>
  <c r="A501" i="3"/>
  <c r="A502" i="3"/>
  <c r="A503" i="3"/>
  <c r="A504" i="3"/>
  <c r="A155" i="3"/>
  <c r="A505" i="3"/>
  <c r="A506" i="3"/>
  <c r="A507" i="3"/>
  <c r="A156" i="3"/>
  <c r="A157" i="3"/>
  <c r="A158" i="3"/>
  <c r="A159" i="3"/>
  <c r="A509" i="3"/>
  <c r="A160" i="3"/>
  <c r="A161" i="3"/>
  <c r="A162" i="3"/>
  <c r="A163" i="3"/>
  <c r="A164" i="3"/>
  <c r="A165" i="3"/>
  <c r="A166" i="3"/>
  <c r="A167" i="3"/>
  <c r="A168" i="3"/>
  <c r="A169" i="3"/>
  <c r="A170" i="3"/>
  <c r="A171" i="3"/>
  <c r="A172" i="3"/>
  <c r="A517" i="3"/>
  <c r="A173" i="3"/>
  <c r="A519" i="3"/>
  <c r="A174" i="3"/>
  <c r="A175" i="3"/>
  <c r="A176" i="3"/>
  <c r="A177" i="3"/>
  <c r="A522" i="3"/>
  <c r="A178" i="3"/>
  <c r="A180" i="3"/>
  <c r="A181" i="3"/>
  <c r="A182" i="3"/>
  <c r="A183" i="3"/>
  <c r="A184" i="3"/>
  <c r="A185" i="3"/>
  <c r="A186" i="3"/>
  <c r="A525" i="3"/>
  <c r="A188" i="3"/>
  <c r="A526" i="3"/>
  <c r="A189" i="3"/>
  <c r="A527" i="3"/>
  <c r="A190" i="3"/>
  <c r="A528" i="3"/>
  <c r="A191" i="3"/>
  <c r="A192" i="3"/>
  <c r="A193" i="3"/>
  <c r="A529" i="3"/>
  <c r="A194" i="3"/>
  <c r="A195" i="3"/>
  <c r="A530" i="3"/>
  <c r="A532" i="3"/>
  <c r="A196" i="3"/>
  <c r="A533" i="3"/>
  <c r="A197" i="3"/>
  <c r="A198" i="3"/>
  <c r="A199" i="3"/>
  <c r="A200" i="3"/>
  <c r="A201" i="3"/>
  <c r="A202" i="3"/>
  <c r="A203" i="3"/>
  <c r="A204" i="3"/>
  <c r="A535" i="3"/>
  <c r="A536" i="3"/>
  <c r="A537" i="3"/>
  <c r="A205" i="3"/>
  <c r="A206" i="3"/>
  <c r="A208" i="3"/>
  <c r="A209" i="3"/>
  <c r="A210" i="3"/>
  <c r="A211" i="3"/>
  <c r="A213" i="3"/>
  <c r="A214" i="3"/>
  <c r="A215" i="3"/>
  <c r="A216" i="3"/>
  <c r="A217" i="3"/>
  <c r="A658" i="3"/>
  <c r="A218" i="3"/>
  <c r="A219" i="3"/>
  <c r="A221" i="3"/>
  <c r="A222" i="3"/>
  <c r="A223" i="3"/>
  <c r="A224" i="3"/>
  <c r="A225" i="3"/>
  <c r="A226" i="3"/>
  <c r="A227" i="3"/>
  <c r="A228" i="3"/>
  <c r="A229" i="3"/>
  <c r="A541" i="3"/>
  <c r="A230" i="3"/>
  <c r="A231" i="3"/>
  <c r="A542" i="3"/>
  <c r="A232" i="3"/>
  <c r="A233" i="3"/>
  <c r="A234" i="3"/>
  <c r="A543" i="3"/>
  <c r="A235" i="3"/>
  <c r="A237" i="3"/>
  <c r="A238" i="3"/>
  <c r="A239" i="3"/>
  <c r="A545" i="3"/>
  <c r="A240" i="3"/>
  <c r="A241" i="3"/>
  <c r="A546" i="3"/>
  <c r="A242" i="3"/>
  <c r="A243" i="3"/>
  <c r="A244" i="3"/>
  <c r="A245" i="3"/>
  <c r="A548" i="3"/>
  <c r="A246" i="3"/>
  <c r="A247" i="3"/>
  <c r="A248" i="3"/>
  <c r="A550" i="3"/>
  <c r="A551" i="3"/>
  <c r="A249" i="3"/>
  <c r="A250" i="3"/>
  <c r="A251" i="3"/>
  <c r="A252" i="3"/>
  <c r="A253" i="3"/>
  <c r="A254" i="3"/>
  <c r="A552" i="3"/>
  <c r="A255" i="3"/>
  <c r="A554" i="3"/>
  <c r="A256" i="3"/>
  <c r="A257" i="3"/>
  <c r="A258" i="3"/>
  <c r="A259" i="3"/>
  <c r="A555" i="3"/>
  <c r="A260" i="3"/>
  <c r="A556" i="3"/>
  <c r="A557" i="3"/>
  <c r="A261" i="3"/>
  <c r="A262" i="3"/>
  <c r="A558" i="3"/>
  <c r="A263" i="3"/>
  <c r="A264" i="3"/>
  <c r="A559" i="3"/>
  <c r="A265" i="3"/>
  <c r="A267" i="3"/>
  <c r="A268" i="3"/>
  <c r="A269" i="3"/>
  <c r="A561" i="3"/>
  <c r="A270" i="3"/>
  <c r="A271" i="3"/>
  <c r="A562" i="3"/>
  <c r="A272" i="3"/>
  <c r="A274" i="3"/>
  <c r="A275" i="3"/>
  <c r="A276" i="3"/>
  <c r="A565" i="3"/>
  <c r="A567" i="3"/>
  <c r="A277" i="3"/>
  <c r="A278" i="3"/>
  <c r="A279" i="3"/>
  <c r="A571" i="3"/>
  <c r="A572" i="3"/>
  <c r="A280" i="3"/>
  <c r="A575" i="3"/>
  <c r="A281" i="3"/>
  <c r="A282" i="3"/>
  <c r="A284" i="3"/>
  <c r="A285" i="3"/>
  <c r="A286" i="3"/>
  <c r="A576" i="3"/>
  <c r="A287" i="3"/>
  <c r="A288" i="3"/>
  <c r="A289" i="3"/>
  <c r="A290" i="3"/>
  <c r="A291" i="3"/>
  <c r="A292" i="3"/>
  <c r="A581" i="3"/>
  <c r="A583" i="3"/>
  <c r="A293" i="3"/>
  <c r="A294" i="3"/>
  <c r="A295" i="3"/>
  <c r="A296" i="3"/>
  <c r="A297" i="3"/>
  <c r="A584" i="3"/>
  <c r="A298" i="3"/>
  <c r="A299" i="3"/>
  <c r="A300" i="3"/>
  <c r="A301" i="3"/>
  <c r="A302" i="3"/>
  <c r="A303" i="3"/>
  <c r="A304" i="3"/>
  <c r="A588" i="3"/>
  <c r="A305" i="3"/>
  <c r="A306" i="3"/>
  <c r="A307" i="3"/>
  <c r="A308" i="3"/>
  <c r="A309" i="3"/>
  <c r="A310" i="3"/>
  <c r="A311" i="3"/>
  <c r="A312" i="3"/>
  <c r="A313" i="3"/>
  <c r="A314" i="3"/>
  <c r="A315" i="3"/>
  <c r="A316" i="3"/>
  <c r="A317" i="3"/>
  <c r="A592" i="3"/>
  <c r="A318" i="3"/>
  <c r="A319" i="3"/>
  <c r="A594" i="3"/>
  <c r="A596" i="3"/>
  <c r="A320" i="3"/>
  <c r="A321" i="3"/>
  <c r="A322" i="3"/>
  <c r="A323" i="3"/>
  <c r="A324" i="3"/>
  <c r="A325" i="3"/>
  <c r="A326" i="3"/>
  <c r="A327" i="3"/>
  <c r="A602" i="3"/>
  <c r="A328" i="3"/>
  <c r="A329" i="3"/>
  <c r="A605" i="3"/>
  <c r="A330" i="3"/>
  <c r="A606" i="3"/>
  <c r="A331" i="3"/>
  <c r="A332" i="3"/>
  <c r="A333" i="3"/>
  <c r="A334" i="3"/>
  <c r="A335" i="3"/>
  <c r="A609" i="3"/>
  <c r="A337" i="3"/>
  <c r="A338" i="3"/>
  <c r="A339" i="3"/>
  <c r="A340" i="3"/>
  <c r="A341" i="3"/>
  <c r="A613" i="3"/>
  <c r="A342" i="3"/>
  <c r="A343" i="3"/>
  <c r="A344" i="3"/>
  <c r="A345" i="3"/>
  <c r="A346" i="3"/>
  <c r="A618" i="3"/>
  <c r="A348" i="3"/>
  <c r="A349" i="3"/>
  <c r="A350" i="3"/>
  <c r="A351" i="3"/>
  <c r="A353" i="3"/>
  <c r="A354" i="3"/>
  <c r="A355" i="3"/>
  <c r="A356" i="3"/>
  <c r="A623" i="3"/>
  <c r="A358" i="3"/>
  <c r="A359" i="3"/>
  <c r="A360" i="3"/>
  <c r="A362" i="3"/>
  <c r="A363" i="3"/>
  <c r="A364" i="3"/>
  <c r="A366" i="3"/>
  <c r="A367" i="3"/>
  <c r="A368" i="3"/>
  <c r="A369" i="3"/>
  <c r="A629" i="3"/>
  <c r="A370" i="3"/>
  <c r="A632" i="3"/>
  <c r="A371" i="3"/>
  <c r="A372" i="3"/>
  <c r="A634" i="3"/>
  <c r="A373" i="3"/>
  <c r="A374" i="3"/>
  <c r="A638" i="3"/>
  <c r="A375" i="3"/>
  <c r="A376" i="3"/>
  <c r="A377" i="3"/>
  <c r="A378" i="3"/>
  <c r="A379" i="3"/>
  <c r="A380" i="3"/>
  <c r="A640" i="3"/>
  <c r="A659" i="3"/>
  <c r="A381" i="3"/>
  <c r="A382" i="3"/>
  <c r="A383" i="3"/>
  <c r="A384" i="3"/>
  <c r="A385" i="3"/>
  <c r="A387" i="3"/>
  <c r="A388" i="3"/>
  <c r="A389" i="3"/>
  <c r="A390" i="3"/>
  <c r="A391" i="3"/>
  <c r="A392" i="3"/>
  <c r="A393" i="3"/>
  <c r="A394" i="3"/>
  <c r="A395" i="3"/>
  <c r="A396" i="3"/>
  <c r="A397" i="3"/>
  <c r="A398" i="3"/>
  <c r="A615" i="3"/>
  <c r="A604" i="3"/>
  <c r="A458" i="3"/>
  <c r="A610" i="3"/>
  <c r="A616" i="3"/>
  <c r="A608" i="3"/>
  <c r="A641" i="3"/>
  <c r="A630" i="3"/>
  <c r="A508" i="3"/>
  <c r="A402" i="3"/>
  <c r="A570" i="3"/>
  <c r="A513" i="3"/>
  <c r="A598" i="3"/>
  <c r="A599" i="3"/>
  <c r="A521" i="3"/>
  <c r="A549" i="3"/>
  <c r="A461" i="3"/>
  <c r="A564" i="3"/>
  <c r="A462" i="3"/>
  <c r="A619" i="3"/>
  <c r="A422" i="3"/>
  <c r="A460" i="3"/>
  <c r="A427" i="3"/>
  <c r="A569" i="3"/>
  <c r="A466" i="3"/>
  <c r="A512" i="3"/>
  <c r="A405" i="3"/>
  <c r="A645" i="3"/>
  <c r="A539" i="3"/>
  <c r="A540" i="3"/>
  <c r="A423" i="3"/>
  <c r="A600" i="3"/>
  <c r="A450" i="3"/>
  <c r="A534" i="3"/>
  <c r="A511" i="3"/>
  <c r="A455" i="3"/>
  <c r="A595" i="3"/>
  <c r="A451" i="3"/>
  <c r="A425" i="3"/>
  <c r="A471" i="3"/>
  <c r="A601" i="3"/>
  <c r="A578" i="3"/>
  <c r="A603" i="3"/>
  <c r="A413" i="3"/>
  <c r="A577" i="3"/>
  <c r="A406" i="3"/>
  <c r="A408" i="3"/>
  <c r="A453" i="3"/>
  <c r="A620" i="3"/>
  <c r="A489" i="3"/>
  <c r="A622" i="3"/>
  <c r="A449" i="3"/>
  <c r="A626" i="3"/>
  <c r="A438" i="3"/>
  <c r="A614" i="3"/>
  <c r="A553" i="3"/>
  <c r="A538" i="3"/>
  <c r="A443" i="3"/>
  <c r="A566" i="3"/>
  <c r="A586" i="3"/>
  <c r="A428" i="3"/>
  <c r="A523" i="3"/>
  <c r="A621" i="3"/>
  <c r="A607" i="3"/>
  <c r="A589" i="3"/>
  <c r="A591" i="3"/>
  <c r="A437" i="3"/>
  <c r="A520" i="3"/>
  <c r="A593" i="3"/>
  <c r="A582" i="3"/>
  <c r="A424" i="3"/>
  <c r="A635" i="3"/>
  <c r="A426" i="3"/>
  <c r="A476" i="3"/>
  <c r="A637" i="3"/>
  <c r="A429" i="3"/>
  <c r="A627" i="3"/>
  <c r="A624" i="3"/>
  <c r="A597" i="3"/>
  <c r="A57" i="3"/>
  <c r="A3" i="4"/>
  <c r="A4" i="4"/>
  <c r="A5" i="4"/>
  <c r="A6" i="4"/>
  <c r="A7" i="4"/>
  <c r="A8" i="4"/>
  <c r="A9" i="4"/>
  <c r="A10" i="4"/>
  <c r="A11" i="4"/>
  <c r="A12" i="4"/>
  <c r="A13" i="4"/>
  <c r="A14" i="4"/>
  <c r="A15" i="4"/>
  <c r="A16" i="4"/>
  <c r="A17" i="4"/>
  <c r="A18" i="4"/>
  <c r="A19" i="4"/>
  <c r="A20" i="4"/>
  <c r="A21" i="4"/>
  <c r="A22" i="4"/>
  <c r="A23" i="4"/>
  <c r="A24" i="4"/>
  <c r="A2" i="4"/>
  <c r="L2" i="4"/>
  <c r="M441" i="3" s="1"/>
  <c r="E2" i="4"/>
  <c r="K526" i="2" s="1"/>
  <c r="D2" i="4"/>
  <c r="N597" i="3"/>
  <c r="N624" i="3"/>
  <c r="N627" i="3"/>
  <c r="N429" i="3"/>
  <c r="N637" i="3"/>
  <c r="N476" i="3"/>
  <c r="N426" i="3"/>
  <c r="N635" i="3"/>
  <c r="N424" i="3"/>
  <c r="N582" i="3"/>
  <c r="N593" i="3"/>
  <c r="N520" i="3"/>
  <c r="N437" i="3"/>
  <c r="L437" i="3"/>
  <c r="N591" i="3"/>
  <c r="N589" i="3"/>
  <c r="N607" i="3"/>
  <c r="N621" i="3"/>
  <c r="N523" i="3"/>
  <c r="N428" i="3"/>
  <c r="N586" i="3"/>
  <c r="N566" i="3"/>
  <c r="N443" i="3"/>
  <c r="N538" i="3"/>
  <c r="N553" i="3"/>
  <c r="N614" i="3"/>
  <c r="N438" i="3"/>
  <c r="N626" i="3"/>
  <c r="N449" i="3"/>
  <c r="N622" i="3"/>
  <c r="N489" i="3"/>
  <c r="N620" i="3"/>
  <c r="N453" i="3"/>
  <c r="N408" i="3"/>
  <c r="N406" i="3"/>
  <c r="N577" i="3"/>
  <c r="N413" i="3"/>
  <c r="N603" i="3"/>
  <c r="N578" i="3"/>
  <c r="N601" i="3"/>
  <c r="N471" i="3"/>
  <c r="N425" i="3"/>
  <c r="N451" i="3"/>
  <c r="N595" i="3"/>
  <c r="N455" i="3"/>
  <c r="N511" i="3"/>
  <c r="N534" i="3"/>
  <c r="N450" i="3"/>
  <c r="N600" i="3"/>
  <c r="N423" i="3"/>
  <c r="N540" i="3"/>
  <c r="N539" i="3"/>
  <c r="N645" i="3"/>
  <c r="N405" i="3"/>
  <c r="N512" i="3"/>
  <c r="N466" i="3"/>
  <c r="N569" i="3"/>
  <c r="N427" i="3"/>
  <c r="N460" i="3"/>
  <c r="N422" i="3"/>
  <c r="N619" i="3"/>
  <c r="N462" i="3"/>
  <c r="N564" i="3"/>
  <c r="N461" i="3"/>
  <c r="N549" i="3"/>
  <c r="N521" i="3"/>
  <c r="N599" i="3"/>
  <c r="N598" i="3"/>
  <c r="N513" i="3"/>
  <c r="N570" i="3"/>
  <c r="N402" i="3"/>
  <c r="N508" i="3"/>
  <c r="N630" i="3"/>
  <c r="N641" i="3"/>
  <c r="N608" i="3"/>
  <c r="N616" i="3"/>
  <c r="N610" i="3"/>
  <c r="N458" i="3"/>
  <c r="N604" i="3"/>
  <c r="N615" i="3"/>
  <c r="N398" i="3"/>
  <c r="N397" i="3"/>
  <c r="N396" i="3"/>
  <c r="N395" i="3"/>
  <c r="N394" i="3"/>
  <c r="N393" i="3"/>
  <c r="N392" i="3"/>
  <c r="N391" i="3"/>
  <c r="N390" i="3"/>
  <c r="N389" i="3"/>
  <c r="N388" i="3"/>
  <c r="N387" i="3"/>
  <c r="N385" i="3"/>
  <c r="N384" i="3"/>
  <c r="N383" i="3"/>
  <c r="N382" i="3"/>
  <c r="N381" i="3"/>
  <c r="N659" i="3"/>
  <c r="N640" i="3"/>
  <c r="N380" i="3"/>
  <c r="N379" i="3"/>
  <c r="N378" i="3"/>
  <c r="N377" i="3"/>
  <c r="N376" i="3"/>
  <c r="N375" i="3"/>
  <c r="N638" i="3"/>
  <c r="N374" i="3"/>
  <c r="N373" i="3"/>
  <c r="N634" i="3"/>
  <c r="N372" i="3"/>
  <c r="N371" i="3"/>
  <c r="N632" i="3"/>
  <c r="N370" i="3"/>
  <c r="N629" i="3"/>
  <c r="N369" i="3"/>
  <c r="N368" i="3"/>
  <c r="N367" i="3"/>
  <c r="N366" i="3"/>
  <c r="N364" i="3"/>
  <c r="N363" i="3"/>
  <c r="N362" i="3"/>
  <c r="N360" i="3"/>
  <c r="N359" i="3"/>
  <c r="N358" i="3"/>
  <c r="N623" i="3"/>
  <c r="N356" i="3"/>
  <c r="N355" i="3"/>
  <c r="N354" i="3"/>
  <c r="N353" i="3"/>
  <c r="N351" i="3"/>
  <c r="N350" i="3"/>
  <c r="N349" i="3"/>
  <c r="N348" i="3"/>
  <c r="N618" i="3"/>
  <c r="N346" i="3"/>
  <c r="N345" i="3"/>
  <c r="N344" i="3"/>
  <c r="N343" i="3"/>
  <c r="N342" i="3"/>
  <c r="N613" i="3"/>
  <c r="N341" i="3"/>
  <c r="N340" i="3"/>
  <c r="N339" i="3"/>
  <c r="N338" i="3"/>
  <c r="N337" i="3"/>
  <c r="N609" i="3"/>
  <c r="N335" i="3"/>
  <c r="N334" i="3"/>
  <c r="N333" i="3"/>
  <c r="N332" i="3"/>
  <c r="N331" i="3"/>
  <c r="N606" i="3"/>
  <c r="N330" i="3"/>
  <c r="N605" i="3"/>
  <c r="N329" i="3"/>
  <c r="N328" i="3"/>
  <c r="N602" i="3"/>
  <c r="N327" i="3"/>
  <c r="N326" i="3"/>
  <c r="N325" i="3"/>
  <c r="N324" i="3"/>
  <c r="N323" i="3"/>
  <c r="N322" i="3"/>
  <c r="N321" i="3"/>
  <c r="N320" i="3"/>
  <c r="N596" i="3"/>
  <c r="N594" i="3"/>
  <c r="N319" i="3"/>
  <c r="N318" i="3"/>
  <c r="N592" i="3"/>
  <c r="N317" i="3"/>
  <c r="N316" i="3"/>
  <c r="N315" i="3"/>
  <c r="N314" i="3"/>
  <c r="N313" i="3"/>
  <c r="N312" i="3"/>
  <c r="N311" i="3"/>
  <c r="N310" i="3"/>
  <c r="N309" i="3"/>
  <c r="N308" i="3"/>
  <c r="N307" i="3"/>
  <c r="N306" i="3"/>
  <c r="N305" i="3"/>
  <c r="N588" i="3"/>
  <c r="N304" i="3"/>
  <c r="N303" i="3"/>
  <c r="N302" i="3"/>
  <c r="N301" i="3"/>
  <c r="N300" i="3"/>
  <c r="N299" i="3"/>
  <c r="N298" i="3"/>
  <c r="N584" i="3"/>
  <c r="N297" i="3"/>
  <c r="N296" i="3"/>
  <c r="N295" i="3"/>
  <c r="N294" i="3"/>
  <c r="N293" i="3"/>
  <c r="N583" i="3"/>
  <c r="N581" i="3"/>
  <c r="N292" i="3"/>
  <c r="N291" i="3"/>
  <c r="N290" i="3"/>
  <c r="N289" i="3"/>
  <c r="N288" i="3"/>
  <c r="N287" i="3"/>
  <c r="N576" i="3"/>
  <c r="N286" i="3"/>
  <c r="N285" i="3"/>
  <c r="N284" i="3"/>
  <c r="N282" i="3"/>
  <c r="N281" i="3"/>
  <c r="N575" i="3"/>
  <c r="N280" i="3"/>
  <c r="N572" i="3"/>
  <c r="N571" i="3"/>
  <c r="N279" i="3"/>
  <c r="N278" i="3"/>
  <c r="N277" i="3"/>
  <c r="N567" i="3"/>
  <c r="N565" i="3"/>
  <c r="N276" i="3"/>
  <c r="N275" i="3"/>
  <c r="N274" i="3"/>
  <c r="N272" i="3"/>
  <c r="N562" i="3"/>
  <c r="N271" i="3"/>
  <c r="N270" i="3"/>
  <c r="N561" i="3"/>
  <c r="N269" i="3"/>
  <c r="N268" i="3"/>
  <c r="N267" i="3"/>
  <c r="N265" i="3"/>
  <c r="N559" i="3"/>
  <c r="N264" i="3"/>
  <c r="N263" i="3"/>
  <c r="N558" i="3"/>
  <c r="N262" i="3"/>
  <c r="N261" i="3"/>
  <c r="N557" i="3"/>
  <c r="N556" i="3"/>
  <c r="N260" i="3"/>
  <c r="N555" i="3"/>
  <c r="N259" i="3"/>
  <c r="N258" i="3"/>
  <c r="N257" i="3"/>
  <c r="N256" i="3"/>
  <c r="N554" i="3"/>
  <c r="N255" i="3"/>
  <c r="N552" i="3"/>
  <c r="N254" i="3"/>
  <c r="N253" i="3"/>
  <c r="N252" i="3"/>
  <c r="N251" i="3"/>
  <c r="N250" i="3"/>
  <c r="N249" i="3"/>
  <c r="N551" i="3"/>
  <c r="N550" i="3"/>
  <c r="N248" i="3"/>
  <c r="N247" i="3"/>
  <c r="N246" i="3"/>
  <c r="N548" i="3"/>
  <c r="N245" i="3"/>
  <c r="N244" i="3"/>
  <c r="N243" i="3"/>
  <c r="N242" i="3"/>
  <c r="N546" i="3"/>
  <c r="N241" i="3"/>
  <c r="N240" i="3"/>
  <c r="N545" i="3"/>
  <c r="N239" i="3"/>
  <c r="N238" i="3"/>
  <c r="N237" i="3"/>
  <c r="N235" i="3"/>
  <c r="N543" i="3"/>
  <c r="N234" i="3"/>
  <c r="N233" i="3"/>
  <c r="N232" i="3"/>
  <c r="N542" i="3"/>
  <c r="N231" i="3"/>
  <c r="N230" i="3"/>
  <c r="N541" i="3"/>
  <c r="N229" i="3"/>
  <c r="N228" i="3"/>
  <c r="N227" i="3"/>
  <c r="N226" i="3"/>
  <c r="N225" i="3"/>
  <c r="N224" i="3"/>
  <c r="N223" i="3"/>
  <c r="N222" i="3"/>
  <c r="N221" i="3"/>
  <c r="N219" i="3"/>
  <c r="N218" i="3"/>
  <c r="N658" i="3"/>
  <c r="N217" i="3"/>
  <c r="N216" i="3"/>
  <c r="N215" i="3"/>
  <c r="N214" i="3"/>
  <c r="N213" i="3"/>
  <c r="N211" i="3"/>
  <c r="N210" i="3"/>
  <c r="N209" i="3"/>
  <c r="N208" i="3"/>
  <c r="N206" i="3"/>
  <c r="N205" i="3"/>
  <c r="N537" i="3"/>
  <c r="N536" i="3"/>
  <c r="N535" i="3"/>
  <c r="N204" i="3"/>
  <c r="N203" i="3"/>
  <c r="N202" i="3"/>
  <c r="N201" i="3"/>
  <c r="N200" i="3"/>
  <c r="N199" i="3"/>
  <c r="N198" i="3"/>
  <c r="N197" i="3"/>
  <c r="N533" i="3"/>
  <c r="N196" i="3"/>
  <c r="N532" i="3"/>
  <c r="N530" i="3"/>
  <c r="N195" i="3"/>
  <c r="N194" i="3"/>
  <c r="N529" i="3"/>
  <c r="N193" i="3"/>
  <c r="N192" i="3"/>
  <c r="N191" i="3"/>
  <c r="N528" i="3"/>
  <c r="N190" i="3"/>
  <c r="N527" i="3"/>
  <c r="N189" i="3"/>
  <c r="N526" i="3"/>
  <c r="N188" i="3"/>
  <c r="N525" i="3"/>
  <c r="N186" i="3"/>
  <c r="N185" i="3"/>
  <c r="N184" i="3"/>
  <c r="N183" i="3"/>
  <c r="N182" i="3"/>
  <c r="N181" i="3"/>
  <c r="N180" i="3"/>
  <c r="N178" i="3"/>
  <c r="N522" i="3"/>
  <c r="N177" i="3"/>
  <c r="N176" i="3"/>
  <c r="N175" i="3"/>
  <c r="N174" i="3"/>
  <c r="N519" i="3"/>
  <c r="N173" i="3"/>
  <c r="N517" i="3"/>
  <c r="N171" i="3"/>
  <c r="N170" i="3"/>
  <c r="N169" i="3"/>
  <c r="N168" i="3"/>
  <c r="N167" i="3"/>
  <c r="N166" i="3"/>
  <c r="N165" i="3"/>
  <c r="N164" i="3"/>
  <c r="N163" i="3"/>
  <c r="N162" i="3"/>
  <c r="N161" i="3"/>
  <c r="N160" i="3"/>
  <c r="N509" i="3"/>
  <c r="N159" i="3"/>
  <c r="N158" i="3"/>
  <c r="N157" i="3"/>
  <c r="N156" i="3"/>
  <c r="N507" i="3"/>
  <c r="N506" i="3"/>
  <c r="N505" i="3"/>
  <c r="N155" i="3"/>
  <c r="N504" i="3"/>
  <c r="N503" i="3"/>
  <c r="N502" i="3"/>
  <c r="N501" i="3"/>
  <c r="N500" i="3"/>
  <c r="N499" i="3"/>
  <c r="N498" i="3"/>
  <c r="N654" i="3"/>
  <c r="N497" i="3"/>
  <c r="N496" i="3"/>
  <c r="N495" i="3"/>
  <c r="N494" i="3"/>
  <c r="N493" i="3"/>
  <c r="N492" i="3"/>
  <c r="N491" i="3"/>
  <c r="N653" i="3"/>
  <c r="N490" i="3"/>
  <c r="N652" i="3"/>
  <c r="N651" i="3"/>
  <c r="N488" i="3"/>
  <c r="N487" i="3"/>
  <c r="N650" i="3"/>
  <c r="N649" i="3"/>
  <c r="N486" i="3"/>
  <c r="N485" i="3"/>
  <c r="N484" i="3"/>
  <c r="N648" i="3"/>
  <c r="N483" i="3"/>
  <c r="N482" i="3"/>
  <c r="N481" i="3"/>
  <c r="N647" i="3"/>
  <c r="N480" i="3"/>
  <c r="N479" i="3"/>
  <c r="N478" i="3"/>
  <c r="N153" i="3"/>
  <c r="N152" i="3"/>
  <c r="N151" i="3"/>
  <c r="N150" i="3"/>
  <c r="N477" i="3"/>
  <c r="N148" i="3"/>
  <c r="N147" i="3"/>
  <c r="N473" i="3"/>
  <c r="N146" i="3"/>
  <c r="N145" i="3"/>
  <c r="N144" i="3"/>
  <c r="N143" i="3"/>
  <c r="N470" i="3"/>
  <c r="N141" i="3"/>
  <c r="N140" i="3"/>
  <c r="N139" i="3"/>
  <c r="N138" i="3"/>
  <c r="N467" i="3"/>
  <c r="N137" i="3"/>
  <c r="N136" i="3"/>
  <c r="N135" i="3"/>
  <c r="N134" i="3"/>
  <c r="N465" i="3"/>
  <c r="N133" i="3"/>
  <c r="N464" i="3"/>
  <c r="N132" i="3"/>
  <c r="N131" i="3"/>
  <c r="N130" i="3"/>
  <c r="N129" i="3"/>
  <c r="N128" i="3"/>
  <c r="N127" i="3"/>
  <c r="N126" i="3"/>
  <c r="N125" i="3"/>
  <c r="N124" i="3"/>
  <c r="N123" i="3"/>
  <c r="N122" i="3"/>
  <c r="N121" i="3"/>
  <c r="N120" i="3"/>
  <c r="N459" i="3"/>
  <c r="N119" i="3"/>
  <c r="N118" i="3"/>
  <c r="N117" i="3"/>
  <c r="N116" i="3"/>
  <c r="N457" i="3"/>
  <c r="N115" i="3"/>
  <c r="N114" i="3"/>
  <c r="N113" i="3"/>
  <c r="N112" i="3"/>
  <c r="N111" i="3"/>
  <c r="N110" i="3"/>
  <c r="N108" i="3"/>
  <c r="N107" i="3"/>
  <c r="N106" i="3"/>
  <c r="N105" i="3"/>
  <c r="N104" i="3"/>
  <c r="N454" i="3"/>
  <c r="N103" i="3"/>
  <c r="N102" i="3"/>
  <c r="N101" i="3"/>
  <c r="N100" i="3"/>
  <c r="N99" i="3"/>
  <c r="N98" i="3"/>
  <c r="N97" i="3"/>
  <c r="N96" i="3"/>
  <c r="N95" i="3"/>
  <c r="N94" i="3"/>
  <c r="N93" i="3"/>
  <c r="N92" i="3"/>
  <c r="N91" i="3"/>
  <c r="N90" i="3"/>
  <c r="N89" i="3"/>
  <c r="N448" i="3"/>
  <c r="N88" i="3"/>
  <c r="N87" i="3"/>
  <c r="N86" i="3"/>
  <c r="N84" i="3"/>
  <c r="N83" i="3"/>
  <c r="N82" i="3"/>
  <c r="N81" i="3"/>
  <c r="N80" i="3"/>
  <c r="N79" i="3"/>
  <c r="N447" i="3"/>
  <c r="N78" i="3"/>
  <c r="N77" i="3"/>
  <c r="N445" i="3"/>
  <c r="N444" i="3"/>
  <c r="N76" i="3"/>
  <c r="N75" i="3"/>
  <c r="N442" i="3"/>
  <c r="N74" i="3"/>
  <c r="N73" i="3"/>
  <c r="N72" i="3"/>
  <c r="N71" i="3"/>
  <c r="N440" i="3"/>
  <c r="N69" i="3"/>
  <c r="N68" i="3"/>
  <c r="N439" i="3"/>
  <c r="N436" i="3"/>
  <c r="N67" i="3"/>
  <c r="N66" i="3"/>
  <c r="N435" i="3"/>
  <c r="N65" i="3"/>
  <c r="N64" i="3"/>
  <c r="N433" i="3"/>
  <c r="N432" i="3"/>
  <c r="N62" i="3"/>
  <c r="N60" i="3"/>
  <c r="N646" i="3"/>
  <c r="N431" i="3"/>
  <c r="N59" i="3"/>
  <c r="N58" i="3"/>
  <c r="N430" i="3"/>
  <c r="N56" i="3"/>
  <c r="N55" i="3"/>
  <c r="N54" i="3"/>
  <c r="N53" i="3"/>
  <c r="N52" i="3"/>
  <c r="N51" i="3"/>
  <c r="N50" i="3"/>
  <c r="N49" i="3"/>
  <c r="N47" i="3"/>
  <c r="N421" i="3"/>
  <c r="N420" i="3"/>
  <c r="N419" i="3"/>
  <c r="N418" i="3"/>
  <c r="K418" i="3"/>
  <c r="N45" i="3"/>
  <c r="N44" i="3"/>
  <c r="N43" i="3"/>
  <c r="N42" i="3"/>
  <c r="N41" i="3"/>
  <c r="N40" i="3"/>
  <c r="N39" i="3"/>
  <c r="N417" i="3"/>
  <c r="N38" i="3"/>
  <c r="N416" i="3"/>
  <c r="N37" i="3"/>
  <c r="N36" i="3"/>
  <c r="N35" i="3"/>
  <c r="N34" i="3"/>
  <c r="N33" i="3"/>
  <c r="N32" i="3"/>
  <c r="N31" i="3"/>
  <c r="N30" i="3"/>
  <c r="N415" i="3"/>
  <c r="N28" i="3"/>
  <c r="N410" i="3"/>
  <c r="N25" i="3"/>
  <c r="N409" i="3"/>
  <c r="N24" i="3"/>
  <c r="N23" i="3"/>
  <c r="N22" i="3"/>
  <c r="N21" i="3"/>
  <c r="N20" i="3"/>
  <c r="N407" i="3"/>
  <c r="N19" i="3"/>
  <c r="N404" i="3"/>
  <c r="N403" i="3"/>
  <c r="N18" i="3"/>
  <c r="N17" i="3"/>
  <c r="N16" i="3"/>
  <c r="N15" i="3"/>
  <c r="N14" i="3"/>
  <c r="N13" i="3"/>
  <c r="N12" i="3"/>
  <c r="N11" i="3"/>
  <c r="N10" i="3"/>
  <c r="N9" i="3"/>
  <c r="N8" i="3"/>
  <c r="N7" i="3"/>
  <c r="N6" i="3"/>
  <c r="N5" i="3"/>
  <c r="N4" i="3"/>
  <c r="N3" i="3"/>
  <c r="N2" i="3"/>
  <c r="N57" i="3"/>
  <c r="J74" i="2"/>
  <c r="J96" i="2"/>
  <c r="J99" i="2"/>
  <c r="J66" i="2"/>
  <c r="J61" i="2"/>
  <c r="J60" i="2"/>
  <c r="J31" i="2"/>
  <c r="J35" i="2"/>
  <c r="J75" i="2"/>
  <c r="J41" i="2"/>
  <c r="J98" i="2"/>
  <c r="J93" i="2"/>
  <c r="J92" i="2"/>
  <c r="J104" i="2"/>
  <c r="J57" i="2"/>
  <c r="J62" i="2"/>
  <c r="J103" i="2"/>
  <c r="J72" i="2"/>
  <c r="J50" i="2"/>
  <c r="J89" i="2"/>
  <c r="J86" i="2"/>
  <c r="J52" i="2"/>
  <c r="J53" i="2"/>
  <c r="J101" i="2"/>
  <c r="J46" i="2"/>
  <c r="J106" i="2"/>
  <c r="J97" i="2"/>
  <c r="J77" i="2"/>
  <c r="J94" i="2"/>
  <c r="J91" i="2"/>
  <c r="J84" i="2"/>
  <c r="J83" i="2"/>
  <c r="J85" i="2"/>
  <c r="J87" i="2"/>
  <c r="J105" i="2"/>
  <c r="J64" i="2"/>
  <c r="J90" i="2"/>
  <c r="J79" i="2"/>
  <c r="J33" i="2"/>
  <c r="J82" i="2"/>
  <c r="J68" i="2"/>
  <c r="J48" i="2"/>
  <c r="J45" i="2"/>
  <c r="J42" i="2"/>
  <c r="J40" i="2"/>
  <c r="J39" i="2"/>
  <c r="J36" i="2"/>
  <c r="J56" i="2"/>
  <c r="J144" i="2"/>
  <c r="J102" i="2"/>
  <c r="J69" i="2"/>
  <c r="J174" i="2"/>
  <c r="J81" i="2"/>
  <c r="J100" i="2"/>
  <c r="K328" i="2"/>
  <c r="J363" i="2"/>
  <c r="K166" i="2"/>
  <c r="J301" i="2"/>
  <c r="K279" i="2"/>
  <c r="K21" i="2"/>
  <c r="K276" i="2"/>
  <c r="K55" i="2"/>
  <c r="J55" i="2"/>
  <c r="K437" i="2"/>
  <c r="K435" i="2"/>
  <c r="K34" i="2"/>
  <c r="J34" i="2"/>
  <c r="K298" i="2"/>
  <c r="K325" i="2"/>
  <c r="K271" i="2"/>
  <c r="J271" i="2"/>
  <c r="K30" i="2"/>
  <c r="J30" i="2"/>
  <c r="K329" i="2"/>
  <c r="K78" i="2"/>
  <c r="J78" i="2"/>
  <c r="K250" i="2"/>
  <c r="J250" i="2"/>
  <c r="K130" i="2"/>
  <c r="J130" i="2"/>
  <c r="K433" i="2"/>
  <c r="K512" i="2"/>
  <c r="K15" i="2"/>
  <c r="J15" i="2"/>
  <c r="K88" i="2"/>
  <c r="J88" i="2"/>
  <c r="K334" i="2"/>
  <c r="K211" i="2"/>
  <c r="K3" i="2"/>
  <c r="J3" i="2"/>
  <c r="K428" i="2"/>
  <c r="J428" i="2"/>
  <c r="K186" i="2"/>
  <c r="K256" i="2"/>
  <c r="K293" i="2"/>
  <c r="J293" i="2"/>
  <c r="K47" i="2"/>
  <c r="J47" i="2"/>
  <c r="K160" i="2"/>
  <c r="K497" i="2"/>
  <c r="K44" i="2"/>
  <c r="J44" i="2"/>
  <c r="K18" i="2"/>
  <c r="J18" i="2"/>
  <c r="K503" i="2"/>
  <c r="K472" i="2"/>
  <c r="K58" i="2"/>
  <c r="J58" i="2"/>
  <c r="K478" i="2"/>
  <c r="J478" i="2"/>
  <c r="K345" i="2"/>
  <c r="K10" i="2"/>
  <c r="K29" i="2"/>
  <c r="J29" i="2"/>
  <c r="K242" i="2"/>
  <c r="J242" i="2"/>
  <c r="K450" i="2"/>
  <c r="K54" i="2"/>
  <c r="J54" i="2"/>
  <c r="K143" i="2"/>
  <c r="J143" i="2"/>
  <c r="K63" i="2"/>
  <c r="J63" i="2"/>
  <c r="K414" i="2"/>
  <c r="K23" i="2"/>
  <c r="J23" i="2"/>
  <c r="K227" i="2"/>
  <c r="J227" i="2"/>
  <c r="K194" i="2"/>
  <c r="J194" i="2"/>
  <c r="K267" i="2"/>
  <c r="J267" i="2"/>
  <c r="K461" i="2"/>
  <c r="J461" i="2"/>
  <c r="K359" i="2"/>
  <c r="J359" i="2"/>
  <c r="K239" i="2"/>
  <c r="J239" i="2"/>
  <c r="K337" i="2"/>
  <c r="J337" i="2"/>
  <c r="K477" i="2"/>
  <c r="J477" i="2"/>
  <c r="K43" i="2"/>
  <c r="J43" i="2"/>
  <c r="K514" i="2"/>
  <c r="J514" i="2"/>
  <c r="K65" i="2"/>
  <c r="J65" i="2"/>
  <c r="K145" i="2"/>
  <c r="J145" i="2"/>
  <c r="K5" i="2"/>
  <c r="J5" i="2"/>
  <c r="K8" i="2"/>
  <c r="J8" i="2"/>
  <c r="K252" i="2"/>
  <c r="J252" i="2"/>
  <c r="K199" i="2"/>
  <c r="J199" i="2"/>
  <c r="K501" i="2"/>
  <c r="J501" i="2"/>
  <c r="K308" i="2"/>
  <c r="J308" i="2"/>
  <c r="K206" i="2"/>
  <c r="J206" i="2"/>
  <c r="K303" i="2"/>
  <c r="J303" i="2"/>
  <c r="K349" i="2"/>
  <c r="J349" i="2"/>
  <c r="K37" i="2"/>
  <c r="J37" i="2"/>
  <c r="K319" i="2"/>
  <c r="J319" i="2"/>
  <c r="K49" i="2"/>
  <c r="J49" i="2"/>
  <c r="K304" i="2"/>
  <c r="J304" i="2"/>
  <c r="K153" i="2"/>
  <c r="J153" i="2"/>
  <c r="K233" i="2"/>
  <c r="J233" i="2"/>
  <c r="K292" i="2"/>
  <c r="J292" i="2"/>
  <c r="K392" i="2"/>
  <c r="J392" i="2"/>
  <c r="K395" i="2"/>
  <c r="J395" i="2"/>
  <c r="K235" i="2"/>
  <c r="J235" i="2"/>
  <c r="K51" i="2"/>
  <c r="J51" i="2"/>
  <c r="K122" i="2"/>
  <c r="J122" i="2"/>
  <c r="K80" i="2"/>
  <c r="J80" i="2"/>
  <c r="K309" i="2"/>
  <c r="J309" i="2"/>
  <c r="K95" i="2"/>
  <c r="J95" i="2"/>
  <c r="K70" i="2"/>
  <c r="J70" i="2"/>
  <c r="K515" i="2"/>
  <c r="J515" i="2"/>
  <c r="K222" i="2"/>
  <c r="J222" i="2"/>
  <c r="K324" i="2"/>
  <c r="J324" i="2"/>
  <c r="K394" i="2"/>
  <c r="J394" i="2"/>
  <c r="K71" i="2"/>
  <c r="J71" i="2"/>
  <c r="K210" i="2"/>
  <c r="J210" i="2"/>
  <c r="K32" i="2"/>
  <c r="J32" i="2"/>
  <c r="K38" i="2"/>
  <c r="J38" i="2"/>
  <c r="K423" i="2"/>
  <c r="J423" i="2"/>
  <c r="K482" i="2"/>
  <c r="J482" i="2"/>
  <c r="K285" i="2"/>
  <c r="J285" i="2"/>
  <c r="K316" i="2"/>
  <c r="J316" i="2"/>
  <c r="K188" i="2"/>
  <c r="J188" i="2"/>
  <c r="K275" i="2"/>
  <c r="J275" i="2"/>
  <c r="K327" i="2"/>
  <c r="J327" i="2"/>
  <c r="K67" i="2"/>
  <c r="J67" i="2"/>
  <c r="K170" i="2"/>
  <c r="J170" i="2"/>
  <c r="K269" i="2"/>
  <c r="J269" i="2"/>
  <c r="K175" i="2"/>
  <c r="J175" i="2"/>
  <c r="K368" i="2"/>
  <c r="J368" i="2"/>
  <c r="K351" i="2"/>
  <c r="J351" i="2"/>
  <c r="K486" i="2"/>
  <c r="J486" i="2"/>
  <c r="K495" i="2"/>
  <c r="J495" i="2"/>
  <c r="K121" i="2"/>
  <c r="J121" i="2"/>
  <c r="K260" i="2"/>
  <c r="J260" i="2"/>
  <c r="K376" i="2"/>
  <c r="J376" i="2"/>
  <c r="K249" i="2"/>
  <c r="J249" i="2"/>
  <c r="M656" i="3" l="1"/>
  <c r="L656" i="3"/>
  <c r="M657" i="3"/>
  <c r="L657" i="3"/>
  <c r="J526" i="2"/>
  <c r="M194" i="3"/>
  <c r="M254" i="3"/>
  <c r="M289" i="3"/>
  <c r="M598" i="3"/>
  <c r="K490" i="2"/>
  <c r="J396" i="2"/>
  <c r="M487" i="3"/>
  <c r="J10" i="2"/>
  <c r="J472" i="2"/>
  <c r="J497" i="2"/>
  <c r="J256" i="2"/>
  <c r="J211" i="2"/>
  <c r="J512" i="2"/>
  <c r="J325" i="2"/>
  <c r="J251" i="2"/>
  <c r="J14" i="2"/>
  <c r="J414" i="2"/>
  <c r="J450" i="2"/>
  <c r="J345" i="2"/>
  <c r="J503" i="2"/>
  <c r="J160" i="2"/>
  <c r="J186" i="2"/>
  <c r="J334" i="2"/>
  <c r="J433" i="2"/>
  <c r="J329" i="2"/>
  <c r="J298" i="2"/>
  <c r="J276" i="2"/>
  <c r="K360" i="2"/>
  <c r="L534" i="3"/>
  <c r="K253" i="2"/>
  <c r="K485" i="2"/>
  <c r="K339" i="2"/>
  <c r="J223" i="2"/>
  <c r="M418" i="3"/>
  <c r="M444" i="3"/>
  <c r="L454" i="3"/>
  <c r="J240" i="2"/>
  <c r="K448" i="2"/>
  <c r="J24" i="2"/>
  <c r="J460" i="2"/>
  <c r="J358" i="2"/>
  <c r="K311" i="2"/>
  <c r="K27" i="2"/>
  <c r="M25" i="3"/>
  <c r="J159" i="2"/>
  <c r="J193" i="2"/>
  <c r="J525" i="2"/>
  <c r="J21" i="2"/>
  <c r="K159" i="2"/>
  <c r="J444" i="2"/>
  <c r="K81" i="2"/>
  <c r="J489" i="2"/>
  <c r="J192" i="2"/>
  <c r="J419" i="2"/>
  <c r="K444" i="2"/>
  <c r="J504" i="2"/>
  <c r="K357" i="2"/>
  <c r="J279" i="2"/>
  <c r="K419" i="2"/>
  <c r="K504" i="2"/>
  <c r="M10" i="3"/>
  <c r="M22" i="3"/>
  <c r="M465" i="3"/>
  <c r="M484" i="3"/>
  <c r="L108" i="3"/>
  <c r="M457" i="3"/>
  <c r="M49" i="3"/>
  <c r="L104" i="3"/>
  <c r="L485" i="3"/>
  <c r="L522" i="3"/>
  <c r="M6" i="3"/>
  <c r="M84" i="3"/>
  <c r="M137" i="3"/>
  <c r="L143" i="3"/>
  <c r="M76" i="3"/>
  <c r="L133" i="3"/>
  <c r="M436" i="3"/>
  <c r="M73" i="3"/>
  <c r="L93" i="3"/>
  <c r="M100" i="3"/>
  <c r="L123" i="3"/>
  <c r="L130" i="3"/>
  <c r="M151" i="3"/>
  <c r="L481" i="3"/>
  <c r="M64" i="3"/>
  <c r="M448" i="3"/>
  <c r="M119" i="3"/>
  <c r="L473" i="3"/>
  <c r="L606" i="3"/>
  <c r="M34" i="3"/>
  <c r="L583" i="3"/>
  <c r="M65" i="3"/>
  <c r="L89" i="3"/>
  <c r="L459" i="3"/>
  <c r="L147" i="3"/>
  <c r="M60" i="3"/>
  <c r="L492" i="3"/>
  <c r="L504" i="3"/>
  <c r="M249" i="3"/>
  <c r="M404" i="3"/>
  <c r="M69" i="3"/>
  <c r="M74" i="3"/>
  <c r="M80" i="3"/>
  <c r="M86" i="3"/>
  <c r="M96" i="3"/>
  <c r="L101" i="3"/>
  <c r="M112" i="3"/>
  <c r="L116" i="3"/>
  <c r="L126" i="3"/>
  <c r="M131" i="3"/>
  <c r="L139" i="3"/>
  <c r="M144" i="3"/>
  <c r="L478" i="3"/>
  <c r="M482" i="3"/>
  <c r="L651" i="3"/>
  <c r="M536" i="3"/>
  <c r="M219" i="3"/>
  <c r="L572" i="3"/>
  <c r="M285" i="3"/>
  <c r="M315" i="3"/>
  <c r="L370" i="3"/>
  <c r="M30" i="3"/>
  <c r="M419" i="3"/>
  <c r="M500" i="3"/>
  <c r="M250" i="3"/>
  <c r="M565" i="3"/>
  <c r="M303" i="3"/>
  <c r="M2" i="3"/>
  <c r="M42" i="3"/>
  <c r="M58" i="3"/>
  <c r="M67" i="3"/>
  <c r="M440" i="3"/>
  <c r="M78" i="3"/>
  <c r="M81" i="3"/>
  <c r="M92" i="3"/>
  <c r="L97" i="3"/>
  <c r="M107" i="3"/>
  <c r="L113" i="3"/>
  <c r="M122" i="3"/>
  <c r="M127" i="3"/>
  <c r="L136" i="3"/>
  <c r="M140" i="3"/>
  <c r="L150" i="3"/>
  <c r="M479" i="3"/>
  <c r="L650" i="3"/>
  <c r="L652" i="3"/>
  <c r="M168" i="3"/>
  <c r="M525" i="3"/>
  <c r="M280" i="3"/>
  <c r="M348" i="3"/>
  <c r="M16" i="3"/>
  <c r="M53" i="3"/>
  <c r="L501" i="3"/>
  <c r="M182" i="3"/>
  <c r="L196" i="3"/>
  <c r="M202" i="3"/>
  <c r="L265" i="3"/>
  <c r="M562" i="3"/>
  <c r="L304" i="3"/>
  <c r="L623" i="3"/>
  <c r="M21" i="3"/>
  <c r="M417" i="3"/>
  <c r="M54" i="3"/>
  <c r="M183" i="3"/>
  <c r="M231" i="3"/>
  <c r="M237" i="3"/>
  <c r="M258" i="3"/>
  <c r="M262" i="3"/>
  <c r="M4" i="3"/>
  <c r="M13" i="3"/>
  <c r="M407" i="3"/>
  <c r="M28" i="3"/>
  <c r="M37" i="3"/>
  <c r="M44" i="3"/>
  <c r="M56" i="3"/>
  <c r="M433" i="3"/>
  <c r="L495" i="3"/>
  <c r="M507" i="3"/>
  <c r="M509" i="3"/>
  <c r="M165" i="3"/>
  <c r="M175" i="3"/>
  <c r="M189" i="3"/>
  <c r="L192" i="3"/>
  <c r="M208" i="3"/>
  <c r="M216" i="3"/>
  <c r="M550" i="3"/>
  <c r="L301" i="3"/>
  <c r="L332" i="3"/>
  <c r="L372" i="3"/>
  <c r="M9" i="3"/>
  <c r="M18" i="3"/>
  <c r="M33" i="3"/>
  <c r="M40" i="3"/>
  <c r="M52" i="3"/>
  <c r="M646" i="3"/>
  <c r="M66" i="3"/>
  <c r="M68" i="3"/>
  <c r="M72" i="3"/>
  <c r="M75" i="3"/>
  <c r="M77" i="3"/>
  <c r="M79" i="3"/>
  <c r="M83" i="3"/>
  <c r="M88" i="3"/>
  <c r="L91" i="3"/>
  <c r="L95" i="3"/>
  <c r="L99" i="3"/>
  <c r="L103" i="3"/>
  <c r="L106" i="3"/>
  <c r="L111" i="3"/>
  <c r="L115" i="3"/>
  <c r="L118" i="3"/>
  <c r="L121" i="3"/>
  <c r="L125" i="3"/>
  <c r="M129" i="3"/>
  <c r="L464" i="3"/>
  <c r="M135" i="3"/>
  <c r="M138" i="3"/>
  <c r="M470" i="3"/>
  <c r="L146" i="3"/>
  <c r="M477" i="3"/>
  <c r="M153" i="3"/>
  <c r="L647" i="3"/>
  <c r="L648" i="3"/>
  <c r="M649" i="3"/>
  <c r="L499" i="3"/>
  <c r="L503" i="3"/>
  <c r="L172" i="3"/>
  <c r="L181" i="3"/>
  <c r="M532" i="3"/>
  <c r="L199" i="3"/>
  <c r="M234" i="3"/>
  <c r="M288" i="3"/>
  <c r="M581" i="3"/>
  <c r="M319" i="3"/>
  <c r="M57" i="3"/>
  <c r="M5" i="3"/>
  <c r="M14" i="3"/>
  <c r="M409" i="3"/>
  <c r="M415" i="3"/>
  <c r="M416" i="3"/>
  <c r="M47" i="3"/>
  <c r="M430" i="3"/>
  <c r="M63" i="3"/>
  <c r="L491" i="3"/>
  <c r="L496" i="3"/>
  <c r="M156" i="3"/>
  <c r="M517" i="3"/>
  <c r="M186" i="3"/>
  <c r="M527" i="3"/>
  <c r="M224" i="3"/>
  <c r="M240" i="3"/>
  <c r="M253" i="3"/>
  <c r="M557" i="3"/>
  <c r="M276" i="3"/>
  <c r="M284" i="3"/>
  <c r="M584" i="3"/>
  <c r="M307" i="3"/>
  <c r="L629" i="3"/>
  <c r="M634" i="3"/>
  <c r="M3" i="3"/>
  <c r="M12" i="3"/>
  <c r="M19" i="3"/>
  <c r="M410" i="3"/>
  <c r="M36" i="3"/>
  <c r="M43" i="3"/>
  <c r="M50" i="3"/>
  <c r="M432" i="3"/>
  <c r="L498" i="3"/>
  <c r="L159" i="3"/>
  <c r="M164" i="3"/>
  <c r="L174" i="3"/>
  <c r="M191" i="3"/>
  <c r="M195" i="3"/>
  <c r="L248" i="3"/>
  <c r="M267" i="3"/>
  <c r="M300" i="3"/>
  <c r="M321" i="3"/>
  <c r="M331" i="3"/>
  <c r="L337" i="3"/>
  <c r="M367" i="3"/>
  <c r="M641" i="3"/>
  <c r="L655" i="3"/>
  <c r="M8" i="3"/>
  <c r="M17" i="3"/>
  <c r="M23" i="3"/>
  <c r="M32" i="3"/>
  <c r="M39" i="3"/>
  <c r="M420" i="3"/>
  <c r="M431" i="3"/>
  <c r="M435" i="3"/>
  <c r="M439" i="3"/>
  <c r="M71" i="3"/>
  <c r="M442" i="3"/>
  <c r="M445" i="3"/>
  <c r="M447" i="3"/>
  <c r="M82" i="3"/>
  <c r="M87" i="3"/>
  <c r="L90" i="3"/>
  <c r="M94" i="3"/>
  <c r="M98" i="3"/>
  <c r="M102" i="3"/>
  <c r="M105" i="3"/>
  <c r="M110" i="3"/>
  <c r="M114" i="3"/>
  <c r="M117" i="3"/>
  <c r="L120" i="3"/>
  <c r="M124" i="3"/>
  <c r="L128" i="3"/>
  <c r="L132" i="3"/>
  <c r="L134" i="3"/>
  <c r="L467" i="3"/>
  <c r="L141" i="3"/>
  <c r="L145" i="3"/>
  <c r="L148" i="3"/>
  <c r="L152" i="3"/>
  <c r="L480" i="3"/>
  <c r="L483" i="3"/>
  <c r="M486" i="3"/>
  <c r="L488" i="3"/>
  <c r="L154" i="3"/>
  <c r="M498" i="3"/>
  <c r="M502" i="3"/>
  <c r="M180" i="3"/>
  <c r="M184" i="3"/>
  <c r="M198" i="3"/>
  <c r="L203" i="3"/>
  <c r="M228" i="3"/>
  <c r="M243" i="3"/>
  <c r="M251" i="3"/>
  <c r="L255" i="3"/>
  <c r="M558" i="3"/>
  <c r="L292" i="3"/>
  <c r="M328" i="3"/>
  <c r="L351" i="3"/>
  <c r="M655" i="3"/>
  <c r="M236" i="3"/>
  <c r="M475" i="3"/>
  <c r="M26" i="3"/>
  <c r="M537" i="3"/>
  <c r="M211" i="3"/>
  <c r="M548" i="3"/>
  <c r="M551" i="3"/>
  <c r="L252" i="3"/>
  <c r="M268" i="3"/>
  <c r="M575" i="3"/>
  <c r="M286" i="3"/>
  <c r="L299" i="3"/>
  <c r="L326" i="3"/>
  <c r="M330" i="3"/>
  <c r="M362" i="3"/>
  <c r="L26" i="3"/>
  <c r="K79" i="2"/>
  <c r="J73" i="2"/>
  <c r="J436" i="2"/>
  <c r="K525" i="2"/>
  <c r="J156" i="2"/>
  <c r="K192" i="2"/>
  <c r="J203" i="2"/>
  <c r="J161" i="2"/>
  <c r="J297" i="2"/>
  <c r="K20" i="2"/>
  <c r="K64" i="2"/>
  <c r="J441" i="2"/>
  <c r="J59" i="2"/>
  <c r="J435" i="2"/>
  <c r="K240" i="2"/>
  <c r="J448" i="2"/>
  <c r="K396" i="2"/>
  <c r="K274" i="2"/>
  <c r="K255" i="2"/>
  <c r="K264" i="2"/>
  <c r="J439" i="2"/>
  <c r="K158" i="2"/>
  <c r="K25" i="2"/>
  <c r="J26" i="2"/>
  <c r="J124" i="2"/>
  <c r="K84" i="2"/>
  <c r="J511" i="2"/>
  <c r="J374" i="2"/>
  <c r="J13" i="2"/>
  <c r="K409" i="2"/>
  <c r="K82" i="2"/>
  <c r="K302" i="2"/>
  <c r="J490" i="2"/>
  <c r="J372" i="2"/>
  <c r="K13" i="2"/>
  <c r="K42" i="2"/>
  <c r="J28" i="2"/>
  <c r="K94" i="2"/>
  <c r="J362" i="2"/>
  <c r="J432" i="2"/>
  <c r="J2" i="2"/>
  <c r="J27" i="2"/>
  <c r="K24" i="2"/>
  <c r="J172" i="2"/>
  <c r="K287" i="2"/>
  <c r="K358" i="2"/>
  <c r="K469" i="2"/>
  <c r="K243" i="2"/>
  <c r="J427" i="2"/>
  <c r="J390" i="2"/>
  <c r="K36" i="2"/>
  <c r="J457" i="2"/>
  <c r="J339" i="2"/>
  <c r="K347" i="2"/>
  <c r="K427" i="2"/>
  <c r="K221" i="2"/>
  <c r="K90" i="2"/>
  <c r="K245" i="2"/>
  <c r="K91" i="2"/>
  <c r="L544" i="3"/>
  <c r="L220" i="3"/>
  <c r="J295" i="2"/>
  <c r="M636" i="3"/>
  <c r="L469" i="3"/>
  <c r="M400" i="3"/>
  <c r="M510" i="3"/>
  <c r="M472" i="3"/>
  <c r="L399" i="3"/>
  <c r="M559" i="3"/>
  <c r="M279" i="3"/>
  <c r="M294" i="3"/>
  <c r="M322" i="3"/>
  <c r="M609" i="3"/>
  <c r="M207" i="3"/>
  <c r="L568" i="3"/>
  <c r="M434" i="3"/>
  <c r="M560" i="3"/>
  <c r="L401" i="3"/>
  <c r="M531" i="3"/>
  <c r="M579" i="3"/>
  <c r="L653" i="3"/>
  <c r="L494" i="3"/>
  <c r="L654" i="3"/>
  <c r="M506" i="3"/>
  <c r="M162" i="3"/>
  <c r="L167" i="3"/>
  <c r="L170" i="3"/>
  <c r="M519" i="3"/>
  <c r="M177" i="3"/>
  <c r="M526" i="3"/>
  <c r="L528" i="3"/>
  <c r="M529" i="3"/>
  <c r="M197" i="3"/>
  <c r="M201" i="3"/>
  <c r="M535" i="3"/>
  <c r="M206" i="3"/>
  <c r="M215" i="3"/>
  <c r="L218" i="3"/>
  <c r="M223" i="3"/>
  <c r="L227" i="3"/>
  <c r="M230" i="3"/>
  <c r="M233" i="3"/>
  <c r="M545" i="3"/>
  <c r="M242" i="3"/>
  <c r="M257" i="3"/>
  <c r="M556" i="3"/>
  <c r="M271" i="3"/>
  <c r="M278" i="3"/>
  <c r="M297" i="3"/>
  <c r="M299" i="3"/>
  <c r="M306" i="3"/>
  <c r="M310" i="3"/>
  <c r="M318" i="3"/>
  <c r="M325" i="3"/>
  <c r="L613" i="3"/>
  <c r="L346" i="3"/>
  <c r="K362" i="2"/>
  <c r="J437" i="2"/>
  <c r="M547" i="3"/>
  <c r="M515" i="3"/>
  <c r="L434" i="3"/>
  <c r="L531" i="3"/>
  <c r="L236" i="3"/>
  <c r="M544" i="3"/>
  <c r="L636" i="3"/>
  <c r="L400" i="3"/>
  <c r="L472" i="3"/>
  <c r="L560" i="3"/>
  <c r="L475" i="3"/>
  <c r="M220" i="3"/>
  <c r="M469" i="3"/>
  <c r="L579" i="3"/>
  <c r="L510" i="3"/>
  <c r="L207" i="3"/>
  <c r="L563" i="3"/>
  <c r="M70" i="3"/>
  <c r="M644" i="3"/>
  <c r="M266" i="3"/>
  <c r="M633" i="3"/>
  <c r="M446" i="3"/>
  <c r="L580" i="3"/>
  <c r="M474" i="3"/>
  <c r="M27" i="3"/>
  <c r="L590" i="3"/>
  <c r="M516" i="3"/>
  <c r="M365" i="3"/>
  <c r="M452" i="3"/>
  <c r="L547" i="3"/>
  <c r="L515" i="3"/>
  <c r="L514" i="3"/>
  <c r="M386" i="3"/>
  <c r="L644" i="3"/>
  <c r="L266" i="3"/>
  <c r="L633" i="3"/>
  <c r="L446" i="3"/>
  <c r="M580" i="3"/>
  <c r="L474" i="3"/>
  <c r="L27" i="3"/>
  <c r="M590" i="3"/>
  <c r="L516" i="3"/>
  <c r="L365" i="3"/>
  <c r="L109" i="3"/>
  <c r="M643" i="3"/>
  <c r="M628" i="3"/>
  <c r="M411" i="3"/>
  <c r="L587" i="3"/>
  <c r="M585" i="3"/>
  <c r="M631" i="3"/>
  <c r="M612" i="3"/>
  <c r="M574" i="3"/>
  <c r="M212" i="3"/>
  <c r="L639" i="3"/>
  <c r="M48" i="3"/>
  <c r="M347" i="3"/>
  <c r="L414" i="3"/>
  <c r="M611" i="3"/>
  <c r="L209" i="3"/>
  <c r="L213" i="3"/>
  <c r="L217" i="3"/>
  <c r="M221" i="3"/>
  <c r="L225" i="3"/>
  <c r="L229" i="3"/>
  <c r="L542" i="3"/>
  <c r="M543" i="3"/>
  <c r="L238" i="3"/>
  <c r="L241" i="3"/>
  <c r="L244" i="3"/>
  <c r="L246" i="3"/>
  <c r="M554" i="3"/>
  <c r="L561" i="3"/>
  <c r="L272" i="3"/>
  <c r="M295" i="3"/>
  <c r="M308" i="3"/>
  <c r="M313" i="3"/>
  <c r="M316" i="3"/>
  <c r="M594" i="3"/>
  <c r="M327" i="3"/>
  <c r="L334" i="3"/>
  <c r="L344" i="3"/>
  <c r="K52" i="2"/>
  <c r="M412" i="3"/>
  <c r="M563" i="3"/>
  <c r="L643" i="3"/>
  <c r="L628" i="3"/>
  <c r="L411" i="3"/>
  <c r="M587" i="3"/>
  <c r="L585" i="3"/>
  <c r="L631" i="3"/>
  <c r="L612" i="3"/>
  <c r="L574" i="3"/>
  <c r="L212" i="3"/>
  <c r="M639" i="3"/>
  <c r="L48" i="3"/>
  <c r="L347" i="3"/>
  <c r="M463" i="3"/>
  <c r="M568" i="3"/>
  <c r="M514" i="3"/>
  <c r="M456" i="3"/>
  <c r="M625" i="3"/>
  <c r="M573" i="3"/>
  <c r="M642" i="3"/>
  <c r="L524" i="3"/>
  <c r="M468" i="3"/>
  <c r="M518" i="3"/>
  <c r="M617" i="3"/>
  <c r="L611" i="3"/>
  <c r="L463" i="3"/>
  <c r="L412" i="3"/>
  <c r="L386" i="3"/>
  <c r="L70" i="3"/>
  <c r="M7" i="3"/>
  <c r="M11" i="3"/>
  <c r="M15" i="3"/>
  <c r="M403" i="3"/>
  <c r="M20" i="3"/>
  <c r="M24" i="3"/>
  <c r="M31" i="3"/>
  <c r="M35" i="3"/>
  <c r="M38" i="3"/>
  <c r="M41" i="3"/>
  <c r="M45" i="3"/>
  <c r="M421" i="3"/>
  <c r="M51" i="3"/>
  <c r="M55" i="3"/>
  <c r="M59" i="3"/>
  <c r="M62" i="3"/>
  <c r="L490" i="3"/>
  <c r="M493" i="3"/>
  <c r="M497" i="3"/>
  <c r="L505" i="3"/>
  <c r="M157" i="3"/>
  <c r="L161" i="3"/>
  <c r="M169" i="3"/>
  <c r="M173" i="3"/>
  <c r="M176" i="3"/>
  <c r="M188" i="3"/>
  <c r="M190" i="3"/>
  <c r="M193" i="3"/>
  <c r="M530" i="3"/>
  <c r="M533" i="3"/>
  <c r="M200" i="3"/>
  <c r="M204" i="3"/>
  <c r="M205" i="3"/>
  <c r="M210" i="3"/>
  <c r="M214" i="3"/>
  <c r="M658" i="3"/>
  <c r="M222" i="3"/>
  <c r="M226" i="3"/>
  <c r="M541" i="3"/>
  <c r="M232" i="3"/>
  <c r="M235" i="3"/>
  <c r="M239" i="3"/>
  <c r="M546" i="3"/>
  <c r="M245" i="3"/>
  <c r="L256" i="3"/>
  <c r="M260" i="3"/>
  <c r="M270" i="3"/>
  <c r="M274" i="3"/>
  <c r="M277" i="3"/>
  <c r="M296" i="3"/>
  <c r="M305" i="3"/>
  <c r="M309" i="3"/>
  <c r="M314" i="3"/>
  <c r="M596" i="3"/>
  <c r="L324" i="3"/>
  <c r="M341" i="3"/>
  <c r="L345" i="3"/>
  <c r="M414" i="3"/>
  <c r="L456" i="3"/>
  <c r="L625" i="3"/>
  <c r="L573" i="3"/>
  <c r="L642" i="3"/>
  <c r="M524" i="3"/>
  <c r="L468" i="3"/>
  <c r="L518" i="3"/>
  <c r="L617" i="3"/>
  <c r="M109" i="3"/>
  <c r="M399" i="3"/>
  <c r="M401" i="3"/>
  <c r="L452" i="3"/>
  <c r="J111" i="2"/>
  <c r="J126" i="2"/>
  <c r="K97" i="2"/>
  <c r="J323" i="2"/>
  <c r="J485" i="2"/>
  <c r="K100" i="2"/>
  <c r="J255" i="2"/>
  <c r="K14" i="2"/>
  <c r="J264" i="2"/>
  <c r="K297" i="2"/>
  <c r="J17" i="2"/>
  <c r="J243" i="2"/>
  <c r="K374" i="2"/>
  <c r="J311" i="2"/>
  <c r="K432" i="2"/>
  <c r="J409" i="2"/>
  <c r="K39" i="2"/>
  <c r="K28" i="2"/>
  <c r="K73" i="2"/>
  <c r="K101" i="2"/>
  <c r="J274" i="2"/>
  <c r="K436" i="2"/>
  <c r="J287" i="2"/>
  <c r="K161" i="2"/>
  <c r="J266" i="2"/>
  <c r="J357" i="2"/>
  <c r="K439" i="2"/>
  <c r="J347" i="2"/>
  <c r="K372" i="2"/>
  <c r="J158" i="2"/>
  <c r="K144" i="2"/>
  <c r="J25" i="2"/>
  <c r="K48" i="2"/>
  <c r="K87" i="2"/>
  <c r="K86" i="2"/>
  <c r="J157" i="2"/>
  <c r="J253" i="2"/>
  <c r="K251" i="2"/>
  <c r="J166" i="2"/>
  <c r="K193" i="2"/>
  <c r="J328" i="2"/>
  <c r="K203" i="2"/>
  <c r="J364" i="2"/>
  <c r="J360" i="2"/>
  <c r="K26" i="2"/>
  <c r="J469" i="2"/>
  <c r="K69" i="2"/>
  <c r="J20" i="2"/>
  <c r="J215" i="2"/>
  <c r="J221" i="2"/>
  <c r="K2" i="2"/>
  <c r="K68" i="2"/>
  <c r="K85" i="2"/>
  <c r="J302" i="2"/>
  <c r="K451" i="2"/>
  <c r="J278" i="2"/>
  <c r="J113" i="2"/>
  <c r="J139" i="2"/>
  <c r="J112" i="2"/>
  <c r="J418" i="2"/>
  <c r="J476" i="2"/>
  <c r="J128" i="2"/>
  <c r="J494" i="2"/>
  <c r="J207" i="2"/>
  <c r="J140" i="2"/>
  <c r="J116" i="2"/>
  <c r="J520" i="2"/>
  <c r="J114" i="2"/>
  <c r="J449" i="2"/>
  <c r="J483" i="2"/>
  <c r="J340" i="2"/>
  <c r="J115" i="2"/>
  <c r="J118" i="2"/>
  <c r="J119" i="2"/>
  <c r="J237" i="2"/>
  <c r="J492" i="2"/>
  <c r="J373" i="2"/>
  <c r="J273" i="2"/>
  <c r="J282" i="2"/>
  <c r="J326" i="2"/>
  <c r="J354" i="2"/>
  <c r="J265" i="2"/>
  <c r="J521" i="2"/>
  <c r="J171" i="2"/>
  <c r="J134" i="2"/>
  <c r="J129" i="2"/>
  <c r="J320" i="2"/>
  <c r="J384" i="2"/>
  <c r="J335" i="2"/>
  <c r="J133" i="2"/>
  <c r="J314" i="2"/>
  <c r="J123" i="2"/>
  <c r="J205" i="2"/>
  <c r="J365" i="2"/>
  <c r="J352" i="2"/>
  <c r="J438" i="2"/>
  <c r="J353" i="2"/>
  <c r="J442" i="2"/>
  <c r="J333" i="2"/>
  <c r="J127" i="2"/>
  <c r="J230" i="2"/>
  <c r="J453" i="2"/>
  <c r="J424" i="2"/>
  <c r="J382" i="2"/>
  <c r="J141" i="2"/>
  <c r="K157" i="2"/>
  <c r="K111" i="2"/>
  <c r="K113" i="2"/>
  <c r="K116" i="2"/>
  <c r="K119" i="2"/>
  <c r="K282" i="2"/>
  <c r="K126" i="2"/>
  <c r="K326" i="2"/>
  <c r="K335" i="2"/>
  <c r="K353" i="2"/>
  <c r="K369" i="2"/>
  <c r="K384" i="2"/>
  <c r="K415" i="2"/>
  <c r="K438" i="2"/>
  <c r="K139" i="2"/>
  <c r="K141" i="2"/>
  <c r="K484" i="2"/>
  <c r="K520" i="2"/>
  <c r="K109" i="2"/>
  <c r="K112" i="2"/>
  <c r="K114" i="2"/>
  <c r="K237" i="2"/>
  <c r="K265" i="2"/>
  <c r="K124" i="2"/>
  <c r="K314" i="2"/>
  <c r="K333" i="2"/>
  <c r="K338" i="2"/>
  <c r="K354" i="2"/>
  <c r="K132" i="2"/>
  <c r="K133" i="2"/>
  <c r="K418" i="2"/>
  <c r="K442" i="2"/>
  <c r="K449" i="2"/>
  <c r="K462" i="2"/>
  <c r="K492" i="2"/>
  <c r="K521" i="2"/>
  <c r="K171" i="2"/>
  <c r="K205" i="2"/>
  <c r="K230" i="2"/>
  <c r="K244" i="2"/>
  <c r="K123" i="2"/>
  <c r="K289" i="2"/>
  <c r="K127" i="2"/>
  <c r="K128" i="2"/>
  <c r="K340" i="2"/>
  <c r="K131" i="2"/>
  <c r="K373" i="2"/>
  <c r="K134" i="2"/>
  <c r="K76" i="2"/>
  <c r="K445" i="2"/>
  <c r="K453" i="2"/>
  <c r="K476" i="2"/>
  <c r="K493" i="2"/>
  <c r="K146" i="2"/>
  <c r="K108" i="2"/>
  <c r="K110" i="2"/>
  <c r="K207" i="2"/>
  <c r="K115" i="2"/>
  <c r="K118" i="2"/>
  <c r="K273" i="2"/>
  <c r="K125" i="2"/>
  <c r="K320" i="2"/>
  <c r="K129" i="2"/>
  <c r="K352" i="2"/>
  <c r="K365" i="2"/>
  <c r="K382" i="2"/>
  <c r="K407" i="2"/>
  <c r="K424" i="2"/>
  <c r="K138" i="2"/>
  <c r="K140" i="2"/>
  <c r="K483" i="2"/>
  <c r="K494" i="2"/>
  <c r="J369" i="2"/>
  <c r="J462" i="2"/>
  <c r="J338" i="2"/>
  <c r="J131" i="2"/>
  <c r="J244" i="2"/>
  <c r="J493" i="2"/>
  <c r="J108" i="2"/>
  <c r="J407" i="2"/>
  <c r="J484" i="2"/>
  <c r="J415" i="2"/>
  <c r="J109" i="2"/>
  <c r="J445" i="2"/>
  <c r="J289" i="2"/>
  <c r="J146" i="2"/>
  <c r="J110" i="2"/>
  <c r="J138" i="2"/>
  <c r="L360" i="3"/>
  <c r="L425" i="3"/>
  <c r="L577" i="3"/>
  <c r="M369" i="3"/>
  <c r="M659" i="3"/>
  <c r="L602" i="3"/>
  <c r="M339" i="3"/>
  <c r="M320" i="3"/>
  <c r="L333" i="3"/>
  <c r="L618" i="3"/>
  <c r="M455" i="3"/>
  <c r="L555" i="3"/>
  <c r="M281" i="3"/>
  <c r="L290" i="3"/>
  <c r="L638" i="3"/>
  <c r="L264" i="3"/>
  <c r="L282" i="3"/>
  <c r="M291" i="3"/>
  <c r="M302" i="3"/>
  <c r="M350" i="3"/>
  <c r="L375" i="3"/>
  <c r="L605" i="3"/>
  <c r="L335" i="3"/>
  <c r="M342" i="3"/>
  <c r="L363" i="3"/>
  <c r="L540" i="3"/>
  <c r="M376" i="3"/>
  <c r="M461" i="3"/>
  <c r="L343" i="3"/>
  <c r="M423" i="3"/>
  <c r="M353" i="3"/>
  <c r="L366" i="3"/>
  <c r="L371" i="3"/>
  <c r="M391" i="3"/>
  <c r="L608" i="3"/>
  <c r="L564" i="3"/>
  <c r="M539" i="3"/>
  <c r="L595" i="3"/>
  <c r="L382" i="3"/>
  <c r="M422" i="3"/>
  <c r="M396" i="3"/>
  <c r="L600" i="3"/>
  <c r="L471" i="3"/>
  <c r="L354" i="3"/>
  <c r="L460" i="3"/>
  <c r="M387" i="3"/>
  <c r="L513" i="3"/>
  <c r="M450" i="3"/>
  <c r="L338" i="3"/>
  <c r="M355" i="3"/>
  <c r="L378" i="3"/>
  <c r="L443" i="3"/>
  <c r="L379" i="3"/>
  <c r="L389" i="3"/>
  <c r="L466" i="3"/>
  <c r="L390" i="3"/>
  <c r="L358" i="3"/>
  <c r="L640" i="3"/>
  <c r="L622" i="3"/>
  <c r="L601" i="3"/>
  <c r="L603" i="3"/>
  <c r="M458" i="3"/>
  <c r="M413" i="3"/>
  <c r="L408" i="3"/>
  <c r="L395" i="3"/>
  <c r="L438" i="3"/>
  <c r="L589" i="3"/>
  <c r="M359" i="3"/>
  <c r="L373" i="3"/>
  <c r="L508" i="3"/>
  <c r="M451" i="3"/>
  <c r="M406" i="3"/>
  <c r="L614" i="3"/>
  <c r="L538" i="3"/>
  <c r="M453" i="3"/>
  <c r="L620" i="3"/>
  <c r="L364" i="3"/>
  <c r="L383" i="3"/>
  <c r="L393" i="3"/>
  <c r="L610" i="3"/>
  <c r="L512" i="3"/>
  <c r="M511" i="3"/>
  <c r="L578" i="3"/>
  <c r="M489" i="3"/>
  <c r="M384" i="3"/>
  <c r="L394" i="3"/>
  <c r="L428" i="3"/>
  <c r="L385" i="3"/>
  <c r="L627" i="3"/>
  <c r="M352" i="3"/>
  <c r="L566" i="3"/>
  <c r="L424" i="3"/>
  <c r="M449" i="3"/>
  <c r="L626" i="3"/>
  <c r="L621" i="3"/>
  <c r="L615" i="3"/>
  <c r="M708" i="3"/>
  <c r="M553" i="3"/>
  <c r="L688" i="3"/>
  <c r="L426" i="3"/>
  <c r="L637" i="3"/>
  <c r="L593" i="3"/>
  <c r="M679" i="3"/>
  <c r="L691" i="3"/>
  <c r="M709" i="3"/>
  <c r="L664" i="3"/>
  <c r="L61" i="3"/>
  <c r="L690" i="3"/>
  <c r="L662" i="3"/>
  <c r="L668" i="3"/>
  <c r="M273" i="3"/>
  <c r="L700" i="3"/>
  <c r="M660" i="3"/>
  <c r="L689" i="3"/>
  <c r="L695" i="3"/>
  <c r="L682" i="3"/>
  <c r="M682" i="3"/>
  <c r="M707" i="3"/>
  <c r="L661" i="3"/>
  <c r="L684" i="3"/>
  <c r="L702" i="3"/>
  <c r="M703" i="3"/>
  <c r="L701" i="3"/>
  <c r="M676" i="3"/>
  <c r="M698" i="3"/>
  <c r="L686" i="3"/>
  <c r="M677" i="3"/>
  <c r="M705" i="3"/>
  <c r="M704" i="3"/>
  <c r="L703" i="3"/>
  <c r="L708" i="3"/>
  <c r="M701" i="3"/>
  <c r="L676" i="3"/>
  <c r="L698" i="3"/>
  <c r="M686" i="3"/>
  <c r="L677" i="3"/>
  <c r="L705" i="3"/>
  <c r="M700" i="3"/>
  <c r="L712" i="3"/>
  <c r="L660" i="3"/>
  <c r="M688" i="3"/>
  <c r="L709" i="3"/>
  <c r="L352" i="3"/>
  <c r="M690" i="3"/>
  <c r="M665" i="3"/>
  <c r="L669" i="3"/>
  <c r="L29" i="3"/>
  <c r="M29" i="3"/>
  <c r="M695" i="3"/>
  <c r="M691" i="3"/>
  <c r="M664" i="3"/>
  <c r="M61" i="3"/>
  <c r="M662" i="3"/>
  <c r="L665" i="3"/>
  <c r="M669" i="3"/>
  <c r="L671" i="3"/>
  <c r="M716" i="3"/>
  <c r="M714" i="3"/>
  <c r="M678" i="3"/>
  <c r="M687" i="3"/>
  <c r="M85" i="3"/>
  <c r="L681" i="3"/>
  <c r="L357" i="3"/>
  <c r="M668" i="3"/>
  <c r="L679" i="3"/>
  <c r="L283" i="3"/>
  <c r="M706" i="3"/>
  <c r="L714" i="3"/>
  <c r="L678" i="3"/>
  <c r="L687" i="3"/>
  <c r="L85" i="3"/>
  <c r="M681" i="3"/>
  <c r="M357" i="3"/>
  <c r="M672" i="3"/>
  <c r="M674" i="3"/>
  <c r="M702" i="3"/>
  <c r="M712" i="3"/>
  <c r="L694" i="3"/>
  <c r="L715" i="3"/>
  <c r="M336" i="3"/>
  <c r="M361" i="3"/>
  <c r="M711" i="3"/>
  <c r="L692" i="3"/>
  <c r="L672" i="3"/>
  <c r="L674" i="3"/>
  <c r="L706" i="3"/>
  <c r="M689" i="3"/>
  <c r="M694" i="3"/>
  <c r="M715" i="3"/>
  <c r="L336" i="3"/>
  <c r="L361" i="3"/>
  <c r="L711" i="3"/>
  <c r="M692" i="3"/>
  <c r="M675" i="3"/>
  <c r="L666" i="3"/>
  <c r="M663" i="3"/>
  <c r="M666" i="3"/>
  <c r="M697" i="3"/>
  <c r="M713" i="3"/>
  <c r="L142" i="3"/>
  <c r="M673" i="3"/>
  <c r="M696" i="3"/>
  <c r="L663" i="3"/>
  <c r="L675" i="3"/>
  <c r="L680" i="3"/>
  <c r="M179" i="3"/>
  <c r="L697" i="3"/>
  <c r="L713" i="3"/>
  <c r="M142" i="3"/>
  <c r="L673" i="3"/>
  <c r="L696" i="3"/>
  <c r="M670" i="3"/>
  <c r="L685" i="3"/>
  <c r="L716" i="3"/>
  <c r="M149" i="3"/>
  <c r="M283" i="3"/>
  <c r="M46" i="3"/>
  <c r="L187" i="3"/>
  <c r="M683" i="3"/>
  <c r="M693" i="3"/>
  <c r="M667" i="3"/>
  <c r="L149" i="3"/>
  <c r="M685" i="3"/>
  <c r="L179" i="3"/>
  <c r="L670" i="3"/>
  <c r="L46" i="3"/>
  <c r="M187" i="3"/>
  <c r="L683" i="3"/>
  <c r="L693" i="3"/>
  <c r="L667" i="3"/>
  <c r="L699" i="3"/>
  <c r="L710" i="3"/>
  <c r="L273" i="3"/>
  <c r="L704" i="3"/>
  <c r="M671" i="3"/>
  <c r="L707" i="3"/>
  <c r="M661" i="3"/>
  <c r="M684" i="3"/>
  <c r="M680" i="3"/>
  <c r="M710" i="3"/>
  <c r="M699" i="3"/>
  <c r="K413" i="2"/>
  <c r="J220" i="2"/>
  <c r="J447" i="2"/>
  <c r="J218" i="2"/>
  <c r="K46" i="2"/>
  <c r="K447" i="2"/>
  <c r="K103" i="2"/>
  <c r="J152" i="2"/>
  <c r="J263" i="2"/>
  <c r="J169" i="2"/>
  <c r="K425" i="2"/>
  <c r="J452" i="2"/>
  <c r="K181" i="2"/>
  <c r="J164" i="2"/>
  <c r="J367" i="2"/>
  <c r="K246" i="2"/>
  <c r="K169" i="2"/>
  <c r="J393" i="2"/>
  <c r="K452" i="2"/>
  <c r="J208" i="2"/>
  <c r="K164" i="2"/>
  <c r="J232" i="2"/>
  <c r="K197" i="2"/>
  <c r="J479" i="2"/>
  <c r="J451" i="2"/>
  <c r="K393" i="2"/>
  <c r="K208" i="2"/>
  <c r="J202" i="2"/>
  <c r="J185" i="2"/>
  <c r="J417" i="2"/>
  <c r="K278" i="2"/>
  <c r="J187" i="2"/>
  <c r="K457" i="2"/>
  <c r="J380" i="2"/>
  <c r="J107" i="2"/>
  <c r="K343" i="2"/>
  <c r="K220" i="2"/>
  <c r="J315" i="2"/>
  <c r="K417" i="2"/>
  <c r="J404" i="2"/>
  <c r="K187" i="2"/>
  <c r="J491" i="2"/>
  <c r="J163" i="2"/>
  <c r="K107" i="2"/>
  <c r="K234" i="2"/>
  <c r="K443" i="2"/>
  <c r="K62" i="2"/>
  <c r="K404" i="2"/>
  <c r="J261" i="2"/>
  <c r="J517" i="2"/>
  <c r="K163" i="2"/>
  <c r="J155" i="2"/>
  <c r="J356" i="2"/>
  <c r="K248" i="2"/>
  <c r="J523" i="2"/>
  <c r="K189" i="2"/>
  <c r="J425" i="2"/>
  <c r="K517" i="2"/>
  <c r="J181" i="2"/>
  <c r="K155" i="2"/>
  <c r="J198" i="2"/>
  <c r="J246" i="2"/>
  <c r="J226" i="2"/>
  <c r="K22" i="2"/>
  <c r="J4" i="2"/>
  <c r="J19" i="2"/>
  <c r="J299" i="2"/>
  <c r="J413" i="2"/>
  <c r="J454" i="2"/>
  <c r="J245" i="2"/>
  <c r="K198" i="2"/>
  <c r="J443" i="2"/>
  <c r="K367" i="2"/>
  <c r="J330" i="2"/>
  <c r="K523" i="2"/>
  <c r="J149" i="2"/>
  <c r="J312" i="2"/>
  <c r="K315" i="2"/>
  <c r="K191" i="2"/>
  <c r="J12" i="2"/>
  <c r="J344" i="2"/>
  <c r="J135" i="2"/>
  <c r="K330" i="2"/>
  <c r="J410" i="2"/>
  <c r="J310" i="2"/>
  <c r="K312" i="2"/>
  <c r="J377" i="2"/>
  <c r="K12" i="2"/>
  <c r="J16" i="2"/>
  <c r="J343" i="2"/>
  <c r="K89" i="2"/>
  <c r="J248" i="2"/>
  <c r="K135" i="2"/>
  <c r="J148" i="2"/>
  <c r="J524" i="2"/>
  <c r="K310" i="2"/>
  <c r="J429" i="2"/>
  <c r="K57" i="2"/>
  <c r="K377" i="2"/>
  <c r="J336" i="2"/>
  <c r="K98" i="2"/>
  <c r="J224" i="2"/>
  <c r="J416" i="2"/>
  <c r="K524" i="2"/>
  <c r="J412" i="2"/>
  <c r="K429" i="2"/>
  <c r="J332" i="2"/>
  <c r="J268" i="2"/>
  <c r="K336" i="2"/>
  <c r="J284" i="2"/>
  <c r="J234" i="2"/>
  <c r="K232" i="2"/>
  <c r="J7" i="2"/>
  <c r="J331" i="2"/>
  <c r="K416" i="2"/>
  <c r="J426" i="2"/>
  <c r="K412" i="2"/>
  <c r="J499" i="2"/>
  <c r="K332" i="2"/>
  <c r="K268" i="2"/>
  <c r="J22" i="2"/>
  <c r="J9" i="2"/>
  <c r="K331" i="2"/>
  <c r="K426" i="2"/>
  <c r="J197" i="2"/>
  <c r="K499" i="2"/>
  <c r="J420" i="2"/>
  <c r="J247" i="2"/>
  <c r="K238" i="2"/>
  <c r="J346" i="2"/>
  <c r="J400" i="2"/>
  <c r="J388" i="2"/>
  <c r="K231" i="2"/>
  <c r="J502" i="2"/>
  <c r="J6" i="2"/>
  <c r="J204" i="2"/>
  <c r="J518" i="2"/>
  <c r="K283" i="2"/>
  <c r="J370" i="2"/>
  <c r="K284" i="2"/>
  <c r="J212" i="2"/>
  <c r="J190" i="2"/>
  <c r="J322" i="2"/>
  <c r="K366" i="2"/>
  <c r="J191" i="2"/>
  <c r="K422" i="2"/>
  <c r="K370" i="2"/>
  <c r="K41" i="2"/>
  <c r="K241" i="2"/>
  <c r="K513" i="2"/>
  <c r="J288" i="2"/>
  <c r="J214" i="2"/>
  <c r="J136" i="2"/>
  <c r="K281" i="2"/>
  <c r="K405" i="2"/>
  <c r="K177" i="2"/>
  <c r="J348" i="2"/>
  <c r="J487" i="2"/>
  <c r="J378" i="2"/>
  <c r="J254" i="2"/>
  <c r="J506" i="2"/>
  <c r="J446" i="2"/>
  <c r="J291" i="2"/>
  <c r="J470" i="2"/>
  <c r="K378" i="2"/>
  <c r="J381" i="2"/>
  <c r="J162" i="2"/>
  <c r="J459" i="2"/>
  <c r="J522" i="2"/>
  <c r="J167" i="2"/>
  <c r="K307" i="2"/>
  <c r="J434" i="2"/>
  <c r="J177" i="2"/>
  <c r="K61" i="2"/>
  <c r="J180" i="2"/>
  <c r="J496" i="2"/>
  <c r="J137" i="2"/>
  <c r="J422" i="2"/>
  <c r="J258" i="2"/>
  <c r="K185" i="2"/>
  <c r="J117" i="2"/>
  <c r="J405" i="2"/>
  <c r="J241" i="2"/>
  <c r="J463" i="2"/>
  <c r="K346" i="2"/>
  <c r="J516" i="2"/>
  <c r="J411" i="2"/>
  <c r="J398" i="2"/>
  <c r="J200" i="2"/>
  <c r="J471" i="2"/>
  <c r="J513" i="2"/>
  <c r="J217" i="2"/>
  <c r="K398" i="2"/>
  <c r="J283" i="2"/>
  <c r="K4" i="2"/>
  <c r="J355" i="2"/>
  <c r="K381" i="2"/>
  <c r="J421" i="2"/>
  <c r="J277" i="2"/>
  <c r="K400" i="2"/>
  <c r="K190" i="2"/>
  <c r="J510" i="2"/>
  <c r="J219" i="2"/>
  <c r="J300" i="2"/>
  <c r="J142" i="2"/>
  <c r="J189" i="2"/>
  <c r="J178" i="2"/>
  <c r="K214" i="2"/>
  <c r="J238" i="2"/>
  <c r="K421" i="2"/>
  <c r="J281" i="2"/>
  <c r="J500" i="2"/>
  <c r="K75" i="2"/>
  <c r="J430" i="2"/>
  <c r="J318" i="2"/>
  <c r="J231" i="2"/>
  <c r="J154" i="2"/>
  <c r="K219" i="2"/>
  <c r="J383" i="2"/>
  <c r="J184" i="2"/>
  <c r="J468" i="2"/>
  <c r="J290" i="2"/>
  <c r="K228" i="2"/>
  <c r="J147" i="2"/>
  <c r="J307" i="2"/>
  <c r="J474" i="2"/>
  <c r="J270" i="2"/>
  <c r="K481" i="2"/>
  <c r="J313" i="2"/>
  <c r="J366" i="2"/>
  <c r="K458" i="2"/>
  <c r="J176" i="2"/>
  <c r="J213" i="2"/>
  <c r="J440" i="2"/>
  <c r="J168" i="2"/>
  <c r="K464" i="2"/>
  <c r="J458" i="2"/>
  <c r="J216" i="2"/>
  <c r="K173" i="2"/>
  <c r="J196" i="2"/>
  <c r="J464" i="2"/>
  <c r="J150" i="2"/>
  <c r="J466" i="2"/>
  <c r="J481" i="2"/>
  <c r="J402" i="2"/>
  <c r="J280" i="2"/>
  <c r="J228" i="2"/>
  <c r="J361" i="2"/>
  <c r="J11" i="2"/>
  <c r="J321" i="2"/>
  <c r="J350" i="2"/>
  <c r="J173" i="2"/>
  <c r="J179" i="2"/>
  <c r="J305" i="2"/>
  <c r="J209" i="2"/>
  <c r="J165" i="2"/>
  <c r="J467" i="2"/>
  <c r="J387" i="2"/>
  <c r="J386" i="2"/>
  <c r="J408" i="2"/>
  <c r="J406" i="2"/>
  <c r="J509" i="2"/>
  <c r="J431" i="2"/>
  <c r="J342" i="2"/>
  <c r="J195" i="2"/>
  <c r="J259" i="2"/>
  <c r="J475" i="2"/>
  <c r="J488" i="2"/>
  <c r="J508" i="2"/>
  <c r="J519" i="2"/>
  <c r="J375" i="2"/>
  <c r="J456" i="2"/>
  <c r="J182" i="2"/>
  <c r="J399" i="2"/>
  <c r="J201" i="2"/>
  <c r="J341" i="2"/>
  <c r="J317" i="2"/>
  <c r="J401" i="2"/>
  <c r="J379" i="2"/>
  <c r="J371" i="2"/>
  <c r="J389" i="2"/>
  <c r="J286" i="2"/>
  <c r="J151" i="2"/>
  <c r="J455" i="2"/>
  <c r="J120" i="2"/>
  <c r="J257" i="2"/>
  <c r="J296" i="2"/>
  <c r="J403" i="2"/>
  <c r="J272" i="2"/>
  <c r="J498" i="2"/>
  <c r="J465" i="2"/>
  <c r="J473" i="2"/>
  <c r="M586" i="3"/>
  <c r="M607" i="3"/>
  <c r="L520" i="3"/>
  <c r="L635" i="3"/>
  <c r="M429" i="3"/>
  <c r="L402" i="3"/>
  <c r="M462" i="3"/>
  <c r="M427" i="3"/>
  <c r="L405" i="3"/>
  <c r="L423" i="3"/>
  <c r="M523" i="3"/>
  <c r="M591" i="3"/>
  <c r="M582" i="3"/>
  <c r="L476" i="3"/>
  <c r="M624" i="3"/>
  <c r="L441" i="3"/>
  <c r="L604" i="3"/>
  <c r="L570" i="3"/>
  <c r="L549" i="3"/>
  <c r="L619" i="3"/>
  <c r="L569" i="3"/>
  <c r="L645" i="3"/>
  <c r="J505" i="2"/>
  <c r="K397" i="2"/>
  <c r="K431" i="2"/>
  <c r="K403" i="2"/>
  <c r="K498" i="2"/>
  <c r="K455" i="2"/>
  <c r="K371" i="2"/>
  <c r="K406" i="2"/>
  <c r="K96" i="2"/>
  <c r="K341" i="2"/>
  <c r="K195" i="2"/>
  <c r="K201" i="2"/>
  <c r="K342" i="2"/>
  <c r="K179" i="2"/>
  <c r="K262" i="2"/>
  <c r="K183" i="2"/>
  <c r="K306" i="2"/>
  <c r="K225" i="2"/>
  <c r="K473" i="2"/>
  <c r="K387" i="2"/>
  <c r="K151" i="2"/>
  <c r="K317" i="2"/>
  <c r="K519" i="2"/>
  <c r="K150" i="2"/>
  <c r="K182" i="2"/>
  <c r="K99" i="2"/>
  <c r="K456" i="2"/>
  <c r="K467" i="2"/>
  <c r="K375" i="2"/>
  <c r="K196" i="2"/>
  <c r="K147" i="2"/>
  <c r="K350" i="2"/>
  <c r="K168" i="2"/>
  <c r="K440" i="2"/>
  <c r="K496" i="2"/>
  <c r="K180" i="2"/>
  <c r="K383" i="2"/>
  <c r="K290" i="2"/>
  <c r="K446" i="2"/>
  <c r="K19" i="2"/>
  <c r="K506" i="2"/>
  <c r="K9" i="2"/>
  <c r="K516" i="2"/>
  <c r="K6" i="2"/>
  <c r="K388" i="2"/>
  <c r="K224" i="2"/>
  <c r="K430" i="2"/>
  <c r="K212" i="2"/>
  <c r="K487" i="2"/>
  <c r="K500" i="2"/>
  <c r="K348" i="2"/>
  <c r="K117" i="2"/>
  <c r="K470" i="2"/>
  <c r="K93" i="2"/>
  <c r="K136" i="2"/>
  <c r="K258" i="2"/>
  <c r="K104" i="2"/>
  <c r="K178" i="2"/>
  <c r="K226" i="2"/>
  <c r="K385" i="2"/>
  <c r="K294" i="2"/>
  <c r="K391" i="2"/>
  <c r="K257" i="2"/>
  <c r="K296" i="2"/>
  <c r="K74" i="2"/>
  <c r="K509" i="2"/>
  <c r="K286" i="2"/>
  <c r="K408" i="2"/>
  <c r="K508" i="2"/>
  <c r="K305" i="2"/>
  <c r="K488" i="2"/>
  <c r="K11" i="2"/>
  <c r="K402" i="2"/>
  <c r="K313" i="2"/>
  <c r="K466" i="2"/>
  <c r="K361" i="2"/>
  <c r="K216" i="2"/>
  <c r="K59" i="2"/>
  <c r="K321" i="2"/>
  <c r="K355" i="2"/>
  <c r="K474" i="2"/>
  <c r="K200" i="2"/>
  <c r="K300" i="2"/>
  <c r="K60" i="2"/>
  <c r="K217" i="2"/>
  <c r="K154" i="2"/>
  <c r="K322" i="2"/>
  <c r="K254" i="2"/>
  <c r="K31" i="2"/>
  <c r="K463" i="2"/>
  <c r="K35" i="2"/>
  <c r="K518" i="2"/>
  <c r="K480" i="2"/>
  <c r="K272" i="2"/>
  <c r="K389" i="2"/>
  <c r="K465" i="2"/>
  <c r="K120" i="2"/>
  <c r="K379" i="2"/>
  <c r="K399" i="2"/>
  <c r="K475" i="2"/>
  <c r="K401" i="2"/>
  <c r="K259" i="2"/>
  <c r="K209" i="2"/>
  <c r="K386" i="2"/>
  <c r="K165" i="2"/>
  <c r="K468" i="2"/>
  <c r="K66" i="2"/>
  <c r="K176" i="2"/>
  <c r="K270" i="2"/>
  <c r="K213" i="2"/>
  <c r="K184" i="2"/>
  <c r="K280" i="2"/>
  <c r="K16" i="2"/>
  <c r="K142" i="2"/>
  <c r="K137" i="2"/>
  <c r="K299" i="2"/>
  <c r="K434" i="2"/>
  <c r="K411" i="2"/>
  <c r="K510" i="2"/>
  <c r="K204" i="2"/>
  <c r="K471" i="2"/>
  <c r="K318" i="2"/>
  <c r="K167" i="2"/>
  <c r="K454" i="2"/>
  <c r="K522" i="2"/>
  <c r="K502" i="2"/>
  <c r="K459" i="2"/>
  <c r="K277" i="2"/>
  <c r="K162" i="2"/>
  <c r="K344" i="2"/>
  <c r="K291" i="2"/>
  <c r="K92" i="2"/>
  <c r="K479" i="2"/>
  <c r="K247" i="2"/>
  <c r="K288" i="2"/>
  <c r="K420" i="2"/>
  <c r="K152" i="2"/>
  <c r="K218" i="2"/>
  <c r="K149" i="2"/>
  <c r="K410" i="2"/>
  <c r="K148" i="2"/>
  <c r="K72" i="2"/>
  <c r="K7" i="2"/>
  <c r="K50" i="2"/>
  <c r="K356" i="2"/>
  <c r="K202" i="2"/>
  <c r="K323" i="2"/>
  <c r="K380" i="2"/>
  <c r="K491" i="2"/>
  <c r="K261" i="2"/>
  <c r="K295" i="2"/>
  <c r="K263" i="2"/>
  <c r="K53" i="2"/>
  <c r="K106" i="2"/>
  <c r="K77" i="2"/>
  <c r="K83" i="2"/>
  <c r="K105" i="2"/>
  <c r="K33" i="2"/>
  <c r="K45" i="2"/>
  <c r="K40" i="2"/>
  <c r="K56" i="2"/>
  <c r="K390" i="2"/>
  <c r="K215" i="2"/>
  <c r="K102" i="2"/>
  <c r="K441" i="2"/>
  <c r="K156" i="2"/>
  <c r="K17" i="2"/>
  <c r="K489" i="2"/>
  <c r="K266" i="2"/>
  <c r="K174" i="2"/>
  <c r="K364" i="2"/>
  <c r="K460" i="2"/>
  <c r="K172" i="2"/>
  <c r="K223" i="2"/>
  <c r="K363" i="2"/>
  <c r="K511" i="2"/>
  <c r="K301" i="2"/>
  <c r="J480" i="2"/>
  <c r="J236" i="2"/>
  <c r="J294" i="2"/>
  <c r="J306" i="2"/>
  <c r="J385" i="2"/>
  <c r="J183" i="2"/>
  <c r="J391" i="2"/>
  <c r="J225" i="2"/>
  <c r="J262" i="2"/>
  <c r="J397" i="2"/>
  <c r="J507" i="2"/>
  <c r="J229" i="2"/>
  <c r="K507" i="2"/>
  <c r="K236" i="2"/>
  <c r="K229" i="2"/>
  <c r="K505" i="2"/>
  <c r="M363" i="3"/>
  <c r="L254" i="3"/>
  <c r="L342" i="3"/>
  <c r="M454" i="3"/>
  <c r="M478" i="3"/>
  <c r="L396" i="3"/>
  <c r="L190" i="3"/>
  <c r="L350" i="3"/>
  <c r="L268" i="3"/>
  <c r="M615" i="3"/>
  <c r="M90" i="3"/>
  <c r="M522" i="3"/>
  <c r="L216" i="3"/>
  <c r="M467" i="3"/>
  <c r="L497" i="3"/>
  <c r="L307" i="3"/>
  <c r="L362" i="3"/>
  <c r="L276" i="3"/>
  <c r="L461" i="3"/>
  <c r="M199" i="3"/>
  <c r="L257" i="3"/>
  <c r="M652" i="3"/>
  <c r="L296" i="3"/>
  <c r="M344" i="3"/>
  <c r="M638" i="3"/>
  <c r="M473" i="3"/>
  <c r="M147" i="3"/>
  <c r="M170" i="3"/>
  <c r="L233" i="3"/>
  <c r="M272" i="3"/>
  <c r="L310" i="3"/>
  <c r="L458" i="3"/>
  <c r="M608" i="3"/>
  <c r="M621" i="3"/>
  <c r="M99" i="3"/>
  <c r="L131" i="3"/>
  <c r="L289" i="3"/>
  <c r="L319" i="3"/>
  <c r="M618" i="3"/>
  <c r="L355" i="3"/>
  <c r="M394" i="3"/>
  <c r="M512" i="3"/>
  <c r="L180" i="3"/>
  <c r="L197" i="3"/>
  <c r="M256" i="3"/>
  <c r="M372" i="3"/>
  <c r="M593" i="3"/>
  <c r="M491" i="3"/>
  <c r="L206" i="3"/>
  <c r="M244" i="3"/>
  <c r="M265" i="3"/>
  <c r="L391" i="3"/>
  <c r="L135" i="3"/>
  <c r="M490" i="3"/>
  <c r="M225" i="3"/>
  <c r="M246" i="3"/>
  <c r="L274" i="3"/>
  <c r="L565" i="3"/>
  <c r="L277" i="3"/>
  <c r="L302" i="3"/>
  <c r="L318" i="3"/>
  <c r="L348" i="3"/>
  <c r="M351" i="3"/>
  <c r="L489" i="3"/>
  <c r="M626" i="3"/>
  <c r="M120" i="3"/>
  <c r="M145" i="3"/>
  <c r="L153" i="3"/>
  <c r="L517" i="3"/>
  <c r="M174" i="3"/>
  <c r="M218" i="3"/>
  <c r="M292" i="3"/>
  <c r="M333" i="3"/>
  <c r="L539" i="3"/>
  <c r="M408" i="3"/>
  <c r="M597" i="3"/>
  <c r="L87" i="3"/>
  <c r="L527" i="3"/>
  <c r="M196" i="3"/>
  <c r="L201" i="3"/>
  <c r="M213" i="3"/>
  <c r="L243" i="3"/>
  <c r="L267" i="3"/>
  <c r="M282" i="3"/>
  <c r="L306" i="3"/>
  <c r="L325" i="3"/>
  <c r="M602" i="3"/>
  <c r="L331" i="3"/>
  <c r="L339" i="3"/>
  <c r="M613" i="3"/>
  <c r="M623" i="3"/>
  <c r="L387" i="3"/>
  <c r="M390" i="3"/>
  <c r="M393" i="3"/>
  <c r="M395" i="3"/>
  <c r="M513" i="3"/>
  <c r="L427" i="3"/>
  <c r="M438" i="3"/>
  <c r="M504" i="3"/>
  <c r="L173" i="3"/>
  <c r="L529" i="3"/>
  <c r="L530" i="3"/>
  <c r="L535" i="3"/>
  <c r="L219" i="3"/>
  <c r="M227" i="3"/>
  <c r="M241" i="3"/>
  <c r="M508" i="3"/>
  <c r="L98" i="3"/>
  <c r="M101" i="3"/>
  <c r="M483" i="3"/>
  <c r="M495" i="3"/>
  <c r="L500" i="3"/>
  <c r="L482" i="3"/>
  <c r="L186" i="3"/>
  <c r="M528" i="3"/>
  <c r="L202" i="3"/>
  <c r="M209" i="3"/>
  <c r="M229" i="3"/>
  <c r="L231" i="3"/>
  <c r="M238" i="3"/>
  <c r="L250" i="3"/>
  <c r="L556" i="3"/>
  <c r="L559" i="3"/>
  <c r="M561" i="3"/>
  <c r="L279" i="3"/>
  <c r="L280" i="3"/>
  <c r="L291" i="3"/>
  <c r="L295" i="3"/>
  <c r="M301" i="3"/>
  <c r="L305" i="3"/>
  <c r="L314" i="3"/>
  <c r="M324" i="3"/>
  <c r="L330" i="3"/>
  <c r="M338" i="3"/>
  <c r="L359" i="3"/>
  <c r="M366" i="3"/>
  <c r="L369" i="3"/>
  <c r="M370" i="3"/>
  <c r="L376" i="3"/>
  <c r="M379" i="3"/>
  <c r="L659" i="3"/>
  <c r="M383" i="3"/>
  <c r="M538" i="3"/>
  <c r="L586" i="3"/>
  <c r="L591" i="3"/>
  <c r="L92" i="3"/>
  <c r="M106" i="3"/>
  <c r="M113" i="3"/>
  <c r="L122" i="3"/>
  <c r="M125" i="3"/>
  <c r="L127" i="3"/>
  <c r="M130" i="3"/>
  <c r="M464" i="3"/>
  <c r="M650" i="3"/>
  <c r="L502" i="3"/>
  <c r="L165" i="3"/>
  <c r="L168" i="3"/>
  <c r="M134" i="3"/>
  <c r="L183" i="3"/>
  <c r="L211" i="3"/>
  <c r="L215" i="3"/>
  <c r="L224" i="3"/>
  <c r="L240" i="3"/>
  <c r="L242" i="3"/>
  <c r="L253" i="3"/>
  <c r="M255" i="3"/>
  <c r="L286" i="3"/>
  <c r="L315" i="3"/>
  <c r="L594" i="3"/>
  <c r="L321" i="3"/>
  <c r="M337" i="3"/>
  <c r="L341" i="3"/>
  <c r="M354" i="3"/>
  <c r="M371" i="3"/>
  <c r="M373" i="3"/>
  <c r="M600" i="3"/>
  <c r="L511" i="3"/>
  <c r="M595" i="3"/>
  <c r="M471" i="3"/>
  <c r="M603" i="3"/>
  <c r="M345" i="3"/>
  <c r="L607" i="3"/>
  <c r="M635" i="3"/>
  <c r="L107" i="3"/>
  <c r="M111" i="3"/>
  <c r="L114" i="3"/>
  <c r="M116" i="3"/>
  <c r="L119" i="3"/>
  <c r="M128" i="3"/>
  <c r="L140" i="3"/>
  <c r="M481" i="3"/>
  <c r="M654" i="3"/>
  <c r="L525" i="3"/>
  <c r="L191" i="3"/>
  <c r="L198" i="3"/>
  <c r="L536" i="3"/>
  <c r="L234" i="3"/>
  <c r="L557" i="3"/>
  <c r="L270" i="3"/>
  <c r="L575" i="3"/>
  <c r="M343" i="3"/>
  <c r="M360" i="3"/>
  <c r="L367" i="3"/>
  <c r="L448" i="3"/>
  <c r="L105" i="3"/>
  <c r="L450" i="3"/>
  <c r="L451" i="3"/>
  <c r="M601" i="3"/>
  <c r="L413" i="3"/>
  <c r="L553" i="3"/>
  <c r="L582" i="3"/>
  <c r="M97" i="3"/>
  <c r="M91" i="3"/>
  <c r="M121" i="3"/>
  <c r="M126" i="3"/>
  <c r="L465" i="3"/>
  <c r="L144" i="3"/>
  <c r="M150" i="3"/>
  <c r="L649" i="3"/>
  <c r="L157" i="3"/>
  <c r="L509" i="3"/>
  <c r="L164" i="3"/>
  <c r="L208" i="3"/>
  <c r="L228" i="3"/>
  <c r="L230" i="3"/>
  <c r="L237" i="3"/>
  <c r="L545" i="3"/>
  <c r="L249" i="3"/>
  <c r="L258" i="3"/>
  <c r="L260" i="3"/>
  <c r="M264" i="3"/>
  <c r="L278" i="3"/>
  <c r="M290" i="3"/>
  <c r="L294" i="3"/>
  <c r="L300" i="3"/>
  <c r="L313" i="3"/>
  <c r="M605" i="3"/>
  <c r="L609" i="3"/>
  <c r="L353" i="3"/>
  <c r="M358" i="3"/>
  <c r="M364" i="3"/>
  <c r="M375" i="3"/>
  <c r="M378" i="3"/>
  <c r="M640" i="3"/>
  <c r="L641" i="3"/>
  <c r="M402" i="3"/>
  <c r="L598" i="3"/>
  <c r="M549" i="3"/>
  <c r="L462" i="3"/>
  <c r="M460" i="3"/>
  <c r="M466" i="3"/>
  <c r="M645" i="3"/>
  <c r="M566" i="3"/>
  <c r="M589" i="3"/>
  <c r="M426" i="3"/>
  <c r="M115" i="3"/>
  <c r="L117" i="3"/>
  <c r="M141" i="3"/>
  <c r="M148" i="3"/>
  <c r="M485" i="3"/>
  <c r="M494" i="3"/>
  <c r="L506" i="3"/>
  <c r="M161" i="3"/>
  <c r="L177" i="3"/>
  <c r="L223" i="3"/>
  <c r="L548" i="3"/>
  <c r="M252" i="3"/>
  <c r="L262" i="3"/>
  <c r="L271" i="3"/>
  <c r="L281" i="3"/>
  <c r="L453" i="3"/>
  <c r="M520" i="3"/>
  <c r="M166" i="3"/>
  <c r="L166" i="3"/>
  <c r="L2" i="3"/>
  <c r="L5" i="3"/>
  <c r="L7" i="3"/>
  <c r="L9" i="3"/>
  <c r="L11" i="3"/>
  <c r="L13" i="3"/>
  <c r="L15" i="3"/>
  <c r="L17" i="3"/>
  <c r="L403" i="3"/>
  <c r="L19" i="3"/>
  <c r="L20" i="3"/>
  <c r="L22" i="3"/>
  <c r="L24" i="3"/>
  <c r="L409" i="3"/>
  <c r="L410" i="3"/>
  <c r="L28" i="3"/>
  <c r="L30" i="3"/>
  <c r="L32" i="3"/>
  <c r="L34" i="3"/>
  <c r="L36" i="3"/>
  <c r="L416" i="3"/>
  <c r="L417" i="3"/>
  <c r="L40" i="3"/>
  <c r="L42" i="3"/>
  <c r="L44" i="3"/>
  <c r="L418" i="3"/>
  <c r="L420" i="3"/>
  <c r="L47" i="3"/>
  <c r="L49" i="3"/>
  <c r="L51" i="3"/>
  <c r="L53" i="3"/>
  <c r="L54" i="3"/>
  <c r="L56" i="3"/>
  <c r="L58" i="3"/>
  <c r="L431" i="3"/>
  <c r="L60" i="3"/>
  <c r="L432" i="3"/>
  <c r="L63" i="3"/>
  <c r="L65" i="3"/>
  <c r="L66" i="3"/>
  <c r="L436" i="3"/>
  <c r="L68" i="3"/>
  <c r="L440" i="3"/>
  <c r="L72" i="3"/>
  <c r="L74" i="3"/>
  <c r="L75" i="3"/>
  <c r="L444" i="3"/>
  <c r="L77" i="3"/>
  <c r="L447" i="3"/>
  <c r="L80" i="3"/>
  <c r="L82" i="3"/>
  <c r="L84" i="3"/>
  <c r="M139" i="3"/>
  <c r="M152" i="3"/>
  <c r="M496" i="3"/>
  <c r="M171" i="3"/>
  <c r="L171" i="3"/>
  <c r="M95" i="3"/>
  <c r="L102" i="3"/>
  <c r="M155" i="3"/>
  <c r="L155" i="3"/>
  <c r="M93" i="3"/>
  <c r="L100" i="3"/>
  <c r="M108" i="3"/>
  <c r="L457" i="3"/>
  <c r="M123" i="3"/>
  <c r="L129" i="3"/>
  <c r="M136" i="3"/>
  <c r="L470" i="3"/>
  <c r="L479" i="3"/>
  <c r="M648" i="3"/>
  <c r="L487" i="3"/>
  <c r="M492" i="3"/>
  <c r="L507" i="3"/>
  <c r="M158" i="3"/>
  <c r="L158" i="3"/>
  <c r="M167" i="3"/>
  <c r="M653" i="3"/>
  <c r="M503" i="3"/>
  <c r="M172" i="3"/>
  <c r="M178" i="3"/>
  <c r="L178" i="3"/>
  <c r="L57" i="3"/>
  <c r="L3" i="3"/>
  <c r="L4" i="3"/>
  <c r="L6" i="3"/>
  <c r="L8" i="3"/>
  <c r="L10" i="3"/>
  <c r="L12" i="3"/>
  <c r="L14" i="3"/>
  <c r="L16" i="3"/>
  <c r="L18" i="3"/>
  <c r="L404" i="3"/>
  <c r="L407" i="3"/>
  <c r="L21" i="3"/>
  <c r="L23" i="3"/>
  <c r="L25" i="3"/>
  <c r="L415" i="3"/>
  <c r="L31" i="3"/>
  <c r="L33" i="3"/>
  <c r="L35" i="3"/>
  <c r="L37" i="3"/>
  <c r="L38" i="3"/>
  <c r="L39" i="3"/>
  <c r="L41" i="3"/>
  <c r="L43" i="3"/>
  <c r="L45" i="3"/>
  <c r="L419" i="3"/>
  <c r="L421" i="3"/>
  <c r="L50" i="3"/>
  <c r="L52" i="3"/>
  <c r="L55" i="3"/>
  <c r="L430" i="3"/>
  <c r="L59" i="3"/>
  <c r="L646" i="3"/>
  <c r="L62" i="3"/>
  <c r="L433" i="3"/>
  <c r="L64" i="3"/>
  <c r="L435" i="3"/>
  <c r="L67" i="3"/>
  <c r="L439" i="3"/>
  <c r="L69" i="3"/>
  <c r="L71" i="3"/>
  <c r="L73" i="3"/>
  <c r="L442" i="3"/>
  <c r="L76" i="3"/>
  <c r="L445" i="3"/>
  <c r="L78" i="3"/>
  <c r="L79" i="3"/>
  <c r="L81" i="3"/>
  <c r="L83" i="3"/>
  <c r="L86" i="3"/>
  <c r="L88" i="3"/>
  <c r="M89" i="3"/>
  <c r="L96" i="3"/>
  <c r="M104" i="3"/>
  <c r="L112" i="3"/>
  <c r="M459" i="3"/>
  <c r="M133" i="3"/>
  <c r="L138" i="3"/>
  <c r="M146" i="3"/>
  <c r="L151" i="3"/>
  <c r="L486" i="3"/>
  <c r="M154" i="3"/>
  <c r="M505" i="3"/>
  <c r="L162" i="3"/>
  <c r="M185" i="3"/>
  <c r="L185" i="3"/>
  <c r="L94" i="3"/>
  <c r="M103" i="3"/>
  <c r="L110" i="3"/>
  <c r="M118" i="3"/>
  <c r="L124" i="3"/>
  <c r="M132" i="3"/>
  <c r="L137" i="3"/>
  <c r="L477" i="3"/>
  <c r="M647" i="3"/>
  <c r="L484" i="3"/>
  <c r="M651" i="3"/>
  <c r="L493" i="3"/>
  <c r="M501" i="3"/>
  <c r="M159" i="3"/>
  <c r="M143" i="3"/>
  <c r="M480" i="3"/>
  <c r="M488" i="3"/>
  <c r="M499" i="3"/>
  <c r="M160" i="3"/>
  <c r="L160" i="3"/>
  <c r="M163" i="3"/>
  <c r="L163" i="3"/>
  <c r="L519" i="3"/>
  <c r="M181" i="3"/>
  <c r="L188" i="3"/>
  <c r="M192" i="3"/>
  <c r="L532" i="3"/>
  <c r="M203" i="3"/>
  <c r="M217" i="3"/>
  <c r="M542" i="3"/>
  <c r="M247" i="3"/>
  <c r="L247" i="3"/>
  <c r="M275" i="3"/>
  <c r="L275" i="3"/>
  <c r="M567" i="3"/>
  <c r="L567" i="3"/>
  <c r="M287" i="3"/>
  <c r="L287" i="3"/>
  <c r="M293" i="3"/>
  <c r="L293" i="3"/>
  <c r="M311" i="3"/>
  <c r="L311" i="3"/>
  <c r="M592" i="3"/>
  <c r="L592" i="3"/>
  <c r="L205" i="3"/>
  <c r="L222" i="3"/>
  <c r="L235" i="3"/>
  <c r="L551" i="3"/>
  <c r="L176" i="3"/>
  <c r="L184" i="3"/>
  <c r="L189" i="3"/>
  <c r="L194" i="3"/>
  <c r="M259" i="3"/>
  <c r="L259" i="3"/>
  <c r="M312" i="3"/>
  <c r="L312" i="3"/>
  <c r="L156" i="3"/>
  <c r="L169" i="3"/>
  <c r="L182" i="3"/>
  <c r="L193" i="3"/>
  <c r="L204" i="3"/>
  <c r="L658" i="3"/>
  <c r="L232" i="3"/>
  <c r="L245" i="3"/>
  <c r="M248" i="3"/>
  <c r="L251" i="3"/>
  <c r="M269" i="3"/>
  <c r="L269" i="3"/>
  <c r="L288" i="3"/>
  <c r="M304" i="3"/>
  <c r="M571" i="3"/>
  <c r="L571" i="3"/>
  <c r="L195" i="3"/>
  <c r="L200" i="3"/>
  <c r="L537" i="3"/>
  <c r="L214" i="3"/>
  <c r="L221" i="3"/>
  <c r="L541" i="3"/>
  <c r="L543" i="3"/>
  <c r="L546" i="3"/>
  <c r="L554" i="3"/>
  <c r="M555" i="3"/>
  <c r="L558" i="3"/>
  <c r="L297" i="3"/>
  <c r="M588" i="3"/>
  <c r="L588" i="3"/>
  <c r="M323" i="3"/>
  <c r="L323" i="3"/>
  <c r="L550" i="3"/>
  <c r="M552" i="3"/>
  <c r="L552" i="3"/>
  <c r="M576" i="3"/>
  <c r="L576" i="3"/>
  <c r="M583" i="3"/>
  <c r="M298" i="3"/>
  <c r="L298" i="3"/>
  <c r="M317" i="3"/>
  <c r="L317" i="3"/>
  <c r="L175" i="3"/>
  <c r="L526" i="3"/>
  <c r="L533" i="3"/>
  <c r="L210" i="3"/>
  <c r="L226" i="3"/>
  <c r="L239" i="3"/>
  <c r="M261" i="3"/>
  <c r="L261" i="3"/>
  <c r="M263" i="3"/>
  <c r="L263" i="3"/>
  <c r="L562" i="3"/>
  <c r="M572" i="3"/>
  <c r="L284" i="3"/>
  <c r="L329" i="3"/>
  <c r="M329" i="3"/>
  <c r="L381" i="3"/>
  <c r="M381" i="3"/>
  <c r="L599" i="3"/>
  <c r="M599" i="3"/>
  <c r="M335" i="3"/>
  <c r="L356" i="3"/>
  <c r="M356" i="3"/>
  <c r="M629" i="3"/>
  <c r="L384" i="3"/>
  <c r="L388" i="3"/>
  <c r="M388" i="3"/>
  <c r="L632" i="3"/>
  <c r="M632" i="3"/>
  <c r="M521" i="3"/>
  <c r="L521" i="3"/>
  <c r="L308" i="3"/>
  <c r="L596" i="3"/>
  <c r="M326" i="3"/>
  <c r="M334" i="3"/>
  <c r="L634" i="3"/>
  <c r="M382" i="3"/>
  <c r="L374" i="3"/>
  <c r="M374" i="3"/>
  <c r="M389" i="3"/>
  <c r="L392" i="3"/>
  <c r="M392" i="3"/>
  <c r="L322" i="3"/>
  <c r="L328" i="3"/>
  <c r="M332" i="3"/>
  <c r="L340" i="3"/>
  <c r="M340" i="3"/>
  <c r="M346" i="3"/>
  <c r="L349" i="3"/>
  <c r="M349" i="3"/>
  <c r="L397" i="3"/>
  <c r="M397" i="3"/>
  <c r="L285" i="3"/>
  <c r="L581" i="3"/>
  <c r="L584" i="3"/>
  <c r="L303" i="3"/>
  <c r="L309" i="3"/>
  <c r="L316" i="3"/>
  <c r="L320" i="3"/>
  <c r="L327" i="3"/>
  <c r="M606" i="3"/>
  <c r="L368" i="3"/>
  <c r="M368" i="3"/>
  <c r="L377" i="3"/>
  <c r="M377" i="3"/>
  <c r="L380" i="3"/>
  <c r="M380" i="3"/>
  <c r="M398" i="3"/>
  <c r="L398" i="3"/>
  <c r="M616" i="3"/>
  <c r="L616" i="3"/>
  <c r="L630" i="3"/>
  <c r="M630" i="3"/>
  <c r="M385" i="3"/>
  <c r="M604" i="3"/>
  <c r="M570" i="3"/>
  <c r="M564" i="3"/>
  <c r="M405" i="3"/>
  <c r="M534" i="3"/>
  <c r="M578" i="3"/>
  <c r="M620" i="3"/>
  <c r="M443" i="3"/>
  <c r="M476" i="3"/>
  <c r="L597" i="3"/>
  <c r="L422" i="3"/>
  <c r="M540" i="3"/>
  <c r="L455" i="3"/>
  <c r="M577" i="3"/>
  <c r="L449" i="3"/>
  <c r="M428" i="3"/>
  <c r="M627" i="3"/>
  <c r="M637" i="3"/>
  <c r="M569" i="3"/>
  <c r="M425" i="3"/>
  <c r="L406" i="3"/>
  <c r="M614" i="3"/>
  <c r="L523" i="3"/>
  <c r="M424" i="3"/>
  <c r="L624" i="3"/>
  <c r="L429" i="3"/>
  <c r="M610" i="3"/>
  <c r="M619" i="3"/>
  <c r="M622" i="3"/>
  <c r="M43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<sst xmlns="http://schemas.openxmlformats.org/spreadsheetml/2006/main" count="10356" uniqueCount="3419">
  <si>
    <t>Round A</t>
  </si>
  <si>
    <t>Pre Seed</t>
  </si>
  <si>
    <t>TTOs</t>
  </si>
  <si>
    <t>Seed</t>
  </si>
  <si>
    <t>Startups Creation Platforms</t>
  </si>
  <si>
    <t>Ideation</t>
  </si>
  <si>
    <t>Growth/Large Company</t>
  </si>
  <si>
    <t>Other</t>
  </si>
  <si>
    <t>Human Capital Programs</t>
  </si>
  <si>
    <t>Email</t>
  </si>
  <si>
    <t>Call</t>
  </si>
  <si>
    <t>LinkedIn</t>
  </si>
  <si>
    <r>
      <rPr>
        <sz val="11"/>
        <color theme="1"/>
        <rFont val="DejaVu Sans"/>
        <family val="2"/>
      </rPr>
      <t>רשהח</t>
    </r>
    <r>
      <rPr>
        <sz val="11"/>
        <color theme="1"/>
        <rFont val="Calibri"/>
        <family val="2"/>
        <charset val="1"/>
      </rPr>
      <t>"</t>
    </r>
    <r>
      <rPr>
        <sz val="11"/>
        <color theme="1"/>
        <rFont val="DejaVu Sans"/>
        <family val="2"/>
      </rPr>
      <t xml:space="preserve">ד </t>
    </r>
    <r>
      <rPr>
        <sz val="11"/>
        <color theme="1"/>
        <rFont val="Calibri"/>
        <family val="2"/>
        <charset val="1"/>
      </rPr>
      <t>2025</t>
    </r>
  </si>
  <si>
    <t>Webinars 2.26</t>
  </si>
  <si>
    <t>יפעת</t>
  </si>
  <si>
    <t>Referral</t>
  </si>
  <si>
    <t>Website</t>
  </si>
  <si>
    <t>Conference</t>
  </si>
  <si>
    <t>Cold Outreach</t>
  </si>
  <si>
    <t>Partner</t>
  </si>
  <si>
    <t>#</t>
  </si>
  <si>
    <t>Company Name</t>
  </si>
  <si>
    <t>Stage</t>
  </si>
  <si>
    <t>Source</t>
  </si>
  <si>
    <t>Track / Program</t>
  </si>
  <si>
    <t>Segment</t>
  </si>
  <si>
    <t>Notes</t>
  </si>
  <si>
    <t>Last Contact</t>
  </si>
  <si>
    <t>Interactions</t>
  </si>
  <si>
    <t>http://WWW.AXIOMA-IN.COM</t>
  </si>
  <si>
    <t>nan</t>
  </si>
  <si>
    <t>מקורות</t>
  </si>
  <si>
    <t>https://www.mekorot.co.il/</t>
  </si>
  <si>
    <t>חברת המים הלאומית של ישראל</t>
  </si>
  <si>
    <t>https://www.biotic-labs.com/</t>
  </si>
  <si>
    <t>https://birad.biz</t>
  </si>
  <si>
    <t>מחקר יישומי באקדמיה בתמיכה משותפת עם משרד הביטחון</t>
  </si>
  <si>
    <t>Academia</t>
  </si>
  <si>
    <t>ביראד חברה למחקר ופיתוח</t>
  </si>
  <si>
    <t>https://www.claroai.com</t>
  </si>
  <si>
    <t>https://copilotmd.ai</t>
  </si>
  <si>
    <t>http://www.drinklamu.com</t>
  </si>
  <si>
    <t>https://www.motionanalytics.io</t>
  </si>
  <si>
    <t>היתכנות חממות יזמות בפריפריה</t>
  </si>
  <si>
    <t>Noyad</t>
  </si>
  <si>
    <t>https://noyad.co.il</t>
  </si>
  <si>
    <t>הגברת השתתפות תאגידים תעשייתיים ישראליים בתכנית המסגרת האירופאית</t>
  </si>
  <si>
    <t>http://ahdab@vstylr.ai</t>
  </si>
  <si>
    <t>Marine Edge</t>
  </si>
  <si>
    <t>http://www.marine-edge.com/</t>
  </si>
  <si>
    <t>מחקר יישומי בתעשייה בתמיכה משותפת עם משרד הביטחון</t>
  </si>
  <si>
    <t>http://www.northmed.tech</t>
  </si>
  <si>
    <t>General Tech</t>
  </si>
  <si>
    <t>מרכז חדשנות</t>
  </si>
  <si>
    <t>http://www.threatdash.com</t>
  </si>
  <si>
    <t>Twine</t>
  </si>
  <si>
    <t>https://www.twine.net/</t>
  </si>
  <si>
    <t>מרקטפלייס לפרילנסרים וקריאטיב</t>
  </si>
  <si>
    <t>http://www.twine-s.com</t>
  </si>
  <si>
    <t>פיתוח מערכות דיגיטאליות לצביעת חוטי פוליאסטר</t>
  </si>
  <si>
    <t>http://www.neuray.ai</t>
  </si>
  <si>
    <t>http://www.quamcore.com</t>
  </si>
  <si>
    <t>סקינקובטור נאוקר</t>
  </si>
  <si>
    <t>https://skincubator-neocare.com</t>
  </si>
  <si>
    <t>טכנולוגיות מצילות חיים שמחזקות את הקשר בין פגים פגיעים והוריהם</t>
  </si>
  <si>
    <t>https://afeka.ac.il</t>
  </si>
  <si>
    <t>אפקה המכללה להנדסה בתל אביב</t>
  </si>
  <si>
    <t>http://www.brain.space</t>
  </si>
  <si>
    <t>Medical device, AI</t>
  </si>
  <si>
    <t>https://esil.co.il/</t>
  </si>
  <si>
    <t>http://www.ceva-dsp.com</t>
  </si>
  <si>
    <t>Semiconductors</t>
  </si>
  <si>
    <t>http://www.biondvax.com</t>
  </si>
  <si>
    <t>https://apexbio.tech</t>
  </si>
  <si>
    <t>https://www.remot.energy/</t>
  </si>
  <si>
    <t>מערכת טעינה אלחוטית לכלי תחבורה מונעים חשמל</t>
  </si>
  <si>
    <t>http://www.sigasec.com/</t>
  </si>
  <si>
    <t>Cybersecurity</t>
  </si>
  <si>
    <t>http://www.raicol.com</t>
  </si>
  <si>
    <t>Optics</t>
  </si>
  <si>
    <t>https://viritis2020.com</t>
  </si>
  <si>
    <t>פלטפורמה ליצירת תרופות אנטי ויראליות חדשניות כנגד כל וירוס</t>
  </si>
  <si>
    <t>amit-pastry.com</t>
  </si>
  <si>
    <t>Industrial Tech</t>
  </si>
  <si>
    <t>ברוול</t>
  </si>
  <si>
    <t>http://www.brevel.co.il</t>
  </si>
  <si>
    <t>חברת ברוול פיתחה טכנולוגיה פורצת דרך לפרמנציה מוארת</t>
  </si>
  <si>
    <t>https://yd-labs.com/</t>
  </si>
  <si>
    <t>AgriTech</t>
  </si>
  <si>
    <t>אמנדו</t>
  </si>
  <si>
    <t>https://mail.huji.ac.il</t>
  </si>
  <si>
    <t>האוניברסיטה העברית</t>
  </si>
  <si>
    <t>http://www.solidt-tech.com</t>
  </si>
  <si>
    <t>https://sphere-point.com</t>
  </si>
  <si>
    <t>https://www.hypervision.ai/</t>
  </si>
  <si>
    <t>http://www.elssway.com</t>
  </si>
  <si>
    <t>BIO BARRIER NOSOCOMIAL INFECTIONS PREVENTION LTD</t>
  </si>
  <si>
    <t>https://bio-barrier.com</t>
  </si>
  <si>
    <t>http://wearabledevices.co.il</t>
  </si>
  <si>
    <t>http://www.hadasit.org.il</t>
  </si>
  <si>
    <t>Medical device</t>
  </si>
  <si>
    <t>VP BD, Medical devices &amp; Digital health</t>
  </si>
  <si>
    <t>טירסיאס</t>
  </si>
  <si>
    <t>https://tiresias.co</t>
  </si>
  <si>
    <t>http://www.alon-medtech.com/</t>
  </si>
  <si>
    <t>http://www.limaca-medical.com</t>
  </si>
  <si>
    <t>https://vh2o.io</t>
  </si>
  <si>
    <t>https://addionics.com</t>
  </si>
  <si>
    <t>http://www.accellta.com</t>
  </si>
  <si>
    <t>Axioma</t>
  </si>
  <si>
    <t>https://axioma-in.com</t>
  </si>
  <si>
    <t>Ansora</t>
  </si>
  <si>
    <t>https://www.ansora.ai/</t>
  </si>
  <si>
    <t>https://health.gov.il</t>
  </si>
  <si>
    <t>ח</t>
  </si>
  <si>
    <t>darom.life</t>
  </si>
  <si>
    <t>רמדיסל</t>
  </si>
  <si>
    <t>http://www.remedycell.com</t>
  </si>
  <si>
    <t>https://rise.assuta.co.il/</t>
  </si>
  <si>
    <t>https://trendlines.com</t>
  </si>
  <si>
    <t>חממות טכנולוגיות</t>
  </si>
  <si>
    <t>חממה טכנולוגי</t>
  </si>
  <si>
    <t>https://www.kamai.io</t>
  </si>
  <si>
    <t>https://endo-pulse.com</t>
  </si>
  <si>
    <t>מגניסיטי</t>
  </si>
  <si>
    <t>https://magnisity.com</t>
  </si>
  <si>
    <t>רובוט אנדוסקופי לניווט בריאות לאבחון סרטן ריאות</t>
  </si>
  <si>
    <t>פרוליפרה</t>
  </si>
  <si>
    <t>http://www.proleafera.com</t>
  </si>
  <si>
    <t>בתי זיקוק לנפט</t>
  </si>
  <si>
    <t>http://www.bazan.co.il</t>
  </si>
  <si>
    <t>http://agilemri.com</t>
  </si>
  <si>
    <t>https://ndt.co.il</t>
  </si>
  <si>
    <t>חברה לפיתוח טכנולוגיות חישה ולתחום בדיקות לא הורסות</t>
  </si>
  <si>
    <t>Wsc sports</t>
  </si>
  <si>
    <t>https://wsc-sports.com/</t>
  </si>
  <si>
    <t>סמאנא זרזיר</t>
  </si>
  <si>
    <t>https://samanahub.org</t>
  </si>
  <si>
    <t>קרן ההון האנושי להייטק</t>
  </si>
  <si>
    <t>http://www.me-med.com</t>
  </si>
  <si>
    <t>https://www.sheba.co.il/</t>
  </si>
  <si>
    <t>זטרה אי איי בע״מ</t>
  </si>
  <si>
    <t>www.zetta.ai</t>
  </si>
  <si>
    <t>AI</t>
  </si>
  <si>
    <t>https://www.finally-foods.com</t>
  </si>
  <si>
    <t>אסטריקס פודס בע״מ</t>
  </si>
  <si>
    <t>https://asterixfoods.com</t>
  </si>
  <si>
    <t>https://www.bgu.ac.il/</t>
  </si>
  <si>
    <t>Bruker</t>
  </si>
  <si>
    <t>https://bruker.com</t>
  </si>
  <si>
    <t>מכשור מדעי ואנליטי למעבדות</t>
  </si>
  <si>
    <t>https://lusix.com</t>
  </si>
  <si>
    <t>http://www.cognata.com/</t>
  </si>
  <si>
    <t>https://mshoham.co.il/he/</t>
  </si>
  <si>
    <t>קאוזל מד בע״מ</t>
  </si>
  <si>
    <t>https://projectm.tech/</t>
  </si>
  <si>
    <t>http://www.criaterra.co.il</t>
  </si>
  <si>
    <t>Kokomodo</t>
  </si>
  <si>
    <t>https://thekokomodo.com</t>
  </si>
  <si>
    <t>https://briya.com/</t>
  </si>
  <si>
    <t>http://cambium.co.il</t>
  </si>
  <si>
    <t>Fast Sense</t>
  </si>
  <si>
    <t>http://www.fast-sense.com</t>
  </si>
  <si>
    <t>Hydrogen Nano Gas Sensors</t>
  </si>
  <si>
    <t>https://www.migal.org.il/en</t>
  </si>
  <si>
    <t>http://www.iai.co.il</t>
  </si>
  <si>
    <t>http://www.mappo.world</t>
  </si>
  <si>
    <t>Top seeds intl.</t>
  </si>
  <si>
    <t>https://www.topseeds.com/</t>
  </si>
  <si>
    <t>זרעים ופתרונות חקלאיים</t>
  </si>
  <si>
    <t>עצמאית</t>
  </si>
  <si>
    <t>Afimilk</t>
  </si>
  <si>
    <t>https://afimilk.com</t>
  </si>
  <si>
    <t>טכנולוגיות וניהול רפתות חלב</t>
  </si>
  <si>
    <t>http://uniqadental.com</t>
  </si>
  <si>
    <t>http://www.percepto.co/</t>
  </si>
  <si>
    <t>Robotics</t>
  </si>
  <si>
    <t>פתרון קצה לקצה לניתור תשתיות על ידי רחפנים אוטונומיים שסורקים את התשתיות ומתריעים על ליקויים בזמן אמת</t>
  </si>
  <si>
    <t>ever after foods</t>
  </si>
  <si>
    <t>https://everafterfoods.com</t>
  </si>
  <si>
    <t>https://resynapse.carrd.co</t>
  </si>
  <si>
    <t>החברה עוסקת פיתוח מדבקה למדידה רציפה ולא פולשנית של לחץ דם</t>
  </si>
  <si>
    <t>http://www.ms-technologies.com</t>
  </si>
  <si>
    <t>http://www.eexion.com</t>
  </si>
  <si>
    <t>מסלול מעבדות לחדשנות טכנולוגית</t>
  </si>
  <si>
    <t>http://www.ceragon.com</t>
  </si>
  <si>
    <t>Communications</t>
  </si>
  <si>
    <t>https://treetoscope.com/</t>
  </si>
  <si>
    <t>אוניברסיטת חיפה</t>
  </si>
  <si>
    <t>https://haifa.ac.il</t>
  </si>
  <si>
    <t>אוניברסיטת מחקר המציעה מסלולי הכשרה לפיתוח ועידוד יזמות באמצעות המרכז ליזמות וחדשנות ורשת השותפויות הבין מגזריות שהוא יוצר</t>
  </si>
  <si>
    <t>http://www.gordiansurgical.com</t>
  </si>
  <si>
    <t>http://www.terrapeuticspharma.com</t>
  </si>
  <si>
    <t>https://www.weedout-ibs.com/</t>
  </si>
  <si>
    <t>https://aionlabs.com</t>
  </si>
  <si>
    <t>מעבדה לחדשנות</t>
  </si>
  <si>
    <t>traigent.ai</t>
  </si>
  <si>
    <t>מוצר לטיוב יישומים מבוססי בינה מלאכותית</t>
  </si>
  <si>
    <t>https://www.grafenika.com/</t>
  </si>
  <si>
    <t>https://stickit-labs.com</t>
  </si>
  <si>
    <t>א</t>
  </si>
  <si>
    <t>http://aerosentry.tech</t>
  </si>
  <si>
    <t>מפתחת פתרונות הגנה מתקדמים מבוססי בינה מלאכותית</t>
  </si>
  <si>
    <t>Pluri</t>
  </si>
  <si>
    <t>http://www.d-id.com</t>
  </si>
  <si>
    <t>לא רלוונטי</t>
  </si>
  <si>
    <t>https://wingsil.com</t>
  </si>
  <si>
    <t>אקסייט ישראל פרויקטים</t>
  </si>
  <si>
    <t>https://www.exyte.net/Locations/Israel</t>
  </si>
  <si>
    <t>בינה מלאכותית לקידום תכנון ובנייה</t>
  </si>
  <si>
    <t>ECOTASE TECH LTD</t>
  </si>
  <si>
    <t>https://ecotase.com</t>
  </si>
  <si>
    <t>https://reagenics.com</t>
  </si>
  <si>
    <t>כמפורט בחוברת הבקשה</t>
  </si>
  <si>
    <t>Konnect - Volkswagen Innovation Hub</t>
  </si>
  <si>
    <t>https://konnect-vwgroup.com/</t>
  </si>
  <si>
    <t>http://3dbattery.co.il</t>
  </si>
  <si>
    <t>מסחור ידע ממוסד מחקר לתאגיד תעשייתי</t>
  </si>
  <si>
    <t>פיתוח ייצור ומסחור טכנולוגיות לאגירת אנרגיה</t>
  </si>
  <si>
    <t>http://www.mobilephysics.com/</t>
  </si>
  <si>
    <t>סופוויב</t>
  </si>
  <si>
    <t>https://sofwave.com</t>
  </si>
  <si>
    <t>טיפולי אולטרסאונד לא פולשניים לעור</t>
  </si>
  <si>
    <t>https://evicure.bio</t>
  </si>
  <si>
    <t>https://www.investors-forum.com/</t>
  </si>
  <si>
    <t>http://airwayz.co</t>
  </si>
  <si>
    <t>איירוויז דרונז</t>
  </si>
  <si>
    <t>https://coolingcrops.com</t>
  </si>
  <si>
    <t>https://www.galilofek.com/</t>
  </si>
  <si>
    <t>http://www.trilogical.com</t>
  </si>
  <si>
    <t>MicroSteer</t>
  </si>
  <si>
    <t>https://microsteer.com</t>
  </si>
  <si>
    <t>מכשור רפואי להסרת נגעים במערכת העיכול</t>
  </si>
  <si>
    <t>https://www.tami-imi.com</t>
  </si>
  <si>
    <t>פדידה</t>
  </si>
  <si>
    <t>https://fruitoh.webflow.io/</t>
  </si>
  <si>
    <t>חברת טכנולוגיה המפתחת פתרונות לטיפול מתקדם בעודפי פירות וירקות</t>
  </si>
  <si>
    <t>https://city-zone.co</t>
  </si>
  <si>
    <t>בו אנד בו</t>
  </si>
  <si>
    <t>http://bobo-balance.com</t>
  </si>
  <si>
    <t>https://hopec-pharma.com</t>
  </si>
  <si>
    <t>http://www.modcon-systems.com</t>
  </si>
  <si>
    <t>קריאיישן ספייס בע״מ</t>
  </si>
  <si>
    <t>http://creation-space.com</t>
  </si>
  <si>
    <t>Emotion Logic</t>
  </si>
  <si>
    <t>https://emotionlogic.ai</t>
  </si>
  <si>
    <t>Fungit Biosolutions</t>
  </si>
  <si>
    <t>http://www.harvestrag.com</t>
  </si>
  <si>
    <t>חממות יזמות בפריפריה</t>
  </si>
  <si>
    <t>Neuronic systems</t>
  </si>
  <si>
    <t>https://neuronicode.com</t>
  </si>
  <si>
    <t>http://www.medasense.com</t>
  </si>
  <si>
    <t>http://www.magnabsp.com</t>
  </si>
  <si>
    <t>פיתוח דו לאומי של חיישן חדשני עם גלאי היתוך ובינה מלאכותית לאבטחה היקפית</t>
  </si>
  <si>
    <t>ביקפיו</t>
  </si>
  <si>
    <t>http://www.becapio,.com</t>
  </si>
  <si>
    <t>https://brookaviation.com/government/</t>
  </si>
  <si>
    <t>PolyX</t>
  </si>
  <si>
    <t>polyx.io</t>
  </si>
  <si>
    <t>https://www.thermagix.com/</t>
  </si>
  <si>
    <t>https://www.we-agri.co/</t>
  </si>
  <si>
    <t>https://catammon.co/</t>
  </si>
  <si>
    <t>מגו אפק</t>
  </si>
  <si>
    <t>https://megoafek.com</t>
  </si>
  <si>
    <t>http://www.parkomat.co.il</t>
  </si>
  <si>
    <t>https://www.carmel-olefins.co.il</t>
  </si>
  <si>
    <t>InFocus</t>
  </si>
  <si>
    <t>https://www.infocus.com/</t>
  </si>
  <si>
    <t>http://www.stratasys.com/</t>
  </si>
  <si>
    <t>http://www.curesponse.com</t>
  </si>
  <si>
    <t>Diastole Medical LTD</t>
  </si>
  <si>
    <t>https://diastole.io</t>
  </si>
  <si>
    <t>https://ecophage.com</t>
  </si>
  <si>
    <t>http://www.lightyx.com</t>
  </si>
  <si>
    <t>Park Ariel Sharon</t>
  </si>
  <si>
    <t>https://parksharon.co.il</t>
  </si>
  <si>
    <t>http://www.polymertal.com</t>
  </si>
  <si>
    <t>https://www.malanta3d.com/</t>
  </si>
  <si>
    <t>https://mealiways.com/</t>
  </si>
  <si>
    <t>מדק תעשיות פלסטיק</t>
  </si>
  <si>
    <t>https://mdcindustries.com</t>
  </si>
  <si>
    <t>ייצור תעשייתי ופתרונות הנדסיים</t>
  </si>
  <si>
    <t>https://www.pei.co.il/</t>
  </si>
  <si>
    <t>Energy</t>
  </si>
  <si>
    <t>עמותת אלזהראוי</t>
  </si>
  <si>
    <t>https://trd-center.org</t>
  </si>
  <si>
    <t>מערכת חדשנית להובלת כמותרפיה לטיפול בסרטן לבלב לא נתיח</t>
  </si>
  <si>
    <t>http://hasoub.org/labs</t>
  </si>
  <si>
    <t>Eco2Protein</t>
  </si>
  <si>
    <t>http://WWW.ECO2PROTEIN.COM</t>
  </si>
  <si>
    <t>איט וורקס מעצימים אנשים</t>
  </si>
  <si>
    <t>http://www.itworks.org.il</t>
  </si>
  <si>
    <t>עמותה לפיתוח כלכלי המתמחה בהשמת אוכלוסיות גיוון בסקטור ההיטק</t>
  </si>
  <si>
    <t>Driveu.auto</t>
  </si>
  <si>
    <t>https://driveu.auto</t>
  </si>
  <si>
    <t>פאנטום גי</t>
  </si>
  <si>
    <t>http://www.phantomgi.com</t>
  </si>
  <si>
    <t>פיתוח מוצר רפואי שיחליף ניתוח מאג׳ורי בפעולה פשוטה דרך העור</t>
  </si>
  <si>
    <t>רמות אוניברסיטת תל אביב</t>
  </si>
  <si>
    <t>https://ramot.org</t>
  </si>
  <si>
    <t>ננוז מדיקל</t>
  </si>
  <si>
    <t>https://nanosemed.com/</t>
  </si>
  <si>
    <t>טכנולוגיית חישה פורצת דרך מבוססת בינה מלאכותית לאבחון מוקדם וניהול מחלות באמצעות ביומרקרים בנשיפה</t>
  </si>
  <si>
    <t>אייויאשן בעמ</t>
  </si>
  <si>
    <t>https://eyeviation.com</t>
  </si>
  <si>
    <t>http://www.embedded-solutions.co.il</t>
  </si>
  <si>
    <t>E.S. Embedded solutions 3000 (ES)</t>
  </si>
  <si>
    <t>סינובל ביופלסטיק</t>
  </si>
  <si>
    <t>ידע מחקר ופיתוח</t>
  </si>
  <si>
    <t>http://www.yedarnd.com/</t>
  </si>
  <si>
    <t>3Dme</t>
  </si>
  <si>
    <t>https://3dme.co.il</t>
  </si>
  <si>
    <t>סריקות גוף והדפסת דמויות בתלת מימד</t>
  </si>
  <si>
    <t>http://www.alagene.co.il</t>
  </si>
  <si>
    <t>Biology</t>
  </si>
  <si>
    <t>http://www.arberobotics.com/</t>
  </si>
  <si>
    <t>https://artmedical.com/</t>
  </si>
  <si>
    <t>Beyon-D Innovations Ltd</t>
  </si>
  <si>
    <t>www.beyon-d.com</t>
  </si>
  <si>
    <t>http://www.biodalia.com</t>
  </si>
  <si>
    <t>https://edgemed.vc</t>
  </si>
  <si>
    <t>חממות טכנולוגיות לעידוד הקמה והשקעות הון לחברות הזנק</t>
  </si>
  <si>
    <t>https://gaiapartners.co.il</t>
  </si>
  <si>
    <t>https://gram-bio.com</t>
  </si>
  <si>
    <t>https://hamitbah.com</t>
  </si>
  <si>
    <t>HLS</t>
  </si>
  <si>
    <t>ibtikar-bc.com</t>
  </si>
  <si>
    <t>איגנייט דיפטק בע״מ</t>
  </si>
  <si>
    <t>http://www.ignitedeeptech.com</t>
  </si>
  <si>
    <t>איגנייט תאגיד להאצת חברות הזנק</t>
  </si>
  <si>
    <t>עזריאלי מכללה אקדמית להנדסה ירושלים</t>
  </si>
  <si>
    <t>http://www.jce.ac.il</t>
  </si>
  <si>
    <t>https://www.kornit.com/</t>
  </si>
  <si>
    <t>microbotmedical.com</t>
  </si>
  <si>
    <t>מעבר מפיתוח לייצור</t>
  </si>
  <si>
    <t>Medical device, Robotics</t>
  </si>
  <si>
    <t>norterra.com</t>
  </si>
  <si>
    <t>omnisol.co.il</t>
  </si>
  <si>
    <t>AI, Software</t>
  </si>
  <si>
    <t>https://www.parallelwireless.com</t>
  </si>
  <si>
    <t>pas-gon.com</t>
  </si>
  <si>
    <t>http://www.physical-logic.com</t>
  </si>
  <si>
    <t>http://www.plazit-polygal.com</t>
  </si>
  <si>
    <t>http://quantum-machines.co</t>
  </si>
  <si>
    <t>Software</t>
  </si>
  <si>
    <t>http://www.radcom.com</t>
  </si>
  <si>
    <t>AI, Communications</t>
  </si>
  <si>
    <t>http://www.scanmaster-irt.com</t>
  </si>
  <si>
    <t>המכללה האקדמית להנדסה סמי שמעון</t>
  </si>
  <si>
    <t>http://www.shachar.biz</t>
  </si>
  <si>
    <t>synergy7.org.il</t>
  </si>
  <si>
    <t>תריג עיקור ומעבדות בעמ</t>
  </si>
  <si>
    <t>http://www.taryag-group.com</t>
  </si>
  <si>
    <t>techlinic.com</t>
  </si>
  <si>
    <t>פיתוח הון אנושי עבור התעשייה עתירת הידע בישראל</t>
  </si>
  <si>
    <t>תרניקה ביו אלקטרוניקה</t>
  </si>
  <si>
    <t>http://www.theranica.com</t>
  </si>
  <si>
    <t>Wearables, Medical Device</t>
  </si>
  <si>
    <t>https://www.vcomm.tech/</t>
  </si>
  <si>
    <t>verbit.ai</t>
  </si>
  <si>
    <t>וי אל אקס</t>
  </si>
  <si>
    <t>vlx.co.il</t>
  </si>
  <si>
    <t>http://www.senstation-tech.com</t>
  </si>
  <si>
    <t>פיוזןמנטל</t>
  </si>
  <si>
    <t>פיתוח המעטפת החיצונית של תחנות כח מבוססות היתוך גרעיני</t>
  </si>
  <si>
    <t>ביקון אמ אר איי</t>
  </si>
  <si>
    <t>פרופלור דרונס בע״מ</t>
  </si>
  <si>
    <t>http://www.propeller-drones.com</t>
  </si>
  <si>
    <t>https://docflo.ai</t>
  </si>
  <si>
    <t>http://www.cytorastem.com</t>
  </si>
  <si>
    <t>http://www.onepassmedical.com</t>
  </si>
  <si>
    <t>liveperson</t>
  </si>
  <si>
    <t>https://www.liveperson.com/</t>
  </si>
  <si>
    <t>https://www.firewave.earth/</t>
  </si>
  <si>
    <t>Tosaf</t>
  </si>
  <si>
    <t>https://tosaf.com</t>
  </si>
  <si>
    <t>תוספים וצבעים לתעשיית הפלסטיק</t>
  </si>
  <si>
    <t>http://www.biomx.com</t>
  </si>
  <si>
    <t>BiomX is developing both natural and engineered phage cocktails and personalized treatments designed to target and destroy harmful bacteria in chronic diseases, including cystic fibrosis and diabetic foot osteomyelitis.</t>
  </si>
  <si>
    <t>https://edenmaterials.io</t>
  </si>
  <si>
    <t>https://subqbionics.com</t>
  </si>
  <si>
    <t>http://www.feminai.com</t>
  </si>
  <si>
    <t>קיילייט בע״מ</t>
  </si>
  <si>
    <t>רנובייט ת׳רפוטיקס בע״מ</t>
  </si>
  <si>
    <t>http://www.renovate.bio</t>
  </si>
  <si>
    <t>http://www.pickommerce.com</t>
  </si>
  <si>
    <t>מינהל המחקר החקלאי מכון וולקני</t>
  </si>
  <si>
    <t>http://www.novella.co.il</t>
  </si>
  <si>
    <t>INORI Finance LDT</t>
  </si>
  <si>
    <t>https://inori.co.il</t>
  </si>
  <si>
    <t>Self Employed</t>
  </si>
  <si>
    <t>https://stanford.edu</t>
  </si>
  <si>
    <t>https://www.text-re.com/</t>
  </si>
  <si>
    <t>פיתוח חומרים ממוחזרים מבוססים פסולת טקסטיל מעורבת</t>
  </si>
  <si>
    <t>http://www.alvox.co.il</t>
  </si>
  <si>
    <t>DFX</t>
  </si>
  <si>
    <t>Kafrit</t>
  </si>
  <si>
    <t>https://kafrit.com/</t>
  </si>
  <si>
    <t>http://www.omnixmedical.com</t>
  </si>
  <si>
    <t>http://xjet3d.com/</t>
  </si>
  <si>
    <t>לומנגיידס</t>
  </si>
  <si>
    <t>https://lumenguides.com</t>
  </si>
  <si>
    <t>https://mfundvc.com</t>
  </si>
  <si>
    <t>חברת ניהול</t>
  </si>
  <si>
    <t>https://marblex.space</t>
  </si>
  <si>
    <t>אגריפס רובוטיקס</t>
  </si>
  <si>
    <t>http://agripass.co</t>
  </si>
  <si>
    <t>https://nortech-platform.com/</t>
  </si>
  <si>
    <t>http://www.jct.ac.il</t>
  </si>
  <si>
    <t>אייבקס מדיקל אנליטיקס</t>
  </si>
  <si>
    <t>https://ibex-ai.com</t>
  </si>
  <si>
    <t>http://www.focalmd.com</t>
  </si>
  <si>
    <t>אקסיב חומרים</t>
  </si>
  <si>
    <t>חומרים</t>
  </si>
  <si>
    <t>Attis Aviation</t>
  </si>
  <si>
    <t>https://attis-aviation.com</t>
  </si>
  <si>
    <t>סלינט ביו</t>
  </si>
  <si>
    <t>https://cellint.bio</t>
  </si>
  <si>
    <t>פיתוח טכנולוגיות ותהליכי גידול בזעפרן</t>
  </si>
  <si>
    <t>http://www.ceal.earth</t>
  </si>
  <si>
    <t>http://www.cyberark.com</t>
  </si>
  <si>
    <t>https://www.teracyte.ai/</t>
  </si>
  <si>
    <t>innovation Africa</t>
  </si>
  <si>
    <t>https://innoafrica.org/</t>
  </si>
  <si>
    <t>https://tracells.com</t>
  </si>
  <si>
    <t>http://www.6degrees.tech</t>
  </si>
  <si>
    <t>http://www.sensorz.io</t>
  </si>
  <si>
    <t>https://mor-research.com</t>
  </si>
  <si>
    <t>מור יישום</t>
  </si>
  <si>
    <t>https://3walls.org/</t>
  </si>
  <si>
    <t>מיזמים משני מציאות</t>
  </si>
  <si>
    <t>https://www.shermandiagnostics.com</t>
  </si>
  <si>
    <t>http://www.hit.ac.il</t>
  </si>
  <si>
    <t>מחקר יישומי באקדמיה</t>
  </si>
  <si>
    <t>AGES Energy Ltd</t>
  </si>
  <si>
    <t>https://agesenergy.com</t>
  </si>
  <si>
    <t>http://saffron-tech.ag</t>
  </si>
  <si>
    <t>http://www.slitled.com</t>
  </si>
  <si>
    <t>מערכת אוטונומית לאבחון עיניים רפואי מרחוק</t>
  </si>
  <si>
    <t>http://www.agamonhealth.com</t>
  </si>
  <si>
    <t>https://isclsummit.com</t>
  </si>
  <si>
    <t>http://www.haimpharmagroup.com</t>
  </si>
  <si>
    <t>http://www.kemtai.com</t>
  </si>
  <si>
    <t>Binata Ltd</t>
  </si>
  <si>
    <t>https://binata.com</t>
  </si>
  <si>
    <t>http://www.tedence.com</t>
  </si>
  <si>
    <t>labs02.com</t>
  </si>
  <si>
    <t>http://ima.co.il</t>
  </si>
  <si>
    <t>http://SPINEDGE.AI</t>
  </si>
  <si>
    <t>Veev</t>
  </si>
  <si>
    <t>https://www.veev.com/</t>
  </si>
  <si>
    <t>בניה מודולרית ופתרונות בניה מהירים</t>
  </si>
  <si>
    <t>https://www.iinojet.com/</t>
  </si>
  <si>
    <t>West Pharmaceutical Services</t>
  </si>
  <si>
    <t>https://www.westpharma.com/</t>
  </si>
  <si>
    <t>אריזות ומערכות הזרקה לתרופות</t>
  </si>
  <si>
    <t>הזירה ההנדסית טכנולוגית</t>
  </si>
  <si>
    <t>https://www.thearena-tech.com/</t>
  </si>
  <si>
    <t>http://www.isplrc.co.il</t>
  </si>
  <si>
    <t>מחקר ופיתוח בטכנולוגיות של חומרים פולימריים</t>
  </si>
  <si>
    <t>Renalyte Medical</t>
  </si>
  <si>
    <t>https://renalyte.com</t>
  </si>
  <si>
    <t>המערכת המושתלת הראשונה בעולם כאלטרנטיבה לדיאליזה</t>
  </si>
  <si>
    <t>https://gt-group.com</t>
  </si>
  <si>
    <t>חברה העוסקת בעיבוד שבבי ייחודי ויכולות מיוחדות</t>
  </si>
  <si>
    <t>אקסוזום</t>
  </si>
  <si>
    <t>https://galilofek.com</t>
  </si>
  <si>
    <t>https://skillreal.com</t>
  </si>
  <si>
    <t>https://ionarabio.com</t>
  </si>
  <si>
    <t>https://cognishine.com/en-us</t>
  </si>
  <si>
    <t>Desert Bird</t>
  </si>
  <si>
    <t>https://desert-bird.com</t>
  </si>
  <si>
    <t>http://www.bio-xtreme.com</t>
  </si>
  <si>
    <t>http://www@chiral.energy</t>
  </si>
  <si>
    <t>http://www.kla-tencor.com</t>
  </si>
  <si>
    <t>אנאירוביקס</t>
  </si>
  <si>
    <t>סנטיאנט רובוטיקס בע״מ</t>
  </si>
  <si>
    <t>http://sentient-robotics.ai</t>
  </si>
  <si>
    <t>בונים את הדור הבא של צי הרובוטים לעבודה בחנויות</t>
  </si>
  <si>
    <t>Top i vision LTD</t>
  </si>
  <si>
    <t>http://www.topivision.com</t>
  </si>
  <si>
    <t>https://quantum-machines.co</t>
  </si>
  <si>
    <t>מחשב קוואנטי</t>
  </si>
  <si>
    <t>http://www.novelsat.com</t>
  </si>
  <si>
    <t>קלאסיק טכנולוגיות בע״מ</t>
  </si>
  <si>
    <t>https://www.classiq.io/</t>
  </si>
  <si>
    <t>https://www.makemydayapp.com/</t>
  </si>
  <si>
    <t>http://www.luseed-vascular.com</t>
  </si>
  <si>
    <t>http://www.taborelec.com</t>
  </si>
  <si>
    <t>צים</t>
  </si>
  <si>
    <t>https://www.zim.com/</t>
  </si>
  <si>
    <t>https://skyforceai.com</t>
  </si>
  <si>
    <t>IMBH</t>
  </si>
  <si>
    <t>https://www.bemek.co.il/</t>
  </si>
  <si>
    <t>דריבה אי איי</t>
  </si>
  <si>
    <t>https://deriva.ai</t>
  </si>
  <si>
    <t>https://ngt3vc.com</t>
  </si>
  <si>
    <t>qarakal</t>
  </si>
  <si>
    <t>https://qarakal.ai</t>
  </si>
  <si>
    <t>מחשוב קוונטי ומערכות היברידיות</t>
  </si>
  <si>
    <t>http://www.dumaoptronics.com</t>
  </si>
  <si>
    <t>http://www.dux-health.com</t>
  </si>
  <si>
    <t>לחברה יש פתרון לתיקון מיתרים באמצעות קטטר</t>
  </si>
  <si>
    <t>ספארקס פודטק טכנולוגיות מזון</t>
  </si>
  <si>
    <t>https://www.pregnantech.com</t>
  </si>
  <si>
    <t>https://www.stomtop.com/</t>
  </si>
  <si>
    <t>קפסיבריד</t>
  </si>
  <si>
    <t>https://huji.ac.il</t>
  </si>
  <si>
    <t>בי או אר גרין גרופ</t>
  </si>
  <si>
    <t>https://green-group.co.il</t>
  </si>
  <si>
    <t>https://www.kronomy.co.il/</t>
  </si>
  <si>
    <t>https://safefields-tech.com</t>
  </si>
  <si>
    <t>http://www.copprint.com</t>
  </si>
  <si>
    <t>http://www.sensoils.com</t>
  </si>
  <si>
    <t>https://shifters-ai.com</t>
  </si>
  <si>
    <t>רנובריס בע״מ</t>
  </si>
  <si>
    <t>https://renovarispharma.com</t>
  </si>
  <si>
    <t>https://ezngmd.com</t>
  </si>
  <si>
    <t>מערכת לניווט בזמן אמת להכנסת צינור הזנה לקיבה</t>
  </si>
  <si>
    <t>https://enervibe.co</t>
  </si>
  <si>
    <t>https://www.flightops.io/</t>
  </si>
  <si>
    <t>אינוביסטק</t>
  </si>
  <si>
    <t>https://innoveast.org</t>
  </si>
  <si>
    <t>https://phatfoodtech.com</t>
  </si>
  <si>
    <t>https://mati.co.il/</t>
  </si>
  <si>
    <t>LCAi Ltd</t>
  </si>
  <si>
    <t>https://lcai.earth</t>
  </si>
  <si>
    <t>https://www.proscout.ai/</t>
  </si>
  <si>
    <t>https://rnd.tasmc.org.il/ichilov-tech-homepage/</t>
  </si>
  <si>
    <t>Vermon</t>
  </si>
  <si>
    <t>https://www.vermon.com/</t>
  </si>
  <si>
    <t>טיונד בע״מ</t>
  </si>
  <si>
    <t>https://tuned.in</t>
  </si>
  <si>
    <t>http://www.ehealthventures.com</t>
  </si>
  <si>
    <t>ניטרופיקס</t>
  </si>
  <si>
    <t>https://nitro-fix.com</t>
  </si>
  <si>
    <t>http://www.litebc.tech</t>
  </si>
  <si>
    <t>קאברדולי</t>
  </si>
  <si>
    <t>https://www.coverdolly.co/</t>
  </si>
  <si>
    <t>http://artbioscience.com</t>
  </si>
  <si>
    <t>atlasensebiomed.com</t>
  </si>
  <si>
    <t>https://atlasensebiomed.com</t>
  </si>
  <si>
    <t>ניטור רפואי מרחוק וניתוח נתונים קליניים</t>
  </si>
  <si>
    <t>צנתר מבוסס לייזר לפתיחת היצרויות כרוניות בעורקים</t>
  </si>
  <si>
    <t>אונקונקור מדיקל בעמ</t>
  </si>
  <si>
    <t>טכניון</t>
  </si>
  <si>
    <t>https://technion.ac.il</t>
  </si>
  <si>
    <t>רמונדו בע״מ</t>
  </si>
  <si>
    <t>https://remondo.com</t>
  </si>
  <si>
    <t>רזולייט בע״מ</t>
  </si>
  <si>
    <t>https://resolight.systems</t>
  </si>
  <si>
    <t>Crystalvision</t>
  </si>
  <si>
    <t>https://www.crystalvision.co.il/</t>
  </si>
  <si>
    <t>BMC Helix</t>
  </si>
  <si>
    <t>https://bmc.com</t>
  </si>
  <si>
    <t>Opsys Tech Ltd</t>
  </si>
  <si>
    <t>https://opsys-tech.com</t>
  </si>
  <si>
    <t>https://salignostics.com</t>
  </si>
  <si>
    <t>https://www.ilangelclub.com/</t>
  </si>
  <si>
    <t>https://reverto.bio</t>
  </si>
  <si>
    <t>http://www.ir-medical.com/</t>
  </si>
  <si>
    <t>https://paragate-medical.com</t>
  </si>
  <si>
    <t>http://www.madait.co.il</t>
  </si>
  <si>
    <t>NAVAIRO</t>
  </si>
  <si>
    <t>https://navairo.com/</t>
  </si>
  <si>
    <t>http://www.wiserylabs.ai</t>
  </si>
  <si>
    <t>http://www.whilx.tech</t>
  </si>
  <si>
    <t>http://www.foreseegenomics.com</t>
  </si>
  <si>
    <t>http://www.technion.ac.il</t>
  </si>
  <si>
    <t>https://senseerahealth.com</t>
  </si>
  <si>
    <t>ביופסיה נוזלית מבוססת כרומטין</t>
  </si>
  <si>
    <t>אדסקי</t>
  </si>
  <si>
    <t>https://www.adasky.com/</t>
  </si>
  <si>
    <t>המרכז הרפואי זיו</t>
  </si>
  <si>
    <t>https://www.gov.il/he/departments/ziv-medical-center/govil-landing-page</t>
  </si>
  <si>
    <t>בית חולים ממשלתי בצפון</t>
  </si>
  <si>
    <t>דיפקיפ</t>
  </si>
  <si>
    <t>http://www.deepkeep.ai</t>
  </si>
  <si>
    <t>https://claro3d.com</t>
  </si>
  <si>
    <t>https://kansodx.com</t>
  </si>
  <si>
    <t>נוצר בירושלים ע״ר</t>
  </si>
  <si>
    <t>http://madeinjlm.org</t>
  </si>
  <si>
    <t>שמחים לשת״פ על כל הגשה על מרכזי חדשנות ותכניות בירושלים</t>
  </si>
  <si>
    <t>http://www.mocart.io</t>
  </si>
  <si>
    <t>IEC</t>
  </si>
  <si>
    <t>https://www.iec.co.il/</t>
  </si>
  <si>
    <t>חברת החשמל לישראל</t>
  </si>
  <si>
    <t>http://www.makaluoptics.com</t>
  </si>
  <si>
    <t>SDG Navigator</t>
  </si>
  <si>
    <t>https://sdg-navigator.com</t>
  </si>
  <si>
    <t>https://v-corals.com/</t>
  </si>
  <si>
    <t>http://www.diamic.co</t>
  </si>
  <si>
    <t>http://www.t-pulm.com</t>
  </si>
  <si>
    <t>קלוסר הלת׳קייר בע״מ</t>
  </si>
  <si>
    <t>פנותא</t>
  </si>
  <si>
    <t>https://phenota.com</t>
  </si>
  <si>
    <t>Tengable</t>
  </si>
  <si>
    <t>https://teng-able.com</t>
  </si>
  <si>
    <t>http://www.medxelerator.com</t>
  </si>
  <si>
    <t>http://www.polygreen-group.com</t>
  </si>
  <si>
    <t>http://www.infinidome.com</t>
  </si>
  <si>
    <t>We develop GPS protection and resilient navigation solutions tailored to defend UAVs and vehicles from jamming attacks. Today we’re disrupting GPS protection for UAVs for defense/HLS and will do the same for delivery drone protection tomorrow.</t>
  </si>
  <si>
    <t>איי טי קיו בע״מ</t>
  </si>
  <si>
    <t>https://itqco.com</t>
  </si>
  <si>
    <t>Li-Generate</t>
  </si>
  <si>
    <t>http://ligenerate.com</t>
  </si>
  <si>
    <t>Aigis Labs</t>
  </si>
  <si>
    <t>https://aigis-labs.com</t>
  </si>
  <si>
    <t>פתרונות לטיפול בפצעים ועור</t>
  </si>
  <si>
    <t>http://www.genesis-medical.ai</t>
  </si>
  <si>
    <t>http://www.mediumwell-tech.com</t>
  </si>
  <si>
    <t>http://www.lembas.bio</t>
  </si>
  <si>
    <t>Neuroderm</t>
  </si>
  <si>
    <t>https://www.neuroderm.com/</t>
  </si>
  <si>
    <t>מערכות מתן תרופות רציף למחלות נוירולוגיות</t>
  </si>
  <si>
    <t>O.Y.M INNOVATION  LTD</t>
  </si>
  <si>
    <t>http://oyminnovation.com</t>
  </si>
  <si>
    <t>פרטי</t>
  </si>
  <si>
    <t>-</t>
  </si>
  <si>
    <t>https://quai.md</t>
  </si>
  <si>
    <t>מרכז החדשנות לדזרטק ואקלים בעמ</t>
  </si>
  <si>
    <t>https://www.desertech.org.il/</t>
  </si>
  <si>
    <t>https://www.i4valley.com/</t>
  </si>
  <si>
    <t>חממות פריפריה</t>
  </si>
  <si>
    <t>אגודת הגליל למחקר ופיתוח הבריאות</t>
  </si>
  <si>
    <t>פרופ אקס</t>
  </si>
  <si>
    <t>https://tissuedynamics.com</t>
  </si>
  <si>
    <t>פרסיב חישה מתקדמת בעמ</t>
  </si>
  <si>
    <t>https://www.perciv.tech/</t>
  </si>
  <si>
    <t>https://zahav.net.il</t>
  </si>
  <si>
    <t>החברה פיתחה תהליך טיפול בזרעים להגדלת יבולים</t>
  </si>
  <si>
    <t>https://mndl.bio/</t>
  </si>
  <si>
    <t>rs4c</t>
  </si>
  <si>
    <t>Karamba Security</t>
  </si>
  <si>
    <t>https://karambasecurity.com</t>
  </si>
  <si>
    <t>סייבר לאוטומוטיב ומכשירים מחוברים</t>
  </si>
  <si>
    <t>DenovAI</t>
  </si>
  <si>
    <t>https://denovai.com</t>
  </si>
  <si>
    <t>http://www.frisimos.com</t>
  </si>
  <si>
    <t>https://www.lumiweave.com/</t>
  </si>
  <si>
    <t>הצללה עם תאורה סולרית</t>
  </si>
  <si>
    <t>https://neurogenesis-cell.com</t>
  </si>
  <si>
    <t>קוקומודו בע״מ</t>
  </si>
  <si>
    <t>https://www.thekokomodo.com/</t>
  </si>
  <si>
    <t>יצור מוצרי קקאו בשיטות ביוטכנולוגיות מבוססות תרביות תאי צמח הקקאו</t>
  </si>
  <si>
    <t>https://flxpartners.com</t>
  </si>
  <si>
    <t>https://oligobiotech.com</t>
  </si>
  <si>
    <t>אוליגו ביוטק הינה חברת ביוטק הפועלת בתחום סינתזת חומצות הגרעין והתהליכים המשלימים לכך</t>
  </si>
  <si>
    <t>https://ai-blog.co.il</t>
  </si>
  <si>
    <t>https://www.vortex-imaging.com/</t>
  </si>
  <si>
    <t>תמה גרופ</t>
  </si>
  <si>
    <t>http://www.tama.co.il/</t>
  </si>
  <si>
    <t>http://agadolive.com</t>
  </si>
  <si>
    <t>https://bioarmix.com</t>
  </si>
  <si>
    <t>רובושוט מערכות</t>
  </si>
  <si>
    <t>http://robochute.com</t>
  </si>
  <si>
    <t>silentium</t>
  </si>
  <si>
    <t>https://silentium.com</t>
  </si>
  <si>
    <t>טכנולוגיות ביטול רעשים אקטיבי</t>
  </si>
  <si>
    <t>http://www.lugo.org.il</t>
  </si>
  <si>
    <t>https://seanovation.org.il/en</t>
  </si>
  <si>
    <t>המכרז הלאומי לחדשנות בביוטכנולוגיה וחקלאות מים</t>
  </si>
  <si>
    <t>Aquaculturi</t>
  </si>
  <si>
    <t>http://urisha@rafael.co.il</t>
  </si>
  <si>
    <t>https://capow-tech.com</t>
  </si>
  <si>
    <t>https://bdo.co.il</t>
  </si>
  <si>
    <t>רניואל ביו בע״מ</t>
  </si>
  <si>
    <t>https://renewal.bio</t>
  </si>
  <si>
    <t>רניואל ביו מפתחת טכנולוגיה חדשנית בתחום התרפיה תאית המבוססת על תאי גזע ממקור הומני שעוברים תהליך התמיינות אותנטי במטרה לייצר בנק של תאים מתאימים להשתלות קליניות ורפואה רגנרטיבית</t>
  </si>
  <si>
    <t>https://cyqu.org/</t>
  </si>
  <si>
    <t>https://sorlis.com</t>
  </si>
  <si>
    <t>https://road2.co.il</t>
  </si>
  <si>
    <t>https://t-w-medical.com/</t>
  </si>
  <si>
    <t>מילודע</t>
  </si>
  <si>
    <t>https://mxns.com</t>
  </si>
  <si>
    <t>בדיקות וייעוץ בטיחות ואיכות מזון</t>
  </si>
  <si>
    <t>https://www.nt-tao.com</t>
  </si>
  <si>
    <t>https://cellcom.co.il/</t>
  </si>
  <si>
    <t>BIAGNOSIS LTD</t>
  </si>
  <si>
    <t>https://www.biagnosis.com/</t>
  </si>
  <si>
    <t>http://www.plaselplastic.com</t>
  </si>
  <si>
    <t>בדיוק תרפויטיקה</t>
  </si>
  <si>
    <t>https://www.bduk-tx.com/</t>
  </si>
  <si>
    <t>http://www.neat-tech.com/</t>
  </si>
  <si>
    <t>קמח</t>
  </si>
  <si>
    <t>https://keren-kemach.org/</t>
  </si>
  <si>
    <t>https://www.permedna.com/</t>
  </si>
  <si>
    <t>https://bioharvest.com/</t>
  </si>
  <si>
    <t>https://cando.co.il</t>
  </si>
  <si>
    <t>https://civic-labs.com</t>
  </si>
  <si>
    <t>פלטפורמת חדשנות לסביבה הבנוייה</t>
  </si>
  <si>
    <t>https://www.nano-ghost.com</t>
  </si>
  <si>
    <t>מחקר יישומי בתעשייה</t>
  </si>
  <si>
    <t>נציבות שירות המדינה</t>
  </si>
  <si>
    <t>https://www.gov.il/he/departments/civil_service_commission/govil-landing-page</t>
  </si>
  <si>
    <t>רגולטור וניהול שירות המדינה</t>
  </si>
  <si>
    <t>אילון יועצים</t>
  </si>
  <si>
    <t>ייעוץ</t>
  </si>
  <si>
    <t>https://pyroh2.com</t>
  </si>
  <si>
    <t>ייצור מימן תורקיז ממתאן ללא פליטות פחמן</t>
  </si>
  <si>
    <t>http://www.gets-systems.com</t>
  </si>
  <si>
    <t>http://www.validit.ai</t>
  </si>
  <si>
    <t>https://vflow21.com/</t>
  </si>
  <si>
    <t>פיתוח מערכת הובלה ייחודית לסטנט למחלות בכלי דם במח ובגוף</t>
  </si>
  <si>
    <t>https://www.ann-education.com/</t>
  </si>
  <si>
    <t>http://www.solra-pv.com</t>
  </si>
  <si>
    <t>קודו מד</t>
  </si>
  <si>
    <t>http://kudumed.com</t>
  </si>
  <si>
    <t>https://newton-tech.net</t>
  </si>
  <si>
    <t>https://www.infiniplex.life</t>
  </si>
  <si>
    <t>קרן כוכב לחיים בירושלים</t>
  </si>
  <si>
    <t>https://sfljerusalem.org</t>
  </si>
  <si>
    <t>Spiral</t>
  </si>
  <si>
    <t>https://spiralphotonics.com</t>
  </si>
  <si>
    <t>פוטוניקה ושבבים אופטיים</t>
  </si>
  <si>
    <t>בין עבודות</t>
  </si>
  <si>
    <t>רדלר טכנולוגיות בערבון מוגבל</t>
  </si>
  <si>
    <t>http://www.redlertechnologies.com</t>
  </si>
  <si>
    <t>First Name</t>
  </si>
  <si>
    <t>Last Name</t>
  </si>
  <si>
    <t>Title / Role</t>
  </si>
  <si>
    <t>Company</t>
  </si>
  <si>
    <t>Phone</t>
  </si>
  <si>
    <t>Last Interaction</t>
  </si>
  <si>
    <t>Last Type</t>
  </si>
  <si>
    <t>→ Interaction</t>
  </si>
  <si>
    <t>→ Company</t>
  </si>
  <si>
    <t>ברוריה</t>
  </si>
  <si>
    <t>כהן</t>
  </si>
  <si>
    <t>Oparations</t>
  </si>
  <si>
    <t>bruria@axioma-in.com</t>
  </si>
  <si>
    <t>אדם</t>
  </si>
  <si>
    <t>לב</t>
  </si>
  <si>
    <t>1adamleb@gmail.com</t>
  </si>
  <si>
    <t>שיר</t>
  </si>
  <si>
    <t>עדי</t>
  </si>
  <si>
    <t>גולדמן</t>
  </si>
  <si>
    <t>adi@biotic-labs.com</t>
  </si>
  <si>
    <t>בן עמרם</t>
  </si>
  <si>
    <t>adi@birad.biz</t>
  </si>
  <si>
    <t>פנחס</t>
  </si>
  <si>
    <t>adi@claroai.com</t>
  </si>
  <si>
    <t>כוסטה</t>
  </si>
  <si>
    <t>adi@copilotmd.ai</t>
  </si>
  <si>
    <t>זייפרט</t>
  </si>
  <si>
    <t>adi@drinklamu.com</t>
  </si>
  <si>
    <t>נתן</t>
  </si>
  <si>
    <t>adi@motionanalytics.io</t>
  </si>
  <si>
    <t>שלו</t>
  </si>
  <si>
    <t>COO</t>
  </si>
  <si>
    <t>adi@noyad.co.il</t>
  </si>
  <si>
    <t>אהדאב</t>
  </si>
  <si>
    <t>סרחאן</t>
  </si>
  <si>
    <t>ahdab@vstylr.ai</t>
  </si>
  <si>
    <t>עמיחי</t>
  </si>
  <si>
    <t>חיים גרוס</t>
  </si>
  <si>
    <t>ahg@marine-edge.com</t>
  </si>
  <si>
    <t>אימן</t>
  </si>
  <si>
    <t>סיף</t>
  </si>
  <si>
    <t>aiman.saif@portlandtrust.org.il</t>
  </si>
  <si>
    <t>אלכסיי</t>
  </si>
  <si>
    <t>דומשלק</t>
  </si>
  <si>
    <t>alex.domshlak@threatdash.com</t>
  </si>
  <si>
    <t>אלכסנדר</t>
  </si>
  <si>
    <t>וקסלר</t>
  </si>
  <si>
    <t>alexveksler19@gmail.com</t>
  </si>
  <si>
    <t>אלון</t>
  </si>
  <si>
    <t>מעוז</t>
  </si>
  <si>
    <t>CEO</t>
  </si>
  <si>
    <t>allon.maoz27@gmail.com</t>
  </si>
  <si>
    <t>allon@twine-s.com</t>
  </si>
  <si>
    <t>ניצן</t>
  </si>
  <si>
    <t>alon@neuray.ai</t>
  </si>
  <si>
    <t>alon@quamcore.com</t>
  </si>
  <si>
    <t>מטריקין</t>
  </si>
  <si>
    <t>alon@skincubator-neocare.com</t>
  </si>
  <si>
    <t>עמי</t>
  </si>
  <si>
    <t>מויאל</t>
  </si>
  <si>
    <t>amim@afeka.ac.il</t>
  </si>
  <si>
    <t>אמיר</t>
  </si>
  <si>
    <t>שטיינברג</t>
  </si>
  <si>
    <t>Amir.@brain.space</t>
  </si>
  <si>
    <t>הורוביץ</t>
  </si>
  <si>
    <t>amir.h@esil.co.il</t>
  </si>
  <si>
    <t>מיכאל</t>
  </si>
  <si>
    <t>בוקאיה</t>
  </si>
  <si>
    <t>amir.panush@ceva-dsp.com</t>
  </si>
  <si>
    <t>רייכמן</t>
  </si>
  <si>
    <t>amir.reichman@scinai.com</t>
  </si>
  <si>
    <t>שדה</t>
  </si>
  <si>
    <t>amir.sadeh@gmail.com</t>
  </si>
  <si>
    <t>חסידים</t>
  </si>
  <si>
    <t>amir@apexbio.tech</t>
  </si>
  <si>
    <t>ממט</t>
  </si>
  <si>
    <t>VP Product/R&amp;D</t>
  </si>
  <si>
    <t>amir@axioma-in.com</t>
  </si>
  <si>
    <t>לויט</t>
  </si>
  <si>
    <t>amir@remot.energy</t>
  </si>
  <si>
    <t>סמואילוף</t>
  </si>
  <si>
    <t>עמית</t>
  </si>
  <si>
    <t>נהור</t>
  </si>
  <si>
    <t>amit.nahor@raicol.com</t>
  </si>
  <si>
    <t>טורמן</t>
  </si>
  <si>
    <t>amit.turman@viritis2020.com</t>
  </si>
  <si>
    <t>חורש</t>
  </si>
  <si>
    <t>amit@amit-pastry.com</t>
  </si>
  <si>
    <t>אמיתי</t>
  </si>
  <si>
    <t>הירשמן</t>
  </si>
  <si>
    <t>amitaih@brevel.co.il</t>
  </si>
  <si>
    <t>אנאי</t>
  </si>
  <si>
    <t>גרין</t>
  </si>
  <si>
    <t>anai@lumiweave.com</t>
  </si>
  <si>
    <t>אריאל</t>
  </si>
  <si>
    <t>בלומויח</t>
  </si>
  <si>
    <t>ariel.blumovich@gmail.com</t>
  </si>
  <si>
    <t>גיספאן</t>
  </si>
  <si>
    <t>מפתח אלגוריתמים</t>
  </si>
  <si>
    <t>ariel.gispan@mail.huji.ac.il</t>
  </si>
  <si>
    <t>פופר</t>
  </si>
  <si>
    <t>ariel@solidt-tech.com</t>
  </si>
  <si>
    <t>אריק</t>
  </si>
  <si>
    <t>חן</t>
  </si>
  <si>
    <t>arik@sphere-point.com</t>
  </si>
  <si>
    <t>ארתור</t>
  </si>
  <si>
    <t>רבנר</t>
  </si>
  <si>
    <t>arthur@hypervision.ai</t>
  </si>
  <si>
    <t>אסף</t>
  </si>
  <si>
    <t>שפי</t>
  </si>
  <si>
    <t>asaf@axioma-in.com</t>
  </si>
  <si>
    <t>אלסיבוני</t>
  </si>
  <si>
    <t>asaf@elssway.com</t>
  </si>
  <si>
    <t>asafshalev@bio-barrier.com</t>
  </si>
  <si>
    <t>אשר</t>
  </si>
  <si>
    <t>דהן</t>
  </si>
  <si>
    <t>asher.dahan@wearabledevices.co.il</t>
  </si>
  <si>
    <t>אריל</t>
  </si>
  <si>
    <t>ashrem@hadassah.org.il</t>
  </si>
  <si>
    <t>סופר</t>
  </si>
  <si>
    <t>assaf.s@tiresias.co</t>
  </si>
  <si>
    <t>מאנסאור</t>
  </si>
  <si>
    <t>assaf@alon-medtech.com</t>
  </si>
  <si>
    <t>קליין</t>
  </si>
  <si>
    <t>assaf@limaca-medical.com</t>
  </si>
  <si>
    <t>אבי</t>
  </si>
  <si>
    <t>בלאו</t>
  </si>
  <si>
    <t>avi.blau@gmail.com</t>
  </si>
  <si>
    <t>פרץ</t>
  </si>
  <si>
    <t>avi.oravel@gmail.com</t>
  </si>
  <si>
    <t>יפרח</t>
  </si>
  <si>
    <t>avi@vh2o.io</t>
  </si>
  <si>
    <t>רובינשטיין</t>
  </si>
  <si>
    <t>avi121@gmail.com</t>
  </si>
  <si>
    <t>אביחי</t>
  </si>
  <si>
    <t>חיים פור</t>
  </si>
  <si>
    <t>avichai.hp@addionics.com</t>
  </si>
  <si>
    <t>אבירם</t>
  </si>
  <si>
    <t>aviram@accellta.com</t>
  </si>
  <si>
    <t>אבישי</t>
  </si>
  <si>
    <t>עוז</t>
  </si>
  <si>
    <t>avishai.o@axioma-in.com</t>
  </si>
  <si>
    <t>אבנר</t>
  </si>
  <si>
    <t>פרייברגר</t>
  </si>
  <si>
    <t>CTO</t>
  </si>
  <si>
    <t>avner.fr@gmail.com</t>
  </si>
  <si>
    <t>הלפרין</t>
  </si>
  <si>
    <t>avner.halperin@sheba.health.gov.il</t>
  </si>
  <si>
    <t>אילת</t>
  </si>
  <si>
    <t>גורן</t>
  </si>
  <si>
    <t>Ayelet@darom.life</t>
  </si>
  <si>
    <t>איילת</t>
  </si>
  <si>
    <t>דילון משיח</t>
  </si>
  <si>
    <t>ayeletdm@remedycell.com</t>
  </si>
  <si>
    <t>יוסי</t>
  </si>
  <si>
    <t>באהאגון</t>
  </si>
  <si>
    <t>ברק</t>
  </si>
  <si>
    <t>זינגר</t>
  </si>
  <si>
    <t>barak@trendlines.com</t>
  </si>
  <si>
    <t>בן</t>
  </si>
  <si>
    <t>רודין</t>
  </si>
  <si>
    <t>ben.rudin@kamai.io</t>
  </si>
  <si>
    <t>אדם פריזם</t>
  </si>
  <si>
    <t>ben@endo-pulse.com</t>
  </si>
  <si>
    <t>בני</t>
  </si>
  <si>
    <t>גרינברג</t>
  </si>
  <si>
    <t>benny@magnisity.com</t>
  </si>
  <si>
    <t>בן מאיר</t>
  </si>
  <si>
    <t>benny@proleafera.com</t>
  </si>
  <si>
    <t>ארז</t>
  </si>
  <si>
    <t>ברנבוים</t>
  </si>
  <si>
    <t>נטע</t>
  </si>
  <si>
    <t>בנארי</t>
  </si>
  <si>
    <t>bnetta@bazan.co.il</t>
  </si>
  <si>
    <t>בעז</t>
  </si>
  <si>
    <t>אלמוג</t>
  </si>
  <si>
    <t>boazal@agilemri.com</t>
  </si>
  <si>
    <t>בוריס</t>
  </si>
  <si>
    <t>מורבין</t>
  </si>
  <si>
    <t>boris@ndt.co.il</t>
  </si>
  <si>
    <t>לירון</t>
  </si>
  <si>
    <t>בורט</t>
  </si>
  <si>
    <t>Tech supervisor senior</t>
  </si>
  <si>
    <t>burtliron@gmail.com</t>
  </si>
  <si>
    <t>בושרא</t>
  </si>
  <si>
    <t>מזאריב</t>
  </si>
  <si>
    <t>bushra.mazreeb@samanahub.org</t>
  </si>
  <si>
    <t>שליין</t>
  </si>
  <si>
    <t>chen.shlein@me-med.com</t>
  </si>
  <si>
    <t>תמי</t>
  </si>
  <si>
    <t>ריקליס</t>
  </si>
  <si>
    <t>contact@sheba-global.com</t>
  </si>
  <si>
    <t>contact@zetta.ai</t>
  </si>
  <si>
    <t>דפנה</t>
  </si>
  <si>
    <t>גבאי</t>
  </si>
  <si>
    <t>dafna@finally-foods.com</t>
  </si>
  <si>
    <t>דן</t>
  </si>
  <si>
    <t>אבן</t>
  </si>
  <si>
    <t>dan@asterixfoods.com</t>
  </si>
  <si>
    <t>דנה</t>
  </si>
  <si>
    <t>danagav@bgu.ac.il</t>
  </si>
  <si>
    <t>דניאל</t>
  </si>
  <si>
    <t>ברנסטין</t>
  </si>
  <si>
    <t>daniel.bernstein@bruker.com</t>
  </si>
  <si>
    <t>קרויטורו</t>
  </si>
  <si>
    <t>danielcroitoro@gmail.com</t>
  </si>
  <si>
    <t>קאן</t>
  </si>
  <si>
    <t>danielk@lusix.com</t>
  </si>
  <si>
    <t>דני</t>
  </si>
  <si>
    <t>עצמון</t>
  </si>
  <si>
    <t>danny@cognata.com</t>
  </si>
  <si>
    <t>שוהם</t>
  </si>
  <si>
    <t>danny@mshoham.co.il</t>
  </si>
  <si>
    <t>גלושנקוב</t>
  </si>
  <si>
    <t>danny@projectm.tech</t>
  </si>
  <si>
    <t>וינר</t>
  </si>
  <si>
    <t>daphna@criaterra.com</t>
  </si>
  <si>
    <t>דריו</t>
  </si>
  <si>
    <t>בריטל</t>
  </si>
  <si>
    <t>dario@thekokomodo.com</t>
  </si>
  <si>
    <t>דוד</t>
  </si>
  <si>
    <t>לאזרסון</t>
  </si>
  <si>
    <t>david@briya.com</t>
  </si>
  <si>
    <t>זלצר</t>
  </si>
  <si>
    <t>david@cambium.co.il</t>
  </si>
  <si>
    <t>דויד</t>
  </si>
  <si>
    <t>שרעבי</t>
  </si>
  <si>
    <t>david@fast-sense.com</t>
  </si>
  <si>
    <t>זיגדון</t>
  </si>
  <si>
    <t>davidz@migal.org.il</t>
  </si>
  <si>
    <t>בודיאנו</t>
  </si>
  <si>
    <t>dbudianu@iai.co.il</t>
  </si>
  <si>
    <t>דדי</t>
  </si>
  <si>
    <t>צוקר</t>
  </si>
  <si>
    <t>deddi@mappo.world</t>
  </si>
  <si>
    <t>דניס</t>
  </si>
  <si>
    <t>פאסיחני</t>
  </si>
  <si>
    <t>denisbar1988@gmail.com</t>
  </si>
  <si>
    <t>דבורה</t>
  </si>
  <si>
    <t>גרונברג</t>
  </si>
  <si>
    <t>שירותי ייעוץ</t>
  </si>
  <si>
    <t>devoratam@gmail.com</t>
  </si>
  <si>
    <t>דגנית</t>
  </si>
  <si>
    <t>PMO</t>
  </si>
  <si>
    <t>dganit@afimilk.com</t>
  </si>
  <si>
    <t>מחמוד</t>
  </si>
  <si>
    <t>דיאב</t>
  </si>
  <si>
    <t>diabmahmud1984@gmail.com</t>
  </si>
  <si>
    <t>גוברמן</t>
  </si>
  <si>
    <t>dmitry@uniqa.dental</t>
  </si>
  <si>
    <t>דור</t>
  </si>
  <si>
    <t>אבוחצירה</t>
  </si>
  <si>
    <t>dor@percepto.co</t>
  </si>
  <si>
    <t>דורינה</t>
  </si>
  <si>
    <t>רוברמאן</t>
  </si>
  <si>
    <t>dorinar@everafterfoods.com</t>
  </si>
  <si>
    <t>דורית</t>
  </si>
  <si>
    <t>כהן כרמון</t>
  </si>
  <si>
    <t>dorit@resynapse-tx.com</t>
  </si>
  <si>
    <t>דורון</t>
  </si>
  <si>
    <t>בושי</t>
  </si>
  <si>
    <t>doron.bushi@gmail.com</t>
  </si>
  <si>
    <t>שלום</t>
  </si>
  <si>
    <t>doron.s@ms-technologies.com</t>
  </si>
  <si>
    <t>doron@eexion.com</t>
  </si>
  <si>
    <t>אראזי</t>
  </si>
  <si>
    <t>dorona@ceragon.com</t>
  </si>
  <si>
    <t>דותן</t>
  </si>
  <si>
    <t>עשת</t>
  </si>
  <si>
    <t>dotan.e@treetoscope.com</t>
  </si>
  <si>
    <t>אליק</t>
  </si>
  <si>
    <t>ealmog1@staff.haifa.ac.il</t>
  </si>
  <si>
    <t>אדי</t>
  </si>
  <si>
    <t>שאו</t>
  </si>
  <si>
    <t>eddie.shaw@gordiansurgical.com</t>
  </si>
  <si>
    <t>עודד</t>
  </si>
  <si>
    <t>סדן</t>
  </si>
  <si>
    <t>eddie@terrapeuticspharma.com</t>
  </si>
  <si>
    <t>אפרת</t>
  </si>
  <si>
    <t>efrat@percepto.co</t>
  </si>
  <si>
    <t>לידור נילי</t>
  </si>
  <si>
    <t>efrat@weedout-ibs.com</t>
  </si>
  <si>
    <t>עינב</t>
  </si>
  <si>
    <t>einav@aionlabs.com</t>
  </si>
  <si>
    <t>מרגלית</t>
  </si>
  <si>
    <t>einav166@gmail.com</t>
  </si>
  <si>
    <t>אלעד</t>
  </si>
  <si>
    <t>רזניקוב</t>
  </si>
  <si>
    <t>elad.reznikov@gmail.com</t>
  </si>
  <si>
    <t>elad@traigent.ai</t>
  </si>
  <si>
    <t>אלי</t>
  </si>
  <si>
    <t>בסון</t>
  </si>
  <si>
    <t>eli.basson@grafenika.com</t>
  </si>
  <si>
    <t>בן הרוש</t>
  </si>
  <si>
    <t>eli@stickit-labs.com</t>
  </si>
  <si>
    <t>אליאב</t>
  </si>
  <si>
    <t>לוינסון</t>
  </si>
  <si>
    <t>eliav@aerosentry.tech</t>
  </si>
  <si>
    <t>אלירן</t>
  </si>
  <si>
    <t>איש שלום</t>
  </si>
  <si>
    <t>Associate Director</t>
  </si>
  <si>
    <t>eliran.ish-shalom@mail.huji.ac.il</t>
  </si>
  <si>
    <t>כותה</t>
  </si>
  <si>
    <t>eliran@d-id.com</t>
  </si>
  <si>
    <t>עזר</t>
  </si>
  <si>
    <t>eliran@wingsil.com</t>
  </si>
  <si>
    <t>אלה</t>
  </si>
  <si>
    <t>שפירא</t>
  </si>
  <si>
    <t>ella.shapira@exyte.net</t>
  </si>
  <si>
    <t>אלישיב</t>
  </si>
  <si>
    <t>מינרבי</t>
  </si>
  <si>
    <t>elyashiv@darom.life</t>
  </si>
  <si>
    <t>ערן</t>
  </si>
  <si>
    <t>בלנקנשטיין</t>
  </si>
  <si>
    <t>eran.blank@gmail.com</t>
  </si>
  <si>
    <t>שפיר</t>
  </si>
  <si>
    <t>eran.sh@ecotase.com</t>
  </si>
  <si>
    <t>לגון</t>
  </si>
  <si>
    <t>eran@reagenics.com</t>
  </si>
  <si>
    <t>אליאס</t>
  </si>
  <si>
    <t>eranelias@gmail.com</t>
  </si>
  <si>
    <t>עפר</t>
  </si>
  <si>
    <t>Technical Innovation Manager</t>
  </si>
  <si>
    <t>eranofer1988@gmail.com</t>
  </si>
  <si>
    <t>שרייבר</t>
  </si>
  <si>
    <t>erez.schreiber@3dbattery.co.il</t>
  </si>
  <si>
    <t>וויינרוט</t>
  </si>
  <si>
    <t>erez@mobilephysics.com</t>
  </si>
  <si>
    <t>פניר</t>
  </si>
  <si>
    <t>VP R&amp;D</t>
  </si>
  <si>
    <t>erez@sofwave.com</t>
  </si>
  <si>
    <t>מסיקה</t>
  </si>
  <si>
    <t>eric@evicure.bio</t>
  </si>
  <si>
    <t>אתי</t>
  </si>
  <si>
    <t>מטרני רייטן</t>
  </si>
  <si>
    <t>eti.mitrany@gmail.com</t>
  </si>
  <si>
    <t>אייל</t>
  </si>
  <si>
    <t>צור</t>
  </si>
  <si>
    <t>eyal@airwayz.co</t>
  </si>
  <si>
    <t>איל</t>
  </si>
  <si>
    <t>בגון</t>
  </si>
  <si>
    <t>eyal@coolingcrops.com</t>
  </si>
  <si>
    <t>eyal@galilofek.com</t>
  </si>
  <si>
    <t>טריכטר</t>
  </si>
  <si>
    <t>eyal@trilogical.com</t>
  </si>
  <si>
    <t>בן איסטי</t>
  </si>
  <si>
    <t>eyalbe@microsteer.com</t>
  </si>
  <si>
    <t>עזרא</t>
  </si>
  <si>
    <t>חנוכה</t>
  </si>
  <si>
    <t>ezra.hanuka@icl-group.com</t>
  </si>
  <si>
    <t>מנהל</t>
  </si>
  <si>
    <t>fadida@gmail.com</t>
  </si>
  <si>
    <t>אהרן</t>
  </si>
  <si>
    <t>פלדמן</t>
  </si>
  <si>
    <t>feldmanar@gmail.com</t>
  </si>
  <si>
    <t>איתי</t>
  </si>
  <si>
    <t>נוקד</t>
  </si>
  <si>
    <t>fruitoh.co@gmail.com</t>
  </si>
  <si>
    <t>גבי</t>
  </si>
  <si>
    <t>קמינסקי</t>
  </si>
  <si>
    <t>gaby@city-zone.co</t>
  </si>
  <si>
    <t>גדי</t>
  </si>
  <si>
    <t>ניר</t>
  </si>
  <si>
    <t>gadi@bobo-balance.com</t>
  </si>
  <si>
    <t>גד</t>
  </si>
  <si>
    <t>קלרספלד</t>
  </si>
  <si>
    <t>gadi@hopec-pharma.com</t>
  </si>
  <si>
    <t>בריסקמן</t>
  </si>
  <si>
    <t>gadib@modcon-systems.com</t>
  </si>
  <si>
    <t>גל</t>
  </si>
  <si>
    <t>יפה</t>
  </si>
  <si>
    <t>gal.yoffe@xs2.space</t>
  </si>
  <si>
    <t>אולבסון</t>
  </si>
  <si>
    <t>VP PM</t>
  </si>
  <si>
    <t>gal@emotionlogic.ai</t>
  </si>
  <si>
    <t>אדמתי</t>
  </si>
  <si>
    <t>gal@harvestrag.com</t>
  </si>
  <si>
    <t>קנר</t>
  </si>
  <si>
    <t>Junior software developer</t>
  </si>
  <si>
    <t>gal@neuronicode.com</t>
  </si>
  <si>
    <t>גלית</t>
  </si>
  <si>
    <t>צוקרמן</t>
  </si>
  <si>
    <t>galit@medasense.com</t>
  </si>
  <si>
    <t>גדעון</t>
  </si>
  <si>
    <t>רוזן</t>
  </si>
  <si>
    <t>gideon@magnabsp.com</t>
  </si>
  <si>
    <t>גיל</t>
  </si>
  <si>
    <t>סנש</t>
  </si>
  <si>
    <t>gil_senesh@becapio.com</t>
  </si>
  <si>
    <t>פלג</t>
  </si>
  <si>
    <t>gil@brookglobali.com</t>
  </si>
  <si>
    <t>gil@polyx.io</t>
  </si>
  <si>
    <t>אגינסקי</t>
  </si>
  <si>
    <t>gil@thermagix.com</t>
  </si>
  <si>
    <t>הס</t>
  </si>
  <si>
    <t>gil@weagri.io</t>
  </si>
  <si>
    <t>גלעד</t>
  </si>
  <si>
    <t>לנדו</t>
  </si>
  <si>
    <t>gilad@catammon.co</t>
  </si>
  <si>
    <t>קנט</t>
  </si>
  <si>
    <t>giladk@megoafek.com</t>
  </si>
  <si>
    <t>לוי</t>
  </si>
  <si>
    <t>gille@assuta.co.il</t>
  </si>
  <si>
    <t>גיורא</t>
  </si>
  <si>
    <t>נוה</t>
  </si>
  <si>
    <t>giora@parkomat.co.il</t>
  </si>
  <si>
    <t>יבגני</t>
  </si>
  <si>
    <t>gjenny@bazan.co.il</t>
  </si>
  <si>
    <t>גרקו</t>
  </si>
  <si>
    <t>grekov.e@gmail.com</t>
  </si>
  <si>
    <t>גור</t>
  </si>
  <si>
    <t>אריה יהודה בראון</t>
  </si>
  <si>
    <t>guribraun@gmail.com</t>
  </si>
  <si>
    <t>גוי</t>
  </si>
  <si>
    <t>מנחיק</t>
  </si>
  <si>
    <t>guy.menchik@stratasys.com</t>
  </si>
  <si>
    <t>גיא</t>
  </si>
  <si>
    <t>ניב</t>
  </si>
  <si>
    <t>guy@curesponse.tech</t>
  </si>
  <si>
    <t>מסד</t>
  </si>
  <si>
    <t>guy@diastole.io</t>
  </si>
  <si>
    <t>אליצור</t>
  </si>
  <si>
    <t>guy@ecophage.com</t>
  </si>
  <si>
    <t>בנרומנו</t>
  </si>
  <si>
    <t>guy@lightyx.com</t>
  </si>
  <si>
    <t>מזרחי</t>
  </si>
  <si>
    <t>מנהל אגף סביבה וקיימות</t>
  </si>
  <si>
    <t>guy@parksharon.co.il</t>
  </si>
  <si>
    <t>ורון</t>
  </si>
  <si>
    <t>guyvarongv@gmail.com</t>
  </si>
  <si>
    <t>חגי</t>
  </si>
  <si>
    <t>שפייזמן</t>
  </si>
  <si>
    <t>hagay.shpaisman@biu.ac.il</t>
  </si>
  <si>
    <t>חגית</t>
  </si>
  <si>
    <t>דומב כהן</t>
  </si>
  <si>
    <t>hagitd@mealiways.com</t>
  </si>
  <si>
    <t>חיים</t>
  </si>
  <si>
    <t>ינקו</t>
  </si>
  <si>
    <t>טכנולוג</t>
  </si>
  <si>
    <t>haim.yanko@mdcindustries.com</t>
  </si>
  <si>
    <t>אילן</t>
  </si>
  <si>
    <t>מינץ</t>
  </si>
  <si>
    <t>handasa@pei.co.il</t>
  </si>
  <si>
    <t>חני</t>
  </si>
  <si>
    <t>ברהום</t>
  </si>
  <si>
    <t>hanibarhum@trd-center.org</t>
  </si>
  <si>
    <t>חאזם</t>
  </si>
  <si>
    <t>חטאב</t>
  </si>
  <si>
    <t>hazem@hasoub.org</t>
  </si>
  <si>
    <t>hello@polyx.io</t>
  </si>
  <si>
    <t>הילה</t>
  </si>
  <si>
    <t>גבעון</t>
  </si>
  <si>
    <t>hila.givon17@icloud.com</t>
  </si>
  <si>
    <t>ברון</t>
  </si>
  <si>
    <t>ibaron@itworks.org.il</t>
  </si>
  <si>
    <t>עידן</t>
  </si>
  <si>
    <t>באוקי</t>
  </si>
  <si>
    <t>idan@driveu.auto</t>
  </si>
  <si>
    <t>עידית</t>
  </si>
  <si>
    <t>מלמד</t>
  </si>
  <si>
    <t>idithm@afeka.ac.il</t>
  </si>
  <si>
    <t>עידו</t>
  </si>
  <si>
    <t>ido@phantomgi.com</t>
  </si>
  <si>
    <t>נח</t>
  </si>
  <si>
    <t>iia@ramot.org</t>
  </si>
  <si>
    <t>גנדלמן</t>
  </si>
  <si>
    <t>ilan@sigasec.com</t>
  </si>
  <si>
    <t>עילי</t>
  </si>
  <si>
    <t>מרום</t>
  </si>
  <si>
    <t>ilaym@nanosemed.com</t>
  </si>
  <si>
    <t>איליה</t>
  </si>
  <si>
    <t>רוגינסקי</t>
  </si>
  <si>
    <t>Iliya.Roginsky@eyeviation.com</t>
  </si>
  <si>
    <t>פייגין</t>
  </si>
  <si>
    <t>ilya@embedded-solutions.co.il</t>
  </si>
  <si>
    <t>גבריאל</t>
  </si>
  <si>
    <t>קלין</t>
  </si>
  <si>
    <t>info.seanovel@gmail.com</t>
  </si>
  <si>
    <t>שרון</t>
  </si>
  <si>
    <t>info.yeda@weizmann.ac.il</t>
  </si>
  <si>
    <t>info@3dme.co.il</t>
  </si>
  <si>
    <t>איתן</t>
  </si>
  <si>
    <t>זיגלר</t>
  </si>
  <si>
    <t>info@alagene.co.il</t>
  </si>
  <si>
    <t>info@arberobotics.com</t>
  </si>
  <si>
    <t>info@artmedical.com</t>
  </si>
  <si>
    <t>רן</t>
  </si>
  <si>
    <t>info@beyon-d.com</t>
  </si>
  <si>
    <t>info@biodalia.com</t>
  </si>
  <si>
    <t>זהר</t>
  </si>
  <si>
    <t>ינון</t>
  </si>
  <si>
    <t>info@birad.biz</t>
  </si>
  <si>
    <t>info@darom.life</t>
  </si>
  <si>
    <t>שי</t>
  </si>
  <si>
    <t>פוליקר</t>
  </si>
  <si>
    <t>info@edgemed.vc</t>
  </si>
  <si>
    <t>נועם</t>
  </si>
  <si>
    <t>גוסף</t>
  </si>
  <si>
    <t>info@gaiapartners.co.il</t>
  </si>
  <si>
    <t>טל</t>
  </si>
  <si>
    <t>info@gram-bio.com</t>
  </si>
  <si>
    <t>info@hadasit.org.il</t>
  </si>
  <si>
    <t>info@hamitbah.com</t>
  </si>
  <si>
    <t>info@ibtikar-bc.com</t>
  </si>
  <si>
    <t>צחי</t>
  </si>
  <si>
    <t>info@ignitedeeptech.com</t>
  </si>
  <si>
    <t>שלומציון</t>
  </si>
  <si>
    <t>לולו</t>
  </si>
  <si>
    <t>info@jce.ac.il</t>
  </si>
  <si>
    <t>רונן</t>
  </si>
  <si>
    <t>info@kornit.com</t>
  </si>
  <si>
    <t>info@me-med.com</t>
  </si>
  <si>
    <t>info@microbotmedical.com</t>
  </si>
  <si>
    <t>משעל</t>
  </si>
  <si>
    <t>info@norterra.com</t>
  </si>
  <si>
    <t>סופיה</t>
  </si>
  <si>
    <t>info@northmed.tech</t>
  </si>
  <si>
    <t>info@omnisol.co.il</t>
  </si>
  <si>
    <t>info@parallelwireless.com</t>
  </si>
  <si>
    <t>דרורי</t>
  </si>
  <si>
    <t>info@pas-gon.com</t>
  </si>
  <si>
    <t>רביב</t>
  </si>
  <si>
    <t>רז</t>
  </si>
  <si>
    <t>info@percepto.co</t>
  </si>
  <si>
    <t>קובי</t>
  </si>
  <si>
    <t>פוליקוב</t>
  </si>
  <si>
    <t>info@physical-logic.com</t>
  </si>
  <si>
    <t>אברמוביץ</t>
  </si>
  <si>
    <t>info@plazit-polygal.com</t>
  </si>
  <si>
    <t>איתמר</t>
  </si>
  <si>
    <t>סיוון</t>
  </si>
  <si>
    <t>info@quantum-machines.co</t>
  </si>
  <si>
    <t>רמי</t>
  </si>
  <si>
    <t>info@radcom.com</t>
  </si>
  <si>
    <t>info@raicol.com</t>
  </si>
  <si>
    <t>קרן</t>
  </si>
  <si>
    <t>פרימור כהן</t>
  </si>
  <si>
    <t>info@ramot.org</t>
  </si>
  <si>
    <t>כץ</t>
  </si>
  <si>
    <t>info@scanmaster-irt.com</t>
  </si>
  <si>
    <t>יהודה</t>
  </si>
  <si>
    <t>חדד</t>
  </si>
  <si>
    <t>info@sce.ac.il</t>
  </si>
  <si>
    <t>איציק</t>
  </si>
  <si>
    <t>שחר</t>
  </si>
  <si>
    <t>info@shachar.biz</t>
  </si>
  <si>
    <t>הראל</t>
  </si>
  <si>
    <t>info@synergy7.org.il</t>
  </si>
  <si>
    <t>info@tami-imi.com</t>
  </si>
  <si>
    <t>אהרון</t>
  </si>
  <si>
    <t>info@taryag-group.com</t>
  </si>
  <si>
    <t>יעל</t>
  </si>
  <si>
    <t>info@techlinic.com</t>
  </si>
  <si>
    <t>info@theranica.com</t>
  </si>
  <si>
    <t>נמרוד</t>
  </si>
  <si>
    <t>שגב</t>
  </si>
  <si>
    <t>info@vcomm.tech</t>
  </si>
  <si>
    <t>יאיר</t>
  </si>
  <si>
    <t>אמסטרדאם</t>
  </si>
  <si>
    <t>info@verbit.ai</t>
  </si>
  <si>
    <t>אורי</t>
  </si>
  <si>
    <t>חושן</t>
  </si>
  <si>
    <t>info@vlx.co.il</t>
  </si>
  <si>
    <t>תמיר</t>
  </si>
  <si>
    <t>innovation@pei.co.il</t>
  </si>
  <si>
    <t>מושקין</t>
  </si>
  <si>
    <t>isaac@senstation-tech.com</t>
  </si>
  <si>
    <t>ישי</t>
  </si>
  <si>
    <t>פומרנץ</t>
  </si>
  <si>
    <t>ishay.pomerantz@gmail.com</t>
  </si>
  <si>
    <t>itai@vh2o.io</t>
  </si>
  <si>
    <t>itaik2002@yahoo.com</t>
  </si>
  <si>
    <t>קוהלי</t>
  </si>
  <si>
    <t>itamar@propeller-drones.com</t>
  </si>
  <si>
    <t>itamar@quantum-machines.co</t>
  </si>
  <si>
    <t>איוון</t>
  </si>
  <si>
    <t>טגילצב</t>
  </si>
  <si>
    <t>ivan@docflo.ai</t>
  </si>
  <si>
    <t>יעקב</t>
  </si>
  <si>
    <t>צנקל</t>
  </si>
  <si>
    <t>jacob.zankel@cytorastem.com</t>
  </si>
  <si>
    <t>בן אריה</t>
  </si>
  <si>
    <t>jacob@onepassmedical.com</t>
  </si>
  <si>
    <t>בנימין</t>
  </si>
  <si>
    <t>ז׳אווי</t>
  </si>
  <si>
    <t>jaouibenjamin@gmail.com</t>
  </si>
  <si>
    <t>יורקובסקי</t>
  </si>
  <si>
    <t>jenia@firewave.earth</t>
  </si>
  <si>
    <t>יונתן</t>
  </si>
  <si>
    <t>Innovations</t>
  </si>
  <si>
    <t>joanthann@tosaf.com</t>
  </si>
  <si>
    <t>סולומון</t>
  </si>
  <si>
    <t>jonathans@biomx.com</t>
  </si>
  <si>
    <t>ירדן</t>
  </si>
  <si>
    <t>jordan.mizrachi@edenmaterials.io</t>
  </si>
  <si>
    <t>פולק</t>
  </si>
  <si>
    <t>jordan.pollack@subqbionics.com</t>
  </si>
  <si>
    <t>קרינה</t>
  </si>
  <si>
    <t>karinael@sce.ac.il</t>
  </si>
  <si>
    <t>קרני</t>
  </si>
  <si>
    <t>karnyilan@feminai.com</t>
  </si>
  <si>
    <t>טובה</t>
  </si>
  <si>
    <t>אנגלרד</t>
  </si>
  <si>
    <t>מנכל״ית</t>
  </si>
  <si>
    <t>kaylight@zahav.net.il</t>
  </si>
  <si>
    <t>סופיר</t>
  </si>
  <si>
    <t>keren.souffir@renovate.bio</t>
  </si>
  <si>
    <t>kerenberrebi2@gmail.com</t>
  </si>
  <si>
    <t>כפיר</t>
  </si>
  <si>
    <t>עובד</t>
  </si>
  <si>
    <t>kfir.oved@me-med.com</t>
  </si>
  <si>
    <t>ניסים</t>
  </si>
  <si>
    <t>kfir@pickommerce.com</t>
  </si>
  <si>
    <t>שמואל</t>
  </si>
  <si>
    <t>אסאולין</t>
  </si>
  <si>
    <t>kidum@volcani.agri.gov.il</t>
  </si>
  <si>
    <t>אבידן</t>
  </si>
  <si>
    <t>kobi@novella.co.il</t>
  </si>
  <si>
    <t>שמואלי</t>
  </si>
  <si>
    <t>kobis@inori.co.il</t>
  </si>
  <si>
    <t>קורינה</t>
  </si>
  <si>
    <t>Scientific Operations Manager</t>
  </si>
  <si>
    <t>korinagold@yahoo.com</t>
  </si>
  <si>
    <t>קורנברג</t>
  </si>
  <si>
    <t>kornberg@stanford.edu</t>
  </si>
  <si>
    <t>לאה</t>
  </si>
  <si>
    <t>רוסוף</t>
  </si>
  <si>
    <t>lear@agri.gov.il</t>
  </si>
  <si>
    <t>לי</t>
  </si>
  <si>
    <t>lee@text-re.com</t>
  </si>
  <si>
    <t>ליאת</t>
  </si>
  <si>
    <t>liat@alvox.co.il</t>
  </si>
  <si>
    <t>שאף</t>
  </si>
  <si>
    <t>Founder and Product Lead</t>
  </si>
  <si>
    <t>liatgnr@gmail.com</t>
  </si>
  <si>
    <t>האבשוש</t>
  </si>
  <si>
    <t>liatheled@gmail.com</t>
  </si>
  <si>
    <t>בחנוף</t>
  </si>
  <si>
    <t>lihi@omnixmedical.com</t>
  </si>
  <si>
    <t>לימור</t>
  </si>
  <si>
    <t>סטולר</t>
  </si>
  <si>
    <t>limor.stoller@xjet3d.com</t>
  </si>
  <si>
    <t>פריגן</t>
  </si>
  <si>
    <t>limor@lumenguides.com</t>
  </si>
  <si>
    <t>ליאור</t>
  </si>
  <si>
    <t>אלקן</t>
  </si>
  <si>
    <t>lior@mfundvc.com</t>
  </si>
  <si>
    <t>פוליאק</t>
  </si>
  <si>
    <t>liorpoliak@marblex.space</t>
  </si>
  <si>
    <t>liorr@pluri-biotech.com</t>
  </si>
  <si>
    <t>liron.yanay@agripass.co</t>
  </si>
  <si>
    <t>lovenyaal@gmail.com</t>
  </si>
  <si>
    <t>מעיין</t>
  </si>
  <si>
    <t>ביטן</t>
  </si>
  <si>
    <t>Deep learning engineer</t>
  </si>
  <si>
    <t>maayan@neuronicode.com</t>
  </si>
  <si>
    <t>חויס</t>
  </si>
  <si>
    <t>mahmoud@techlinic.com</t>
  </si>
  <si>
    <t>גאורגי</t>
  </si>
  <si>
    <t>מייקוב</t>
  </si>
  <si>
    <t>maikov.georgy@gmail.com</t>
  </si>
  <si>
    <t>עוזי</t>
  </si>
  <si>
    <t>לוין</t>
  </si>
  <si>
    <t>mankal@energy.gov.il</t>
  </si>
  <si>
    <t>זעירא</t>
  </si>
  <si>
    <t>mankal@jct.ac.il</t>
  </si>
  <si>
    <t>מנואלה</t>
  </si>
  <si>
    <t>ורקסלר</t>
  </si>
  <si>
    <t>manuela.vecsler@ibex-ai.com</t>
  </si>
  <si>
    <t>הנדלמן</t>
  </si>
  <si>
    <t>maoz.h@focalmd.com</t>
  </si>
  <si>
    <t>אופיר</t>
  </si>
  <si>
    <t>mar.ophir@gmail.com</t>
  </si>
  <si>
    <t>מרק</t>
  </si>
  <si>
    <t>קולטון</t>
  </si>
  <si>
    <t>mark@attis-aviation.com</t>
  </si>
  <si>
    <t>מתן</t>
  </si>
  <si>
    <t>הרשקו</t>
  </si>
  <si>
    <t>matan@cellint.bio</t>
  </si>
  <si>
    <t>מתניה</t>
  </si>
  <si>
    <t>רפל</t>
  </si>
  <si>
    <t>mataniarappel@gmail.com</t>
  </si>
  <si>
    <t>בניטה</t>
  </si>
  <si>
    <t>mati@aionlabs.com</t>
  </si>
  <si>
    <t>מתי</t>
  </si>
  <si>
    <t>שני</t>
  </si>
  <si>
    <t>matis@ceal.earth</t>
  </si>
  <si>
    <t>מט</t>
  </si>
  <si>
    <t>קוהן</t>
  </si>
  <si>
    <t>matt.cohen@cyberark.com</t>
  </si>
  <si>
    <t>מאיה</t>
  </si>
  <si>
    <t>פינקלר</t>
  </si>
  <si>
    <t>maya.finkler@teracyte.ai</t>
  </si>
  <si>
    <t>מיה</t>
  </si>
  <si>
    <t>maya@innoafrica.org</t>
  </si>
  <si>
    <t>mayak@tracells.com</t>
  </si>
  <si>
    <t>מירי</t>
  </si>
  <si>
    <t>ברגר</t>
  </si>
  <si>
    <t>mb@6degrees.tech</t>
  </si>
  <si>
    <t>מאיר</t>
  </si>
  <si>
    <t>פרידלנד</t>
  </si>
  <si>
    <t>meir@sensorz.io</t>
  </si>
  <si>
    <t>מיטל</t>
  </si>
  <si>
    <t>יונני</t>
  </si>
  <si>
    <t>meitaly@mor-research.com</t>
  </si>
  <si>
    <t>melamedori@gmail.com</t>
  </si>
  <si>
    <t>מלר</t>
  </si>
  <si>
    <t>mellerelad@gmail.com</t>
  </si>
  <si>
    <t>מנחם</t>
  </si>
  <si>
    <t>שרמן</t>
  </si>
  <si>
    <t>menny@shermandx.com</t>
  </si>
  <si>
    <t>מני</t>
  </si>
  <si>
    <t>קירמה</t>
  </si>
  <si>
    <t>mennyk@hit.ac.il</t>
  </si>
  <si>
    <t>מיכה</t>
  </si>
  <si>
    <t>קמלמן</t>
  </si>
  <si>
    <t>micha.k@scanmaster-irt.com</t>
  </si>
  <si>
    <t>micha@mshoham.co.il</t>
  </si>
  <si>
    <t>פאנוש</t>
  </si>
  <si>
    <t>michael.boukaya@ceva-dsp.com</t>
  </si>
  <si>
    <t>זילברשלג</t>
  </si>
  <si>
    <t>michael.zilbershlag@gmail.com</t>
  </si>
  <si>
    <t>michael@agesenergy.com</t>
  </si>
  <si>
    <t>אוסטר</t>
  </si>
  <si>
    <t>michael@saffron.ag</t>
  </si>
  <si>
    <t>נרודצקי</t>
  </si>
  <si>
    <t>michael@slitled.com</t>
  </si>
  <si>
    <t>מיכל</t>
  </si>
  <si>
    <t>מאירי</t>
  </si>
  <si>
    <t>michal@agamonhealth.com</t>
  </si>
  <si>
    <t>michal@hadasit.org.il</t>
  </si>
  <si>
    <t>מייק</t>
  </si>
  <si>
    <t>זילברג</t>
  </si>
  <si>
    <t>mike@isclsummit.com</t>
  </si>
  <si>
    <t>מרים</t>
  </si>
  <si>
    <t>אוריילי</t>
  </si>
  <si>
    <t>miriamoreilly@haimpharmagroup.com</t>
  </si>
  <si>
    <t>קדרון</t>
  </si>
  <si>
    <t>mkidron1@gmail.com</t>
  </si>
  <si>
    <t>מור</t>
  </si>
  <si>
    <t>mor@kemtai.com</t>
  </si>
  <si>
    <t>מורן</t>
  </si>
  <si>
    <t>moran@binata.com</t>
  </si>
  <si>
    <t>משה</t>
  </si>
  <si>
    <t>לסטר</t>
  </si>
  <si>
    <t>morris@tedence.com</t>
  </si>
  <si>
    <t>רינס</t>
  </si>
  <si>
    <t>moshe@labs02.com</t>
  </si>
  <si>
    <t>מושון</t>
  </si>
  <si>
    <t>בן ארוש</t>
  </si>
  <si>
    <t>moshon@imamail.co.il</t>
  </si>
  <si>
    <t>שובל</t>
  </si>
  <si>
    <t>ms@spinedge.ai</t>
  </si>
  <si>
    <t>נדב</t>
  </si>
  <si>
    <t>קיסר</t>
  </si>
  <si>
    <t>Mechanical Engineer QC</t>
  </si>
  <si>
    <t>nadavk11@gmail.com</t>
  </si>
  <si>
    <t>לונינסקי</t>
  </si>
  <si>
    <t>nadavlun@gmail.com</t>
  </si>
  <si>
    <t>מנדה</t>
  </si>
  <si>
    <t>R&amp;D Mechanical Engineer</t>
  </si>
  <si>
    <t>Nadavm218@gmail.com</t>
  </si>
  <si>
    <t>נעמי</t>
  </si>
  <si>
    <t>בלנק</t>
  </si>
  <si>
    <t>naomiblank@gmail.com</t>
  </si>
  <si>
    <t>נחום</t>
  </si>
  <si>
    <t>נווה</t>
  </si>
  <si>
    <t>naumn@shenkar.ac.il</t>
  </si>
  <si>
    <t>נאוה</t>
  </si>
  <si>
    <t>בריט בן דוד</t>
  </si>
  <si>
    <t>nava@renalyte.com</t>
  </si>
  <si>
    <t>נריה</t>
  </si>
  <si>
    <t>שוורץ</t>
  </si>
  <si>
    <t>nerya@gt-group.com</t>
  </si>
  <si>
    <t>גרנות</t>
  </si>
  <si>
    <t>netta@galilofek.com</t>
  </si>
  <si>
    <t>נוימן</t>
  </si>
  <si>
    <t>newmans@skillreal.com</t>
  </si>
  <si>
    <t>ניקי</t>
  </si>
  <si>
    <t>nickyl@mor.org.il</t>
  </si>
  <si>
    <t>נילי</t>
  </si>
  <si>
    <t>קלאודיה שוץ</t>
  </si>
  <si>
    <t>nili@ionarabio.com</t>
  </si>
  <si>
    <t>זילחה</t>
  </si>
  <si>
    <t>nimrod.zilcha@cognishine.com</t>
  </si>
  <si>
    <t>אשל</t>
  </si>
  <si>
    <t>nimrod@desert-bird.com</t>
  </si>
  <si>
    <t>בוסני</t>
  </si>
  <si>
    <t>nimrod@traigent.ai</t>
  </si>
  <si>
    <t>ניני</t>
  </si>
  <si>
    <t>בלומן</t>
  </si>
  <si>
    <t>nini.bluman@bio-xtreme.com</t>
  </si>
  <si>
    <t>מארום</t>
  </si>
  <si>
    <t>nir.m@chiral.energy</t>
  </si>
  <si>
    <t>מאור</t>
  </si>
  <si>
    <t>nir.maor@kla.com</t>
  </si>
  <si>
    <t>פרידמן</t>
  </si>
  <si>
    <t>nir.nbx@gmail.com</t>
  </si>
  <si>
    <t>nir@sentient-robotics.ai</t>
  </si>
  <si>
    <t>nir@topivision.com</t>
  </si>
  <si>
    <t>אלפסי</t>
  </si>
  <si>
    <t>niral@quantum-machines.co</t>
  </si>
  <si>
    <t>אברהם</t>
  </si>
  <si>
    <t>nirav@novelsat.com</t>
  </si>
  <si>
    <t>nirminerbi@gmail.com</t>
  </si>
  <si>
    <t>nisansun@gmail.com</t>
  </si>
  <si>
    <t>הירש</t>
  </si>
  <si>
    <t>nitzan.h@luseed-vascular.com</t>
  </si>
  <si>
    <t>קפל</t>
  </si>
  <si>
    <t>nitzan.k@tabor.co.il</t>
  </si>
  <si>
    <t>אילון</t>
  </si>
  <si>
    <t>nitzanayalon@gmail.com</t>
  </si>
  <si>
    <t>דוידאי</t>
  </si>
  <si>
    <t>niv@skyforceai.com</t>
  </si>
  <si>
    <t>ניבה</t>
  </si>
  <si>
    <t>מנהלת מדעית ופיתוח עסקי</t>
  </si>
  <si>
    <t>niva.heled@gmail.com</t>
  </si>
  <si>
    <t>ניזאר</t>
  </si>
  <si>
    <t>ג׳ובראן</t>
  </si>
  <si>
    <t>nizar@deriva.ai</t>
  </si>
  <si>
    <t>nizar@ngt3vc.com</t>
  </si>
  <si>
    <t>משכיל</t>
  </si>
  <si>
    <t>nmaskil@qarakal.ai</t>
  </si>
  <si>
    <t>מגני</t>
  </si>
  <si>
    <t>noam@duma.co.il</t>
  </si>
  <si>
    <t>קידר</t>
  </si>
  <si>
    <t>noam@dux-health.com</t>
  </si>
  <si>
    <t>טייכלר</t>
  </si>
  <si>
    <t>noam@edgemed.vc</t>
  </si>
  <si>
    <t>נעם</t>
  </si>
  <si>
    <t>noam@gaiapartners.co.il</t>
  </si>
  <si>
    <t>נוגה</t>
  </si>
  <si>
    <t>סלע שלו</t>
  </si>
  <si>
    <t>noga@fresh-start.co.il</t>
  </si>
  <si>
    <t>נופר</t>
  </si>
  <si>
    <t>בר אור</t>
  </si>
  <si>
    <t>nufar.baror@pregnantech.com</t>
  </si>
  <si>
    <t>נורית</t>
  </si>
  <si>
    <t>nurit@stomtop.com</t>
  </si>
  <si>
    <t>סקליטר</t>
  </si>
  <si>
    <t>oded.skaliter@mail.huji.ac.il</t>
  </si>
  <si>
    <t>לנדאו</t>
  </si>
  <si>
    <t>oded@green-group.co.il</t>
  </si>
  <si>
    <t>הלוי</t>
  </si>
  <si>
    <t>oded@kronomy.co.il</t>
  </si>
  <si>
    <t>עינת</t>
  </si>
  <si>
    <t>oded@safefields-tech.com</t>
  </si>
  <si>
    <t>ופר</t>
  </si>
  <si>
    <t>ofer.alon@kla.com</t>
  </si>
  <si>
    <t>שוחט</t>
  </si>
  <si>
    <t>ofer@copprint.com</t>
  </si>
  <si>
    <t>עופר</t>
  </si>
  <si>
    <t>ofer@sensoils.com</t>
  </si>
  <si>
    <t>באלין</t>
  </si>
  <si>
    <t>ofer@shifters-ai.com</t>
  </si>
  <si>
    <t>עמוס</t>
  </si>
  <si>
    <t>ofera@renovarispharma.com</t>
  </si>
  <si>
    <t>פינטל</t>
  </si>
  <si>
    <t>oferp@ezngmd.com</t>
  </si>
  <si>
    <t>offer@enervibe.co</t>
  </si>
  <si>
    <t>פרוטפוליו טאמס</t>
  </si>
  <si>
    <t>office@alon-medtech.com</t>
  </si>
  <si>
    <t>office@flightops.io</t>
  </si>
  <si>
    <t>office@green-group.co.il</t>
  </si>
  <si>
    <t>יואל</t>
  </si>
  <si>
    <t>office@innoveast.org</t>
  </si>
  <si>
    <t>מוטי</t>
  </si>
  <si>
    <t>רבהון</t>
  </si>
  <si>
    <t>office@yd-labs.com</t>
  </si>
  <si>
    <t>ארדון</t>
  </si>
  <si>
    <t>ofir@phatfoodtech.com</t>
  </si>
  <si>
    <t>עפרי</t>
  </si>
  <si>
    <t>מן</t>
  </si>
  <si>
    <t>מנהלת אופרציה</t>
  </si>
  <si>
    <t>ofrimann1@gmail.com</t>
  </si>
  <si>
    <t>אוהד</t>
  </si>
  <si>
    <t>ohad@omnisol.co.il</t>
  </si>
  <si>
    <t>שינדלר</t>
  </si>
  <si>
    <t>ohadschindler@gmail.com</t>
  </si>
  <si>
    <t>עומר</t>
  </si>
  <si>
    <t>omer.a@proscout.ai</t>
  </si>
  <si>
    <t>מילר</t>
  </si>
  <si>
    <t>omer@alvox.co.il</t>
  </si>
  <si>
    <t>מוצפי</t>
  </si>
  <si>
    <t>omermuz@tlvmc.gov.il</t>
  </si>
  <si>
    <t>עמרי</t>
  </si>
  <si>
    <t>וארשאוסקי</t>
  </si>
  <si>
    <t>RnD</t>
  </si>
  <si>
    <t>omri.warsh@gmail.com</t>
  </si>
  <si>
    <t>נויברגר</t>
  </si>
  <si>
    <t>omri@ignitedeeptech.com</t>
  </si>
  <si>
    <t>עומרי</t>
  </si>
  <si>
    <t>גביש</t>
  </si>
  <si>
    <t>omri@tuned.in</t>
  </si>
  <si>
    <t>שחף</t>
  </si>
  <si>
    <t>ophir@ehv.health</t>
  </si>
  <si>
    <t>אופירה</t>
  </si>
  <si>
    <t>ophira.melamed@nitro-fix.com</t>
  </si>
  <si>
    <t>אור</t>
  </si>
  <si>
    <t>לנדבר</t>
  </si>
  <si>
    <t>or.landwer@eyeviation.com</t>
  </si>
  <si>
    <t>נאדאו ארגו</t>
  </si>
  <si>
    <t>Or@gaiapartners.co.il</t>
  </si>
  <si>
    <t>or@litebc.tech</t>
  </si>
  <si>
    <t>אורה</t>
  </si>
  <si>
    <t>פלד נקש</t>
  </si>
  <si>
    <t>ora@coverdolly.co</t>
  </si>
  <si>
    <t>אורן</t>
  </si>
  <si>
    <t>סרפאטי</t>
  </si>
  <si>
    <t>oranserfati@gmail.com</t>
  </si>
  <si>
    <t>עוזרי</t>
  </si>
  <si>
    <t>oren@artbioscience.com</t>
  </si>
  <si>
    <t>ליאדא</t>
  </si>
  <si>
    <t>ori.elyada@atlasensebiomed.com</t>
  </si>
  <si>
    <t>טאדמור</t>
  </si>
  <si>
    <t>ori.tadmor@kla.com</t>
  </si>
  <si>
    <t>orikanner@gmail.com</t>
  </si>
  <si>
    <t>אורלי</t>
  </si>
  <si>
    <t>פלוצוק</t>
  </si>
  <si>
    <t>סמוחה</t>
  </si>
  <si>
    <t>orsamoo@gmail.com</t>
  </si>
  <si>
    <t>מחלבני</t>
  </si>
  <si>
    <t>מנהל קשרי תעשיה</t>
  </si>
  <si>
    <t>oz.m@technion.ac.il</t>
  </si>
  <si>
    <t>רגב</t>
  </si>
  <si>
    <t>peretz.regev@cyberark.com</t>
  </si>
  <si>
    <t>פיני</t>
  </si>
  <si>
    <t>בן לזר</t>
  </si>
  <si>
    <t>pini@mor-research.com</t>
  </si>
  <si>
    <t>פורת</t>
  </si>
  <si>
    <t>porat@biodalia.com</t>
  </si>
  <si>
    <t>אלרואי</t>
  </si>
  <si>
    <t>president@univ.haifa.ac.il</t>
  </si>
  <si>
    <t>פריאל</t>
  </si>
  <si>
    <t>priel.ido@remondo.com</t>
  </si>
  <si>
    <t>רועי</t>
  </si>
  <si>
    <t>אטלס</t>
  </si>
  <si>
    <t>r_atlas@rambam.health.gov.il</t>
  </si>
  <si>
    <t>רענן</t>
  </si>
  <si>
    <t>בן שחר</t>
  </si>
  <si>
    <t>raanan@resolight.systems</t>
  </si>
  <si>
    <t>שמא</t>
  </si>
  <si>
    <t>PLC programming</t>
  </si>
  <si>
    <t>raananshema@gmail.com</t>
  </si>
  <si>
    <t>רחל</t>
  </si>
  <si>
    <t>ואקנין</t>
  </si>
  <si>
    <t>rachel@microbotmedical.com</t>
  </si>
  <si>
    <t>רחלי</t>
  </si>
  <si>
    <t>נחמיה</t>
  </si>
  <si>
    <t>Director of Product Management</t>
  </si>
  <si>
    <t>Racheli_nehemia@bmc.com</t>
  </si>
  <si>
    <t>רפי</t>
  </si>
  <si>
    <t>הארל</t>
  </si>
  <si>
    <t>CTO &amp; COO</t>
  </si>
  <si>
    <t>rafi.harel@opsys-tech.com</t>
  </si>
  <si>
    <t>דויטש</t>
  </si>
  <si>
    <t>raluca@salignostics.com</t>
  </si>
  <si>
    <t>רם</t>
  </si>
  <si>
    <t>יוניש</t>
  </si>
  <si>
    <t>ram@ilangelclub.com</t>
  </si>
  <si>
    <t>קסטרשטיין</t>
  </si>
  <si>
    <t>rami@reverto.bio</t>
  </si>
  <si>
    <t>זיסקינד</t>
  </si>
  <si>
    <t>ran@ir-medical.com</t>
  </si>
  <si>
    <t>rann@paragate-medical.com</t>
  </si>
  <si>
    <t>רננה</t>
  </si>
  <si>
    <t>renanao@szmc.org.il</t>
  </si>
  <si>
    <t>ריסלינג</t>
  </si>
  <si>
    <t>rislingm@gmail.com</t>
  </si>
  <si>
    <t>רודי</t>
  </si>
  <si>
    <t>לסר</t>
  </si>
  <si>
    <t>rleser@parallelwireless.com</t>
  </si>
  <si>
    <t>מדעי</t>
  </si>
  <si>
    <t>roee.madai@gmail.com</t>
  </si>
  <si>
    <t>מוקד</t>
  </si>
  <si>
    <t>roee.moked@wiserylabs.ai</t>
  </si>
  <si>
    <t>roi@whilx.tech</t>
  </si>
  <si>
    <t>פיינגרש</t>
  </si>
  <si>
    <t>roif@foreseegenomics.com</t>
  </si>
  <si>
    <t>רון</t>
  </si>
  <si>
    <t>גלזר</t>
  </si>
  <si>
    <t>ron@taborelec.com</t>
  </si>
  <si>
    <t>rona.s@t3.technion.ac.il</t>
  </si>
  <si>
    <t>ronen.sadeh@senseerahealth.com</t>
  </si>
  <si>
    <t>שעשוע</t>
  </si>
  <si>
    <t>ronen333@gmail.com</t>
  </si>
  <si>
    <t>גולן</t>
  </si>
  <si>
    <t>אחראי שיקום לב ורפואת ספורט</t>
  </si>
  <si>
    <t>rongol99@gmail.com</t>
  </si>
  <si>
    <t>רוני</t>
  </si>
  <si>
    <t>מוזס</t>
  </si>
  <si>
    <t>מנהלת מוצר</t>
  </si>
  <si>
    <t>ronibmoses@gmail.com</t>
  </si>
  <si>
    <t>אוחיון</t>
  </si>
  <si>
    <t>rony@deepkeep.ai</t>
  </si>
  <si>
    <t>רותם</t>
  </si>
  <si>
    <t>rotem.golan@claro3d.com</t>
  </si>
  <si>
    <t>roy@kansodx.com</t>
  </si>
  <si>
    <t>מונין</t>
  </si>
  <si>
    <t>roy@madeinjlm.org</t>
  </si>
  <si>
    <t>רויאל</t>
  </si>
  <si>
    <t>שמעון</t>
  </si>
  <si>
    <t>royal@mocart.io</t>
  </si>
  <si>
    <t>מרגריטה</t>
  </si>
  <si>
    <t>מנהל פרויקט</t>
  </si>
  <si>
    <t>Rtgrin1@gmail.com</t>
  </si>
  <si>
    <t>שגיא</t>
  </si>
  <si>
    <t>צדקה</t>
  </si>
  <si>
    <t>sagie@makopt.com</t>
  </si>
  <si>
    <t>יפתח</t>
  </si>
  <si>
    <t>סבאג</t>
  </si>
  <si>
    <t>saleh@hamitbah.com</t>
  </si>
  <si>
    <t>שמוליק</t>
  </si>
  <si>
    <t>Managing partner</t>
  </si>
  <si>
    <t>schmuel.schwartz@sdg-navigator.com</t>
  </si>
  <si>
    <t>דמארי</t>
  </si>
  <si>
    <t>sdamari@v-corals.com</t>
  </si>
  <si>
    <t>סרגיי</t>
  </si>
  <si>
    <t>sergey@diamic.co</t>
  </si>
  <si>
    <t>שבתאי</t>
  </si>
  <si>
    <t>נגרי</t>
  </si>
  <si>
    <t>shabtayn@pianeta.co.il</t>
  </si>
  <si>
    <t>שדא</t>
  </si>
  <si>
    <t>אבו ראס</t>
  </si>
  <si>
    <t>shada.abu.rass@gmail.com</t>
  </si>
  <si>
    <t>shahar@phenota.com</t>
  </si>
  <si>
    <t>בלזר</t>
  </si>
  <si>
    <t>shai.b@tabor.co.il</t>
  </si>
  <si>
    <t>פינסוד</t>
  </si>
  <si>
    <t>shai.feinsod@teng-able.com</t>
  </si>
  <si>
    <t>shai@medx.co.il</t>
  </si>
  <si>
    <t>שחל</t>
  </si>
  <si>
    <t>shai@polygreen-group.com</t>
  </si>
  <si>
    <t>שקד</t>
  </si>
  <si>
    <t>אביב</t>
  </si>
  <si>
    <t>shaked@infinidome.com</t>
  </si>
  <si>
    <t>אפי</t>
  </si>
  <si>
    <t>sharoefi@gmail.com</t>
  </si>
  <si>
    <t>גור אריה</t>
  </si>
  <si>
    <t>sharon@aionlabs.com</t>
  </si>
  <si>
    <t>טובי</t>
  </si>
  <si>
    <t>sharon@itqco.com</t>
  </si>
  <si>
    <t>שאול</t>
  </si>
  <si>
    <t>בובליל</t>
  </si>
  <si>
    <t>shaul@ligenerate.com</t>
  </si>
  <si>
    <t>יסראלי</t>
  </si>
  <si>
    <t>shay.israeli@kla.com</t>
  </si>
  <si>
    <t>shay@aigis-labs.com</t>
  </si>
  <si>
    <t>shay@genesis-medical.ai</t>
  </si>
  <si>
    <t>שלי</t>
  </si>
  <si>
    <t>לוטן</t>
  </si>
  <si>
    <t>shelly@mediumwell-tech.com</t>
  </si>
  <si>
    <t>הלל</t>
  </si>
  <si>
    <t>shilel@lembas.bio</t>
  </si>
  <si>
    <t>עייאש</t>
  </si>
  <si>
    <t>Mechanical Engineering</t>
  </si>
  <si>
    <t>shimi.ayash@gmail.com</t>
  </si>
  <si>
    <t>שלזינגר</t>
  </si>
  <si>
    <t>shlez4c@gmail.com</t>
  </si>
  <si>
    <t>שלומי</t>
  </si>
  <si>
    <t>וקנין</t>
  </si>
  <si>
    <t>שכיר</t>
  </si>
  <si>
    <t>shlmoivak295@gmail.com</t>
  </si>
  <si>
    <t>זנדברג</t>
  </si>
  <si>
    <t>shlomi.zandberg@gmail.com</t>
  </si>
  <si>
    <t>עוזיאל</t>
  </si>
  <si>
    <t>shlomiu@quai.md</t>
  </si>
  <si>
    <t>סיני</t>
  </si>
  <si>
    <t>גוהאר באראק</t>
  </si>
  <si>
    <t>sinaig@gmail.com</t>
  </si>
  <si>
    <t>סיון</t>
  </si>
  <si>
    <t>יחיאלי</t>
  </si>
  <si>
    <t>sivany@i4valley.com</t>
  </si>
  <si>
    <t>סיואר</t>
  </si>
  <si>
    <t>אסילי</t>
  </si>
  <si>
    <t>siwar.a8@gmail.com</t>
  </si>
  <si>
    <t>ירוני</t>
  </si>
  <si>
    <t>sokolow1930@gmail.com</t>
  </si>
  <si>
    <t>שון</t>
  </si>
  <si>
    <t>רגנבאום</t>
  </si>
  <si>
    <t>sregenbaum@tissuedynamics.com</t>
  </si>
  <si>
    <t>גולדבארט</t>
  </si>
  <si>
    <t>stam.mail.for.fb@gmail.com</t>
  </si>
  <si>
    <t>סטס</t>
  </si>
  <si>
    <t>בנק</t>
  </si>
  <si>
    <t>stasb@perciv.tech</t>
  </si>
  <si>
    <t>זאב</t>
  </si>
  <si>
    <t>חיטין דיווחים</t>
  </si>
  <si>
    <t>stech@zahav.net.il</t>
  </si>
  <si>
    <t>סטיב</t>
  </si>
  <si>
    <t>steve@mndl.bio</t>
  </si>
  <si>
    <t>שוורצר</t>
  </si>
  <si>
    <t>sviva.eng@gmail.com</t>
  </si>
  <si>
    <t>בן דוד</t>
  </si>
  <si>
    <t>tal.bendavid@karambasecurity.com</t>
  </si>
  <si>
    <t>ליבוביץ ריבקין</t>
  </si>
  <si>
    <t>tal.leibovich@denovai.com</t>
  </si>
  <si>
    <t>פכטר</t>
  </si>
  <si>
    <t>tal@frisimos.com</t>
  </si>
  <si>
    <t>פארנס</t>
  </si>
  <si>
    <t>tal@lumiweave.com</t>
  </si>
  <si>
    <t>גילת</t>
  </si>
  <si>
    <t>tal@neurogenesis-cell.com</t>
  </si>
  <si>
    <t>ידין</t>
  </si>
  <si>
    <t>tal@propeller-drones.com</t>
  </si>
  <si>
    <t>גוברין</t>
  </si>
  <si>
    <t>tal@thekokomodo.com</t>
  </si>
  <si>
    <t>טלור</t>
  </si>
  <si>
    <t>סקס</t>
  </si>
  <si>
    <t>talor@ehv.health</t>
  </si>
  <si>
    <t>תמר</t>
  </si>
  <si>
    <t>tamar@flxpartners.com</t>
  </si>
  <si>
    <t>tamir.shaked@oligobiotech.com</t>
  </si>
  <si>
    <t>tamir@ai-blog.co.il</t>
  </si>
  <si>
    <t>Tobi@elssway.com</t>
  </si>
  <si>
    <t>תומר</t>
  </si>
  <si>
    <t>tomer@vortex-imaging.com</t>
  </si>
  <si>
    <t>ם</t>
  </si>
  <si>
    <t>tsafrir.lior@tama.co.il</t>
  </si>
  <si>
    <t>צח</t>
  </si>
  <si>
    <t>tzach@agadolive.com</t>
  </si>
  <si>
    <t>צבי</t>
  </si>
  <si>
    <t>זבירין</t>
  </si>
  <si>
    <t>tzvi@bioarmix.com</t>
  </si>
  <si>
    <t>צביקה</t>
  </si>
  <si>
    <t>גרייבר</t>
  </si>
  <si>
    <t>tzvika@robochute.com</t>
  </si>
  <si>
    <t>פרידמאן</t>
  </si>
  <si>
    <t>tzvika@silentium.com</t>
  </si>
  <si>
    <t>אודי</t>
  </si>
  <si>
    <t>udi@lugo.org.il</t>
  </si>
  <si>
    <t>udiraviv81@gmail.com</t>
  </si>
  <si>
    <t>שמש</t>
  </si>
  <si>
    <t>uri@seanovation.org</t>
  </si>
  <si>
    <t>יוגב</t>
  </si>
  <si>
    <t>uribenyosef5@gmail.com</t>
  </si>
  <si>
    <t>urisha@rafael.co.il</t>
  </si>
  <si>
    <t>ויקטוריה</t>
  </si>
  <si>
    <t>vicky@capow-tech.com</t>
  </si>
  <si>
    <t>victoriar@bdo.co.il</t>
  </si>
  <si>
    <t>ולאדיק</t>
  </si>
  <si>
    <t>קרופלניק</t>
  </si>
  <si>
    <t>vladik@renewal.bio</t>
  </si>
  <si>
    <t>וולך</t>
  </si>
  <si>
    <t>voloch@post.bgu.ac.il</t>
  </si>
  <si>
    <t>וסים</t>
  </si>
  <si>
    <t>waseem@sorlis.com</t>
  </si>
  <si>
    <t>יניב דימינסקי</t>
  </si>
  <si>
    <t>yaakov.diminsky@road2.co.il</t>
  </si>
  <si>
    <t>צדיק</t>
  </si>
  <si>
    <t>yaakovtsadik@t-w-medical.com</t>
  </si>
  <si>
    <t>אונגר</t>
  </si>
  <si>
    <t>מנהלת מעבדת כימיה</t>
  </si>
  <si>
    <t>yael.ungar@mxns.com</t>
  </si>
  <si>
    <t>זאבי</t>
  </si>
  <si>
    <t>yael@innoveast.org</t>
  </si>
  <si>
    <t>yaelm@tama.co.il</t>
  </si>
  <si>
    <t>yair@aionlabs.com</t>
  </si>
  <si>
    <t>ויססלר</t>
  </si>
  <si>
    <t>yair@nt-tao.com</t>
  </si>
  <si>
    <t>יניב</t>
  </si>
  <si>
    <t>קוריאט</t>
  </si>
  <si>
    <t>yaniv.koriat@cellcom.co.il</t>
  </si>
  <si>
    <t>קציר</t>
  </si>
  <si>
    <t>yarden.biagnosis@gmail.com</t>
  </si>
  <si>
    <t>יריב</t>
  </si>
  <si>
    <t>פינס</t>
  </si>
  <si>
    <t>yariv.p@plasel.com</t>
  </si>
  <si>
    <t>ירון</t>
  </si>
  <si>
    <t>סויסה</t>
  </si>
  <si>
    <t>yarons@bduk-tx.com</t>
  </si>
  <si>
    <t>פוהרר</t>
  </si>
  <si>
    <t>yehudafuhrer@gmail.com</t>
  </si>
  <si>
    <t>קרומבי</t>
  </si>
  <si>
    <t>yitzik@mego.org.il</t>
  </si>
  <si>
    <t>יואב</t>
  </si>
  <si>
    <t>זיף</t>
  </si>
  <si>
    <t>yoav.zeif@stratasys.com</t>
  </si>
  <si>
    <t>מילוא</t>
  </si>
  <si>
    <t>yoav@city-zone.co</t>
  </si>
  <si>
    <t>רפפורט</t>
  </si>
  <si>
    <t>yoav@permedna.com</t>
  </si>
  <si>
    <t>יוכי</t>
  </si>
  <si>
    <t>yochi@bioharvest.com</t>
  </si>
  <si>
    <t>יואלי</t>
  </si>
  <si>
    <t>yoelyo@cando.co.il</t>
  </si>
  <si>
    <t>yogev.katzir@civic-labs.com</t>
  </si>
  <si>
    <t>מלכה</t>
  </si>
  <si>
    <t>yonatan@nano-ghost.com</t>
  </si>
  <si>
    <t>yonatan@quantum-machines.co</t>
  </si>
  <si>
    <t>מאנור</t>
  </si>
  <si>
    <t>yonmanor@gmail.com</t>
  </si>
  <si>
    <t>יוני</t>
  </si>
  <si>
    <t>מנהל תחום מערכות מידע</t>
  </si>
  <si>
    <t>yonyha@gmail.com</t>
  </si>
  <si>
    <t>yossi.ay@gmail.com</t>
  </si>
  <si>
    <t>יוסף</t>
  </si>
  <si>
    <t>yossi.ron@pyroh2.com</t>
  </si>
  <si>
    <t>חתן</t>
  </si>
  <si>
    <t>yossi@artmedical.com</t>
  </si>
  <si>
    <t>עקביאן</t>
  </si>
  <si>
    <t>yossi@gets-systems.com</t>
  </si>
  <si>
    <t>פניאס</t>
  </si>
  <si>
    <t>yossi@validit.ai</t>
  </si>
  <si>
    <t>מזאל</t>
  </si>
  <si>
    <t>yossi@vflow21.com</t>
  </si>
  <si>
    <t>יותם</t>
  </si>
  <si>
    <t>שטיינר</t>
  </si>
  <si>
    <t>yotam.s@ann-education.com</t>
  </si>
  <si>
    <t>yousef@solra-pv.com</t>
  </si>
  <si>
    <t>יובל</t>
  </si>
  <si>
    <t>שקלרש</t>
  </si>
  <si>
    <t>yuval@kudumed.com</t>
  </si>
  <si>
    <t>ברודסקי</t>
  </si>
  <si>
    <t>yuval@newton-tech.net</t>
  </si>
  <si>
    <t>רוסק</t>
  </si>
  <si>
    <t>zeev@infiniplex.life</t>
  </si>
  <si>
    <t>זמרן</t>
  </si>
  <si>
    <t>zimi@sfljerusalem.org</t>
  </si>
  <si>
    <t>זיו</t>
  </si>
  <si>
    <t>הלר</t>
  </si>
  <si>
    <t>ziv@alvox.co.il</t>
  </si>
  <si>
    <t>ליון</t>
  </si>
  <si>
    <t>ziv@spiralphotonics.com</t>
  </si>
  <si>
    <t>זוהר</t>
  </si>
  <si>
    <t>zohar.abu@gmail.com</t>
  </si>
  <si>
    <t>ברבי</t>
  </si>
  <si>
    <t>zohar@redlertechnologies.com</t>
  </si>
  <si>
    <t>זוסמן כהן</t>
  </si>
  <si>
    <t>zusman-roni@alagene.co.il</t>
  </si>
  <si>
    <t>טוקו</t>
  </si>
  <si>
    <t>זיו הלר</t>
  </si>
  <si>
    <t>Co-Founder</t>
  </si>
  <si>
    <t>toko@alvox.co.il</t>
  </si>
  <si>
    <t>michal.zeevi-bender@beyon-d.com</t>
  </si>
  <si>
    <t>יערי</t>
  </si>
  <si>
    <t>sivan.yaari@innoafrica.org</t>
  </si>
  <si>
    <t>עטרות</t>
  </si>
  <si>
    <t>gal.atarot@edgemed.vc</t>
  </si>
  <si>
    <t>tal.zohar@omnisol.co.il</t>
  </si>
  <si>
    <t>ברקאי</t>
  </si>
  <si>
    <t>tomer.barkai@omnisol.co.il</t>
  </si>
  <si>
    <t>זאיד</t>
  </si>
  <si>
    <t>szaid@univ.haifa.ac.il</t>
  </si>
  <si>
    <t>לובטון</t>
  </si>
  <si>
    <t>yossi@ehv.health</t>
  </si>
  <si>
    <t>yair@brain.space</t>
  </si>
  <si>
    <t>ישראל</t>
  </si>
  <si>
    <t>israel@brain.space</t>
  </si>
  <si>
    <t>alon.leibovich@ignitedeeptech.com</t>
  </si>
  <si>
    <t>סביון</t>
  </si>
  <si>
    <t>orly.savion@alagene.co.il</t>
  </si>
  <si>
    <t>יהודית</t>
  </si>
  <si>
    <t>זילברשטיין</t>
  </si>
  <si>
    <t>judith.zilberstein@alon-medtech.com</t>
  </si>
  <si>
    <t>אקהאוס</t>
  </si>
  <si>
    <t>shimon.eckhouse@alon-medtech.com</t>
  </si>
  <si>
    <t>שושי</t>
  </si>
  <si>
    <t>shoshi.zonabend-tamari@afeka.ac.il</t>
  </si>
  <si>
    <t>מרנקו</t>
  </si>
  <si>
    <t>kobi.marenko@arberobotics.com</t>
  </si>
  <si>
    <t>ארקין</t>
  </si>
  <si>
    <t>noam.arkind@arberobotics.com</t>
  </si>
  <si>
    <t>gavriel j. (gabi).iddan@artmedical.com</t>
  </si>
  <si>
    <t>בראון</t>
  </si>
  <si>
    <t>ori.braun@artmedical.com</t>
  </si>
  <si>
    <t>gavriel j..gabi@artmedical.com</t>
  </si>
  <si>
    <t>בן פורת</t>
  </si>
  <si>
    <t>tsvika.ben porat@birad.biz</t>
  </si>
  <si>
    <t>Managing Director</t>
  </si>
  <si>
    <t>bagahon@rise.assuta.co.il</t>
  </si>
  <si>
    <t>קאופמן</t>
  </si>
  <si>
    <t>galit.kaufman@rise.assuta.co.il</t>
  </si>
  <si>
    <t>berenboim@rise.assuta.co.il</t>
  </si>
  <si>
    <t>Innovation Manager</t>
  </si>
  <si>
    <t>orli@rise.assuta.co.il</t>
  </si>
  <si>
    <t>טיש</t>
  </si>
  <si>
    <t>guy.tish@briya.com</t>
  </si>
  <si>
    <t>מחפוז</t>
  </si>
  <si>
    <t>jafar.mahfouz@techlinic.com</t>
  </si>
  <si>
    <t>דגן</t>
  </si>
  <si>
    <t>amir.dagan@hadassah.org.il</t>
  </si>
  <si>
    <t>וולפהרט כהן</t>
  </si>
  <si>
    <t>zoharv@sce.ac.il</t>
  </si>
  <si>
    <t>moti.rebhun@gmail.com</t>
  </si>
  <si>
    <t>nadav.klein@vlx.co.il</t>
  </si>
  <si>
    <t>רוזנבלט</t>
  </si>
  <si>
    <t>barak.rozenblat@verbit.ai</t>
  </si>
  <si>
    <t>סיימון</t>
  </si>
  <si>
    <t>רפופורט</t>
  </si>
  <si>
    <t>simon.rapoport@verbit.ai</t>
  </si>
  <si>
    <t>elik.chapnik@weizmann.ac.il</t>
  </si>
  <si>
    <t>שפר</t>
  </si>
  <si>
    <t>menachem.shefer@labs02.com</t>
  </si>
  <si>
    <t>נוסם</t>
  </si>
  <si>
    <t>itzik@mshoham.co.il</t>
  </si>
  <si>
    <t>gal.atarot@medx.co.il</t>
  </si>
  <si>
    <t>אדיר</t>
  </si>
  <si>
    <t>evpr@technion.ac.il</t>
  </si>
  <si>
    <t>מרכוס</t>
  </si>
  <si>
    <t>shay.marcus@mor-research.com</t>
  </si>
  <si>
    <t>עדן</t>
  </si>
  <si>
    <t>eran.eden@me-med.com</t>
  </si>
  <si>
    <t>חפץ</t>
  </si>
  <si>
    <t>benny.chefetz@volcani.agri.gov.il</t>
  </si>
  <si>
    <t>גדות</t>
  </si>
  <si>
    <t>harel.gadot@microbotmedical.com</t>
  </si>
  <si>
    <t>simon.sharon@microbotmedical.com</t>
  </si>
  <si>
    <t>ששון</t>
  </si>
  <si>
    <t>ran@darom.life</t>
  </si>
  <si>
    <t>כהן שחרי</t>
  </si>
  <si>
    <t>sivan.cohen shachari@gmail.com</t>
  </si>
  <si>
    <t>אני</t>
  </si>
  <si>
    <t>annie@northmed.tech</t>
  </si>
  <si>
    <t>שינאווי</t>
  </si>
  <si>
    <t>rami.shinnawi@northmed.tech</t>
  </si>
  <si>
    <t>קליינר</t>
  </si>
  <si>
    <t>amir.kleiner@stratasys.com</t>
  </si>
  <si>
    <t>amir.samoiloff@sigasec.com</t>
  </si>
  <si>
    <t>erez.bar-niv@ceva-dsp.com</t>
  </si>
  <si>
    <t>מוקדי</t>
  </si>
  <si>
    <t>udi.mokady@cyber-ark.com</t>
  </si>
  <si>
    <t>אוריאל</t>
  </si>
  <si>
    <t>פרמן</t>
  </si>
  <si>
    <t>info@norterra.co.il</t>
  </si>
  <si>
    <t>uriel@norterra.co.il</t>
  </si>
  <si>
    <t>אדדי</t>
  </si>
  <si>
    <t>eli.adadi@cellcom.co.il</t>
  </si>
  <si>
    <t>ויקטור</t>
  </si>
  <si>
    <t>victor.malka@cellcom.co.il</t>
  </si>
  <si>
    <t>וקסמן</t>
  </si>
  <si>
    <t>david.waxman@sensoils.com</t>
  </si>
  <si>
    <t>מאירון</t>
  </si>
  <si>
    <t>tammy.meiron@fresh-start.co.il</t>
  </si>
  <si>
    <t>סלע</t>
  </si>
  <si>
    <t>ofer.sela@scanmaster-irt.com</t>
  </si>
  <si>
    <t>michael.bron@scanmaster-irt.com</t>
  </si>
  <si>
    <t>דימה</t>
  </si>
  <si>
    <t>dima.friedman@ceragon.com</t>
  </si>
  <si>
    <t>שנטל</t>
  </si>
  <si>
    <t>ori.shental@ceragon.com</t>
  </si>
  <si>
    <t>מימון</t>
  </si>
  <si>
    <t>ronnie.maimon@amit-pastry.com</t>
  </si>
  <si>
    <t>ברנרד</t>
  </si>
  <si>
    <t>bernard.maimon@amit-pastry.com</t>
  </si>
  <si>
    <t>שהם</t>
  </si>
  <si>
    <t>liat.shaham@city-zone.co</t>
  </si>
  <si>
    <t>טרבולסקי</t>
  </si>
  <si>
    <t>udi.trabolsky@city-zone.co</t>
  </si>
  <si>
    <t>פפה</t>
  </si>
  <si>
    <t>steve.papa@parallelwireless.com</t>
  </si>
  <si>
    <t>בלונדר</t>
  </si>
  <si>
    <t>sagi.blonder@percepto.co</t>
  </si>
  <si>
    <t>גולדברט</t>
  </si>
  <si>
    <t>sharon.goldbart@gmail.com</t>
  </si>
  <si>
    <t>david.tomer@kornit.com</t>
  </si>
  <si>
    <t>kobi.mann@kornit.com</t>
  </si>
  <si>
    <t>גלילה</t>
  </si>
  <si>
    <t>shaul@quantum-machines.co</t>
  </si>
  <si>
    <t>ריק</t>
  </si>
  <si>
    <t>וואלאס</t>
  </si>
  <si>
    <t>rick.wallace@kla-tencor.com</t>
  </si>
  <si>
    <t>צאי</t>
  </si>
  <si>
    <t>ben.tsai@kla.com</t>
  </si>
  <si>
    <t>yehuda.naveh@gmail.com</t>
  </si>
  <si>
    <t>אפשטיין</t>
  </si>
  <si>
    <t>benny.eppstein@radcom.com</t>
  </si>
  <si>
    <t>ilan.omer@raicol.com</t>
  </si>
  <si>
    <t>yoav.turgeman@rafael.co.il</t>
  </si>
  <si>
    <t>בועז</t>
  </si>
  <si>
    <t>אגור</t>
  </si>
  <si>
    <t>boaz.agur@tabor.co.il</t>
  </si>
  <si>
    <t>חיון</t>
  </si>
  <si>
    <t>yael.hayon@tami-imi.com</t>
  </si>
  <si>
    <t>uzi.levin@energy.gov.il</t>
  </si>
  <si>
    <t>אזולאי</t>
  </si>
  <si>
    <t>shimon.azulay@energy.gov.il</t>
  </si>
  <si>
    <t>Date</t>
  </si>
  <si>
    <t>Contact Email</t>
  </si>
  <si>
    <t>Contact Name</t>
  </si>
  <si>
    <t>Type</t>
  </si>
  <si>
    <t>Subject / Topic</t>
  </si>
  <si>
    <t>Owner</t>
  </si>
  <si>
    <t>Next Action</t>
  </si>
  <si>
    <t>Next Action Date</t>
  </si>
  <si>
    <t>_key</t>
  </si>
  <si>
    <t>Outreach</t>
  </si>
  <si>
    <t>Shir</t>
  </si>
  <si>
    <t>אדג' מדיקל ונצ'רס שותף כללי ,שותפות מוגבלת</t>
  </si>
  <si>
    <t>אומניסול מערכות מידע בע"מ</t>
  </si>
  <si>
    <t>אוניברסיטת בן-גוריון B.G. Technologies &amp; Application LTD Yazamut 360°</t>
  </si>
  <si>
    <t>אי אייץ' וי ישראל, שותפות מוגבלת</t>
  </si>
  <si>
    <t>אי. אי. ג'י-סנס בע"מ</t>
  </si>
  <si>
    <t>איון לאבס מעבדת חדשנות בע"מ</t>
  </si>
  <si>
    <t>אלאג'ן בע"מ</t>
  </si>
  <si>
    <t>אלון מדטק ונצ'רס בע"מ</t>
  </si>
  <si>
    <t>אפקה המכללה האקדמית להנדסה בת"א</t>
  </si>
  <si>
    <t>ארבה רובוטיקס בע"מ</t>
  </si>
  <si>
    <t>ארט מדיקל בע"מ</t>
  </si>
  <si>
    <t>ביודליה טכנולוגיות מיקרוביולוגיות בע"מ</t>
  </si>
  <si>
    <t>ביראד- חברה למחקר ופיתוח בע"מ</t>
  </si>
  <si>
    <t>בריאה מעבדות בע"מ</t>
  </si>
  <si>
    <t>גאיה פרטנרס - גלילאו סטודיו וונצ'רס בע"מ</t>
  </si>
  <si>
    <t>גינובייט (תיקליניק)</t>
  </si>
  <si>
    <t>גלילאו - מיגל מסחור טכנולוגיות בע"מ</t>
  </si>
  <si>
    <t>גראם ביוטק פאונדרי בע"מ</t>
  </si>
  <si>
    <t>הדסית שרותי מחקר רפואי ופתוח בע"מ</t>
  </si>
  <si>
    <t>המרכז האקדמי לב (ע"ר)</t>
  </si>
  <si>
    <t>וואי די לאבס בע"מ</t>
  </si>
  <si>
    <t>ורביט סופטוור בע"מ</t>
  </si>
  <si>
    <t>טרייג'נט</t>
  </si>
  <si>
    <t>לאבס 02 שותפות מוגבלת</t>
  </si>
  <si>
    <t>מ.שהם סחר בע"מ</t>
  </si>
  <si>
    <t>מד אקס אקסלרטור, שותפות מוגבלת</t>
  </si>
  <si>
    <t>מדעית שערי צדק בע"מ</t>
  </si>
  <si>
    <t>מוסד הטכניון למחקר ופיתוח בע"מ</t>
  </si>
  <si>
    <t>מור - מנכל מכון מור</t>
  </si>
  <si>
    <t>מור יישום מחקרים בע"מ</t>
  </si>
  <si>
    <t>מימד דיאגנוסטיקס בע"מ</t>
  </si>
  <si>
    <t>מיקרובוט מדיקל בע"מ</t>
  </si>
  <si>
    <t>מרכז החדשנות דרום בע"מ</t>
  </si>
  <si>
    <t>מרכז החדשנות נורת' מד בע"מ</t>
  </si>
  <si>
    <t>מרכז לביטחון וחוסן - נגב מערבי בע"מ</t>
  </si>
  <si>
    <t>סטרטסיס בע"מ</t>
  </si>
  <si>
    <t>סי-גה אבטחת מידע (2014) בע"מ</t>
  </si>
  <si>
    <t>סיוה טכנולוגיות, בע"מ</t>
  </si>
  <si>
    <t>סייברארק תוכנה בע"מ</t>
  </si>
  <si>
    <t>סינרג'י 7 בע"מ</t>
  </si>
  <si>
    <t>סלקום ישראל בע"מ</t>
  </si>
  <si>
    <t>סנסוייל אינוביישנס בע"מ</t>
  </si>
  <si>
    <t>סקאנמסטר סיסטמס (אי אר טי) בע"מ</t>
  </si>
  <si>
    <t>סרגון נטוורקס בע"מ</t>
  </si>
  <si>
    <t>עמית דברי מאפה קפואים (2003) בע"מ</t>
  </si>
  <si>
    <t>עתידים חברה לתעשיות עתירות מדע בע"מ (סיטיזון)</t>
  </si>
  <si>
    <t>פארק קאסם היי-טק בע"מ</t>
  </si>
  <si>
    <t>פיזיקל לוגיק בע"מ</t>
  </si>
  <si>
    <t>פלסקולייט ישראל בע"מ</t>
  </si>
  <si>
    <t>פס-גון (1996) בע"מ</t>
  </si>
  <si>
    <t>פרלאל וויירליס ישראל בע"מ</t>
  </si>
  <si>
    <t>פרספטו רובוטיקס בע"מ.</t>
  </si>
  <si>
    <t>צפונטק הגליל בע"מ</t>
  </si>
  <si>
    <t>קיו. אמ. טקנולוג'יז בע"מ</t>
  </si>
  <si>
    <t>קלא - טנכור קורפוריישן (ישראל)</t>
  </si>
  <si>
    <t>קרן מחקרים ושירותי בריאות-שיבא</t>
  </si>
  <si>
    <t>רדקום בע"מ</t>
  </si>
  <si>
    <t>רייקול גבישים בע"מ</t>
  </si>
  <si>
    <t>רפאל מערכות לחימה מתקדמות בע"מ</t>
  </si>
  <si>
    <t>שחר תשלובות בע"מ</t>
  </si>
  <si>
    <t>תבור אלקטרוניקס בע"מ</t>
  </si>
  <si>
    <t>תמי-מכון לפיתוח בע"מ</t>
  </si>
  <si>
    <t>תשתיות אנרגיה בע"מ</t>
  </si>
  <si>
    <t>שיר - קורס AI</t>
  </si>
  <si>
    <t>אקסיומה רובוטיקס בע"מ</t>
  </si>
  <si>
    <t>רשהח"ד 2025</t>
  </si>
  <si>
    <t>ביוטיק סירקולר טכנולוגיות בע"מ</t>
  </si>
  <si>
    <t>קלארו איי איי בע"מ</t>
  </si>
  <si>
    <t>קופיילוט אמ.די בע"מ</t>
  </si>
  <si>
    <t>למו טק בע"מ</t>
  </si>
  <si>
    <t>מושן אנליטיקס בע"מ</t>
  </si>
  <si>
    <t>ג'ין סטייל א.איי בע"מ</t>
  </si>
  <si>
    <t>טרטדש בע"ם Threatdash LTD</t>
  </si>
  <si>
    <t>גרינגיין אנרג'י בע"מ</t>
  </si>
  <si>
    <t>טווין פתרונות בע"מ</t>
  </si>
  <si>
    <t>ה.י. ניאו-ריי לאבס בע"מ</t>
  </si>
  <si>
    <t>קוואמקור בע"מ</t>
  </si>
  <si>
    <t>אי אס איי אל טכנולוגיות, שותפות מוגבלת</t>
  </si>
  <si>
    <t>סאינאי אימונותרפאוטיקה בע"מ</t>
  </si>
  <si>
    <t>טראומה סינק בע"מ</t>
  </si>
  <si>
    <t>אייפקס ביו בע"מ</t>
  </si>
  <si>
    <t>רמוט אנרג'י בע"מ</t>
  </si>
  <si>
    <t>ויריטיס בע"מ</t>
  </si>
  <si>
    <t>סולידטי טכנולוגיות בע"מ</t>
  </si>
  <si>
    <t>ס.פ. ספירפוינט בע"מ</t>
  </si>
  <si>
    <t>הפירוויז'ן בע"מ</t>
  </si>
  <si>
    <t>אלסוויי בע"מ</t>
  </si>
  <si>
    <t>וורבל דיוויסס בע"מ</t>
  </si>
  <si>
    <t>שרמ, ב.סק, מבא</t>
  </si>
  <si>
    <t>לימאקה מדיקל בע"מ</t>
  </si>
  <si>
    <t>וויש היר - שמיעה עצמית מדומה בע"מ</t>
  </si>
  <si>
    <t>אוראוול בע"מ</t>
  </si>
  <si>
    <t>וי.איץ.טו.או בע"מ</t>
  </si>
  <si>
    <t>קרדיונט בע"מ</t>
  </si>
  <si>
    <t>אדיוניקס ישראל בע"מ</t>
  </si>
  <si>
    <t>אקסלתא בע"מ</t>
  </si>
  <si>
    <t>מהנדס מערכת מוביל AI</t>
  </si>
  <si>
    <t>שיבא אימפקט בע"מ</t>
  </si>
  <si>
    <t>בית החולים הציבורי אסותא אשדוד (ע״ר)</t>
  </si>
  <si>
    <t>קבוצת טרנדליינס בע"מ</t>
  </si>
  <si>
    <t>כמאי אנטרפרייזס בע"מ</t>
  </si>
  <si>
    <t>אנדופולס בע"מ</t>
  </si>
  <si>
    <t>אג'ייל מ.ר.י בע"מ</t>
  </si>
  <si>
    <t>אינטגריטי דיאגנוסטיקס בע"מ</t>
  </si>
  <si>
    <t>פיינלי פודס בע"מ</t>
  </si>
  <si>
    <t>גביש-פרידמן</t>
  </si>
  <si>
    <t>לוסיקס טכנולוגיות בע"מ</t>
  </si>
  <si>
    <t>קוגנטה בע"מ</t>
  </si>
  <si>
    <t>קריאטרה אינוביישנס בע"מ</t>
  </si>
  <si>
    <t>קמביום (2014) בע"מ</t>
  </si>
  <si>
    <t>התעשיה האוירית לישראל בע"מ</t>
  </si>
  <si>
    <t>בוקסאוןמפ בע"מ</t>
  </si>
  <si>
    <t>אי אקו גארד בע"מ</t>
  </si>
  <si>
    <t>יוניקה דנטל בע"מ</t>
  </si>
  <si>
    <t>ריסיינפס ת'רפויטיקס</t>
  </si>
  <si>
    <t>פאסטברייק מדיקל בע"מ</t>
  </si>
  <si>
    <t>מ.ס.טק בע"מ</t>
  </si>
  <si>
    <t>אקסיון אנרגיה בע"מ</t>
  </si>
  <si>
    <t>טריטוסקופ בע"מ</t>
  </si>
  <si>
    <t>גורדיאן סרג'יקל בע"מ</t>
  </si>
  <si>
    <t>טראפיוטיקס פארמה בע"מ</t>
  </si>
  <si>
    <t>תורג'מן</t>
  </si>
  <si>
    <t>ווידאאוט בע"מ</t>
  </si>
  <si>
    <t>פבריקום איי או טי בע"מ</t>
  </si>
  <si>
    <t>פדריישן קלאוד בע"מ</t>
  </si>
  <si>
    <t>בן-זוי</t>
  </si>
  <si>
    <t>גרפניקה בע"מ</t>
  </si>
  <si>
    <t>אנטי קלבסי בע"מ</t>
  </si>
  <si>
    <t>ארוסנטרי טכנולוגיות בע"מ</t>
  </si>
  <si>
    <t>די-איידנטיפיקטיון בע"מ</t>
  </si>
  <si>
    <t>ווינגס איי.אל בע"מ</t>
  </si>
  <si>
    <t>פייז מדיקל בע"מ</t>
  </si>
  <si>
    <t>ריאג'ניקס מחקר</t>
  </si>
  <si>
    <t>ספארק לאבס בע"מ</t>
  </si>
  <si>
    <t>סוללות בתלת מימד בע"מ</t>
  </si>
  <si>
    <t>מוביילפיזיקס בע"מ</t>
  </si>
  <si>
    <t>אבי-קיור בע"מ</t>
  </si>
  <si>
    <t>פורום המשקיעים בע"מ</t>
  </si>
  <si>
    <t>איירוויז דרונז בע"מ</t>
  </si>
  <si>
    <t>קולינג קרופס בע"מ</t>
  </si>
  <si>
    <t>גליל אופק חדשנות בע"מ</t>
  </si>
  <si>
    <t>טרי-לוגיקל טכנולוגיות בע"מ</t>
  </si>
  <si>
    <t>אונקו אקסס בע"מ</t>
  </si>
  <si>
    <t>פרוט או אייצ' בע"מ</t>
  </si>
  <si>
    <t>הופק פארמה בע"מ</t>
  </si>
  <si>
    <t>מודקון מערכות בע"מ</t>
  </si>
  <si>
    <t>מדהסנס ביומטריקס בע"מ</t>
  </si>
  <si>
    <t>מגנ"א - בי.אס.פי. בע"מ</t>
  </si>
  <si>
    <t>ברוק תעופה בע"מ</t>
  </si>
  <si>
    <t>תרמג'יקס בע"מ</t>
  </si>
  <si>
    <t>ווי-אגרי</t>
  </si>
  <si>
    <t>קטאמון טכנולוגיות בע"מ</t>
  </si>
  <si>
    <t>פרקומט אינטרנשיונל בע"מ</t>
  </si>
  <si>
    <t>כרמל אולפינים בע"מ</t>
  </si>
  <si>
    <t>יוג'ין</t>
  </si>
  <si>
    <t>פוטופיל דיינמיקס בע"מ</t>
  </si>
  <si>
    <t>קיוריספונס בע"מ</t>
  </si>
  <si>
    <t>אקופאג' בע"מ</t>
  </si>
  <si>
    <t>לייטיקס סיסטמס בע"מ</t>
  </si>
  <si>
    <t>פולימרטל בע"מ</t>
  </si>
  <si>
    <t>מלאנתה פודס בע"מ</t>
  </si>
  <si>
    <t>מיליווייז טכנולוגיות בע"מ</t>
  </si>
  <si>
    <t>חאסוב לאבס בע"מ (חל"צ)</t>
  </si>
  <si>
    <t>א.ס. אמבדד סולושנס 3000</t>
  </si>
  <si>
    <t>פלג-שולמן</t>
  </si>
  <si>
    <t>קורנית דיגיטל בע"מ</t>
  </si>
  <si>
    <t>מעודה-קוניק</t>
  </si>
  <si>
    <t>הרשקוביץ (גם יסראל)</t>
  </si>
  <si>
    <t>(אריק) כהן</t>
  </si>
  <si>
    <t>ג.</t>
  </si>
  <si>
    <t>וויקום תחבורה חכמה בע"מ</t>
  </si>
  <si>
    <t>סנסטיישן טכנולוגיות בע"מ</t>
  </si>
  <si>
    <t>דוקפלו בע"מ</t>
  </si>
  <si>
    <t>סייטורה בע"מ</t>
  </si>
  <si>
    <t>ואנפאס מדיקל בע"מ</t>
  </si>
  <si>
    <t>ג'ניה</t>
  </si>
  <si>
    <t>פיירוויב א.אי. בע"מ</t>
  </si>
  <si>
    <t>ביומאקס בע"מ</t>
  </si>
  <si>
    <t>עדן מטריאלס בע"מ</t>
  </si>
  <si>
    <t>ג'ורדן</t>
  </si>
  <si>
    <t>סאב-קיו ביוניקס</t>
  </si>
  <si>
    <t>פמינאי בע"מ</t>
  </si>
  <si>
    <t>פיקומרס איי אי רובוטיקס בע"מ</t>
  </si>
  <si>
    <t>נובלה טכנולוגיה חדשנית בע"מ</t>
  </si>
  <si>
    <t>גולדין-אזולי</t>
  </si>
  <si>
    <t>רוג'ר</t>
  </si>
  <si>
    <t>אטומיקס אר אקס בע"מ</t>
  </si>
  <si>
    <t>טקסטרי בע"מ</t>
  </si>
  <si>
    <t>אומניקס מדיקל בע"מ</t>
  </si>
  <si>
    <t>אקסג'ט</t>
  </si>
  <si>
    <t>אם-פאנד ניהול בע"מ</t>
  </si>
  <si>
    <t>מארבל אקס בע"מ</t>
  </si>
  <si>
    <t>כהן-ינאי</t>
  </si>
  <si>
    <t>אלמנטיקס אי איי בע"מ</t>
  </si>
  <si>
    <t>פוקאל טכנולוגיה רפואית בע"מ</t>
  </si>
  <si>
    <t>מוריקא יזמות בע"מ</t>
  </si>
  <si>
    <t>סיל מינרלים בע"מ</t>
  </si>
  <si>
    <t>טרסייט אנליטיקס בע"מ</t>
  </si>
  <si>
    <t>כאהן-חנום</t>
  </si>
  <si>
    <t>טרייסלס בע"מ</t>
  </si>
  <si>
    <t>6 מעלות</t>
  </si>
  <si>
    <t>סנסורז טק בע"מ</t>
  </si>
  <si>
    <t>שלושה קירות בע"מ</t>
  </si>
  <si>
    <t>סלופלאקס בע"מ</t>
  </si>
  <si>
    <t>שרמן דיאגנוסטיקה בע"מ</t>
  </si>
  <si>
    <t>עייט עדכוני ידע ויישומים טכנולוגים בע"מ</t>
  </si>
  <si>
    <t>אקסודוס טכנולוג'י בע"מ</t>
  </si>
  <si>
    <t>זעפרן-טק</t>
  </si>
  <si>
    <t>סליטלד בע"מ</t>
  </si>
  <si>
    <t>אגמונטק טכנולוגיות (ישראל) בע"מ</t>
  </si>
  <si>
    <t>איי.אס-</t>
  </si>
  <si>
    <t>חיים פארמה גרופ ב"ם</t>
  </si>
  <si>
    <t>פאודר פיולס בע"מ</t>
  </si>
  <si>
    <t>קמטאי בע"מ</t>
  </si>
  <si>
    <t>טדנס בע"מ</t>
  </si>
  <si>
    <t>י.מ.א ייצור מוצרי אריזה בע"מ</t>
  </si>
  <si>
    <t>ספינאדג'</t>
  </si>
  <si>
    <t>אינוג'ט בע"מ</t>
  </si>
  <si>
    <t>מרכז הפלסטיקה והגומי לישראל (1986)</t>
  </si>
  <si>
    <t>ג. את ט. תעשיות ומסחר בע"מ</t>
  </si>
  <si>
    <t>סקיל ריל בע"מ</t>
  </si>
  <si>
    <t>איונרה ביו בע"מ</t>
  </si>
  <si>
    <t>קוגנישיין טיפול וחינוך בע"מ</t>
  </si>
  <si>
    <t>ביואקסטרים בע"מ</t>
  </si>
  <si>
    <t>כיראל בע"מ</t>
  </si>
  <si>
    <t>שן-טל</t>
  </si>
  <si>
    <t>המרכז למחשוב קוואנטי בע"מ</t>
  </si>
  <si>
    <t>נובלסט בע"מ</t>
  </si>
  <si>
    <t>מייק מיי דיי בע"מ</t>
  </si>
  <si>
    <t>לוסיד ווסקולר בע"מ</t>
  </si>
  <si>
    <t>סקייפורס בע"מ</t>
  </si>
  <si>
    <t>שרגא-חלד</t>
  </si>
  <si>
    <t>אנאקיור מדיקל בע"מ</t>
  </si>
  <si>
    <t>דומא אופטרוניקה בע"מ</t>
  </si>
  <si>
    <t>דיוקס הלתקר בע"מ</t>
  </si>
  <si>
    <t>לייפקורד בע"מ</t>
  </si>
  <si>
    <t>ג'וסף</t>
  </si>
  <si>
    <t>פרגננטק בע"מ</t>
  </si>
  <si>
    <t>סטומטופ בע"מ</t>
  </si>
  <si>
    <t>קרונוס רחפנים אוטונומיים בע"מ</t>
  </si>
  <si>
    <t>סייפפילדס טכנולוגיות בע"מ</t>
  </si>
  <si>
    <t>קופרינט טכנולוגיות בע"מ</t>
  </si>
  <si>
    <t>שיפטרס מערכות רובוטיות בע"מ</t>
  </si>
  <si>
    <t>אי.זי.אנ.גי טכנולוגיות בע"מ</t>
  </si>
  <si>
    <t>אנרוויב בע"מ</t>
  </si>
  <si>
    <t>פלייטאופס בע"מ</t>
  </si>
  <si>
    <t>פאט פודטק בע"מ</t>
  </si>
  <si>
    <t>מרכז לטיפוח יזמות חיפה - מט"י</t>
  </si>
  <si>
    <t>פרוסקאוט . אי. איי</t>
  </si>
  <si>
    <t>איכילוב טק בע"מ</t>
  </si>
  <si>
    <t>לייטביסי בע"מ</t>
  </si>
  <si>
    <t>ארט ביוסיינס בע"מ</t>
  </si>
  <si>
    <t>אלומה אנדווסקולר סיסטמס בע"מ</t>
  </si>
  <si>
    <t>רמב"ם מד-טק בע"מ</t>
  </si>
  <si>
    <t>סליגנוסטיקס בע"מ</t>
  </si>
  <si>
    <t>איי.אל אנג'ל קלאב בע"מ</t>
  </si>
  <si>
    <t>רברטו בע"מ</t>
  </si>
  <si>
    <t>איי.אר מד בע"מ</t>
  </si>
  <si>
    <t>פאראגייט מדיקל בע"מ</t>
  </si>
  <si>
    <t>סומסנס בע"מ</t>
  </si>
  <si>
    <t>וויזרי לאבס בע"מ</t>
  </si>
  <si>
    <t>ווילקס טכנולוגיות בע"מ</t>
  </si>
  <si>
    <t>פורסי גנומיקס בע"מ</t>
  </si>
  <si>
    <t>סנסירה בע"מ</t>
  </si>
  <si>
    <t>קלארו 3 די ננו פרינתינג סולושינס בע"מ</t>
  </si>
  <si>
    <t>רבינוביץ'</t>
  </si>
  <si>
    <t>קאנזו דיאגנוסטיקה בע"מ</t>
  </si>
  <si>
    <t>מוקארט בע"מ</t>
  </si>
  <si>
    <t>מאקאלו אופטיקס בע"מ</t>
  </si>
  <si>
    <t>וי-קוראלס בע"מ</t>
  </si>
  <si>
    <t>ילפימץ'ב</t>
  </si>
  <si>
    <t>דיאמיק סמיקונדקטורס בע"ם</t>
  </si>
  <si>
    <t>טכנופאלם בע"מ</t>
  </si>
  <si>
    <t>פוליגרין בע"מ</t>
  </si>
  <si>
    <t>אינפינידום בע"מ</t>
  </si>
  <si>
    <t>איווה אנרגיה בע"מ</t>
  </si>
  <si>
    <t>ג'נסיס מדיקל אי.איי</t>
  </si>
  <si>
    <t>מדיום וול פתרונות טכנולוגיים בע"מ</t>
  </si>
  <si>
    <t>למבס ביו בע"מ</t>
  </si>
  <si>
    <t>קוואי אם די בע"מ</t>
  </si>
  <si>
    <t>חממת כרמיאל לתעשייה חכמה בע"מ</t>
  </si>
  <si>
    <t>סיד טק תמד בע"מ</t>
  </si>
  <si>
    <t>מנדל ביו בע"מ</t>
  </si>
  <si>
    <t>אדריכל / מנהל איכות סביבה</t>
  </si>
  <si>
    <t>פריסימוס טכנולוגיות בע"מ</t>
  </si>
  <si>
    <t>לומיוויב בע"מ</t>
  </si>
  <si>
    <t>ניורוג'נסיס בע"מ</t>
  </si>
  <si>
    <t>פלקס פרטנרס בע"מ</t>
  </si>
  <si>
    <t>אוליגו ביוטק בע"מ</t>
  </si>
  <si>
    <t>אי אי פרום סקראפס בע"מ</t>
  </si>
  <si>
    <t>וורטקס אימג'ינג בע"מ</t>
  </si>
  <si>
    <t>אגאדו לייב בע"מ</t>
  </si>
  <si>
    <t>ביוארמיקס בע"מ</t>
  </si>
  <si>
    <t>לוגו מיכון וחדשנות בע"מ</t>
  </si>
  <si>
    <t>סיגנלאדג' סיסטמס</t>
  </si>
  <si>
    <t>סינוביישן אילת אילות בע"מ</t>
  </si>
  <si>
    <t>קאפאוו טכנולוגיות בע"מ</t>
  </si>
  <si>
    <t>הבית לעידוד ימות והשקעות בי די או בע"מ</t>
  </si>
  <si>
    <t>סייקיו אבטחת מידע פוסט קוואנטית בע"מ</t>
  </si>
  <si>
    <t>ג'ראיסה</t>
  </si>
  <si>
    <t>סורליס בע"מ</t>
  </si>
  <si>
    <t>רוד 2 חדשנות בע"מ</t>
  </si>
  <si>
    <t>טי דבליו אם - צדיק וייזר מדיקל בע"מ</t>
  </si>
  <si>
    <t>נ.ט. טאו בע"מ</t>
  </si>
  <si>
    <t>פלסאל פלסטיק בע"מ</t>
  </si>
  <si>
    <t>וואטר טרקר בע"מ</t>
  </si>
  <si>
    <t>ניט אפלייד טכנולוגיות בע"מ</t>
  </si>
  <si>
    <t>פרופיל די.אן.איי בע"מ</t>
  </si>
  <si>
    <t>ביו הרווסט בע"מ</t>
  </si>
  <si>
    <t>קאנדו דרונס בע"מ</t>
  </si>
  <si>
    <t>סיויקלאבס בע"מ</t>
  </si>
  <si>
    <t>ננו גוסטס בע"מ</t>
  </si>
  <si>
    <t>פאיירו אייץ' 2 בע"מ</t>
  </si>
  <si>
    <t>גטס - גלובל אינגינרינג טסטינג סלושינס בע"מ</t>
  </si>
  <si>
    <t>ואליד.איט פיתרון אבחון בע"מ</t>
  </si>
  <si>
    <t>וי - פלואו 21 בע"מ</t>
  </si>
  <si>
    <t>אן טכנולוגיה וחינוך בע"מ</t>
  </si>
  <si>
    <t>פראג'</t>
  </si>
  <si>
    <t>סולרה פוטו-וולטאי בע"מ</t>
  </si>
  <si>
    <t>ניוטון וי. אר. בע"מ</t>
  </si>
  <si>
    <t>אינפיניפלקס בע"מ</t>
  </si>
  <si>
    <t>מיזם חדשנות טכנולוגי הפועל לפיתוח, האצה והבשלה של פתרונות חדשים.</t>
  </si>
  <si>
    <t>עמותה המנגישה מים נקיים וחשמל סולארי לקהילות כפריות באפריקה בעזרת טכנולוגיה ישראלית.</t>
  </si>
  <si>
    <t>חברת תוכנה המפתחת מערכות ניהול מידע וידע מבוססות AI ואונטולוגיות.</t>
  </si>
  <si>
    <t>קרן הון סיכון בתחום הבריאות הדיגיטלית והמדטק המשקיעה בשלבים מוקדמים.</t>
  </si>
  <si>
    <t>לייבוביץ'</t>
  </si>
  <si>
    <t>חממת מדטק המשקיעה ומלווה מיזמים בשלבים מוקדמים בתחום המכשור הרפואי.</t>
  </si>
  <si>
    <t>זונאבנד-תמרי</t>
  </si>
  <si>
    <t>מפתחת רדאר הדמייתי 4D לרכב אוטונומי ומערכות סיוע לנהג.</t>
  </si>
  <si>
    <t>י. (גבי) עידן</t>
  </si>
  <si>
    <t>י. גבי</t>
  </si>
  <si>
    <t>זרוע החדשנות של אסותא המקדמת פיתוח והטמעה של טכנולוגיות רפואיות ודאטה רפואי.</t>
  </si>
  <si>
    <t>פלטפורמה מאובטחת למחקר רפואי וניתוח נתוני בריאות בעזרת AI.</t>
  </si>
  <si>
    <t>ג'פר</t>
  </si>
  <si>
    <t>חברת CDMO המתמחה בפיתוח, פרמנטציה וייצור לתעשיות ביוטק, מזון ובריאות.</t>
  </si>
  <si>
    <t>ונצ'ר סטודיו ופלטפורמת הקמת חברות המתמקדת בעיקר במיזמי ביופארמה.</t>
  </si>
  <si>
    <t>פלטפורמת AI לתמלול, כתוביות והנגשת אודיו-וידאו לארגונים.</t>
  </si>
  <si>
    <t>צ'פניק</t>
  </si>
  <si>
    <t>זרוע המסחור של מכון ויצמן המקדמת מסחור קניין רוחני והקמת חברות.</t>
  </si>
  <si>
    <t>ונצ'ר אינקובטור המלווה ומשקיע בסטארטאפי דיפטק בשלבים מוקדמים.</t>
  </si>
  <si>
    <t>ספקית מובילה של טכנולוגיות, מערכות ופתרונות לייזר לתעשייה ולמחקר.</t>
  </si>
  <si>
    <t>אקסלרטור למדטק המלווה יזמים וחברות רפואיות בשלבי צמיחה מוקדמים.</t>
  </si>
  <si>
    <t>זרוע המחקר, הפיתוח והמסחור של הטכניון.</t>
  </si>
  <si>
    <t>קהילת חדשנות המקדמת טכנולוגיות לחיים בני-קיימא באקלים צחיח.</t>
  </si>
  <si>
    <t>חברה גלובלית מובילה במדפסות תלת-ממד ופתרונות ייצור בתוספת חומר.</t>
  </si>
  <si>
    <t>בר-ניב</t>
  </si>
  <si>
    <t>חברת IP לשבבים המפתחת טכנולוגיות לקישוריות אלחוטית, חישה ו-Edge AI.</t>
  </si>
  <si>
    <t>מובילה עולמית באבטחת זהויות, הרשאות וגישה מועדפת בארגונים.</t>
  </si>
  <si>
    <t>מיזם אזורי לקידום חדשנות אקלימית, שיתופי פעולה ופתרונות קיימות בצפון.</t>
  </si>
  <si>
    <t>אחת מחברות התקשורת הגדולות בישראל, המספקת סלולר, אינטרנט ופתרונות עסקיים.</t>
  </si>
  <si>
    <t>מפתחת מערכות ניטור בזמן אמת לזרימת מים ומזהמים בקרקע ולשמירה על מי תהום.</t>
  </si>
  <si>
    <t>מפתחת מערכות בדיקה אולטרסוניות מתקדמות לבקרת איכות תעשייתית.</t>
  </si>
  <si>
    <t>ספקית פתרונות קישוריות אלחוטית מקצה לקצה לרשתות תקשורת ולתשתיות קריטיות.</t>
  </si>
  <si>
    <t>יצרנית ומשווקת מאפים, לחמים ומוצרי אפייה קפואים לשוק המקומי והבינלאומי.</t>
  </si>
  <si>
    <t>פלטפורמת ההייטק של צפון ישראל המחברת טאלנט, חברות, משרות ואתרי פיילוט.</t>
  </si>
  <si>
    <t>מובילה עולמית בפתרונות הדפסה דיגיטלית בת-קיימא לטקסטיל ואופנה לפי דרישה.</t>
  </si>
  <si>
    <t>חברת קוונטום המפתחת מערכות בקרה ותוכנה למחשוב קוונטי.</t>
  </si>
  <si>
    <t>ספקית גלובלית של ציוד ובקרת תהליכים לתעשיית השבבים והאלקטרוניקה.</t>
  </si>
  <si>
    <t>חברת תוכנה קוונטית המאפשרת תכנון, אופטימיזציה והרצה של אלגוריתמים קוונטיים.</t>
  </si>
  <si>
    <t>ספקית פתרונות AI-native לאבטחת איכות, אנליטיקה ואוטומציה ברשתות 5G.</t>
  </si>
  <si>
    <t>יצרנית גבישים אופטיים ורכיבים אלקטרו-אופטיים למערכות לייזר ופוטוניקה.</t>
  </si>
  <si>
    <t>חברה ביטחונית מובילה המפתחת מערכות הגנה וטכנולוגיות מתקדמות לשוק הביטחוני.</t>
  </si>
  <si>
    <t>חברת התשתית הלאומית של משק הדלק והאנרגיה בישראל.</t>
  </si>
  <si>
    <t>הנדסת מערכת ואינטגרציה לבטחון, HLS וערים חכמות</t>
  </si>
  <si>
    <t>פלטפורמת תגמולים לקהילה ברשתות, מבוססת AI</t>
  </si>
  <si>
    <t>גוף המחקר והחדשנות של שיבא המוביל מחקר רפואי, שיתופי פעולה והאצת מיזמים.</t>
  </si>
  <si>
    <t>חברת מחקר ו-AI המפתחת כלים אוטומטיים למיפוי וחקר רשתות עצביות במוח.</t>
  </si>
  <si>
    <t>יחידת המסחור והיזמות של אוניברסיטת בן-גוריון המחברת מחקר אקדמי לתעשייה ולסטארטאפים.</t>
  </si>
  <si>
    <t>חברת מסחור הטכנולוגיות של מיגל לקידום מחקר, פטנטים וספין-אופים.</t>
  </si>
  <si>
    <t>בשר מתורבת (cultivated meat) ופתרונות ייצור</t>
  </si>
  <si>
    <t>Innovation Hub של Volkswagen בישראל</t>
  </si>
  <si>
    <t>ניתוח רגשות בקול באמצעות AI</t>
  </si>
  <si>
    <t>וידאו ו-AI למערכות בלתי מאוישות/אוטונומיות</t>
  </si>
  <si>
    <t>חברת טכנולוגיה הפועלת סביב פיתוח פתרונות חדשניים עם מיקוד במוצרים וחומרים מתקדמים.</t>
  </si>
  <si>
    <t>מערכות ותוכנה (מגו אפק)</t>
  </si>
  <si>
    <t>ציוד תצוגה, מסכים ומקרנים</t>
  </si>
  <si>
    <t>פלטפורמת קישוריות לטלה-אופרציה של רכבים אוטונומיים</t>
  </si>
  <si>
    <t>מרכז חדשנות ותעסוקה טכנולוגית המקדֵם יזמות, הכשרות וחיבורים לחברה הערבית.</t>
  </si>
  <si>
    <t>מוסד אקדמי ירושלמי להכשרת מהנדסים ולקידום חדשנות יישומית.</t>
  </si>
  <si>
    <t>יצרנית מוצרי פיברגלס וחומרים מרוכבים לתעשייה, תשתיות, רפואה וביטחון.</t>
  </si>
  <si>
    <t>מפתחת ומייצרת חיישני MEMS ואקסלרומטרים מדויקים לניווט ויישומים מתקדמים.</t>
  </si>
  <si>
    <t>יצרנית גלובלית של לוחות תרמופלסטיים ופתרונות פולימריים לתעשייה ולבנייה.</t>
  </si>
  <si>
    <t>קבוצה טכנולוגית ההופכת פסולת למשאב באמצעות פתרונות Waste-to-Feed ומערכות סביבתיות.</t>
  </si>
  <si>
    <t>מיזם חדשנות אזורי המקדם יזמות, תעסוקה והייטק בפריפריה.</t>
  </si>
  <si>
    <t>חברה המספקת שירותי עיקור, בדיקות מעבדה ובקרת איכות למכשור רפואי ותעשייה.</t>
  </si>
  <si>
    <t>מפתחת פתרונות לבישים, לא פולשניים וללא תרופות לטיפול בכאב ומיגרנה.</t>
  </si>
  <si>
    <t>מאסטרבאצ׳, קומפאונדים ותוספים לפלסטיק</t>
  </si>
  <si>
    <t>מוסד אקדמי המשלב לימודי הנדסה, מדעים וטכנולוגיה עם הכשרה יישומית.</t>
  </si>
  <si>
    <t>פתרונות ותפעול כלי טיס בלתי מאוישים (UAS)</t>
  </si>
  <si>
    <t>גוף יישום ומסחור של מחקר רפואי, בדגש על מכשור רפואי, דיאגנוסטיקה ודיגיטל הלת'.</t>
  </si>
  <si>
    <t>ליווי יזמים ועסקים, חללי עבודה</t>
  </si>
  <si>
    <t>ציוד RF ואנטנות למערכות בדיקה</t>
  </si>
  <si>
    <t>מוסד אקדמי, הטכניון</t>
  </si>
  <si>
    <t>תוכנה לניהול IT ו-ITSM (BMC Helix)</t>
  </si>
  <si>
    <t>LiDAR solid-state לרכב ותעשייה</t>
  </si>
  <si>
    <t>זרוע החדשנות והמסחור של המרכז הרפואי שערי צדק.</t>
  </si>
  <si>
    <t>פיוז׳ן חיישנים ל-UAV בעזרת AI</t>
  </si>
  <si>
    <t>ייעוץ וכלים ל-ESG ותכניות SDG</t>
  </si>
  <si>
    <t>מובילה עולמית בפתרונות אריזה ועטיפה לחקלאות ולחבילות קש.</t>
  </si>
  <si>
    <t>אקווה-קאלצ׳ר (חברת אקווקולטורה)</t>
  </si>
  <si>
    <t>יצרנית פתרונות פלסטיק ואריזה ליישומים תעשייתיים ומסחריים.</t>
  </si>
  <si>
    <t>ניהול תפעול/פרויקטים (נוי עד)</t>
  </si>
  <si>
    <t>אוסף הזרם התלת מימדי שפיתחה החברה ניתן לשילוב במגוון סוללות. רכיב זה מאפשר הן הורדת כמות הנחושת והאלומיניום המשמשים בייצור סוללות והן שיפור ביצועי הסוללות, כגון הפקת חשמל מוגברת, זמן טעינה קצר ועוד.</t>
  </si>
  <si>
    <t>חברה ביו-פארמה המתמקדת בפיתוח תרופות פורצות דרך שהנן תוצרי תאים, לטיפול במחלות פיברוטיות אשר אין להם  מענה.</t>
  </si>
  <si>
    <t>ריסיינפס ת'רפויטיקס עונה על הצורך הקריטי בטיפולים יעילים יותר לדיכאון עמיד והפרעות חרדה. ריסיינפס מפתחת תרופות חדשות המטרגטות שילובים ספציפיים של קולטני סרוטונין לשם מודולציה סרוטונרגית, במטרה להשפעה מהירה, שיפור יעילות והפחתת תופעות לוואי.</t>
  </si>
  <si>
    <t>BeCapio מפתחת פתרון לא-פולשני וחדשני לטיפול בדליפת צואה. הטכנולוגיה משלבת גירוי חשמלי חיצוני עם תמיכה מכנית מתקדמת, ומאפשרת הקלה מיידית לצד שיפור ארוך טווח. המוצר נלבש כהתקן חיצוני, מותאם לשימוש יומיומי, ומציע חלופה למטופלים שאינם מצליחים עם טיפולים</t>
  </si>
  <si>
    <t>Jupiter-EV מבית פרקומט - מרכז טעינה מהירה (EV Charging Hub), פתרון מהפכני לחסמים בשוק ה-EV: מחסור במקום ובאנרגיה. הפתרון מאפשר להגדיל את מרחבי חניה וטעינה באזורים מוגבלים, לספק אנרגיה זמינה באמצעות BESS, וגם בקרת אקלים לייעול הטעינה וחיסכון באנרגיה.</t>
  </si>
  <si>
    <t>פארק שרון (מרכז עסקים/חדשנות)</t>
  </si>
  <si>
    <t>פיירווייב היא חברת טכנולוגית שמטרתה להתמודד עם אחת האתגרים הסביבתיים הדחופים ביותר בזמננו: האיום ההולך וגובר של שריפות יער. החברה נוסדה על ידי ד"ר ג'ניה יורקובסקי ואדוארד גרינברג, על מנת לפתח מערכת חדשנית לגילוי מוקדם של שריפות יער.</t>
  </si>
  <si>
    <t>חברת רנובייט ת׳רפוטיקס מפתחת טיפול ראשון מסוגו בעולם לאי ספיקת כליות כרונית.</t>
  </si>
  <si>
    <t>חברת NOVELLA הינה סטארט-אפ ישראלי  בתחום הביוטק, הוקמה בשנת 2022, ופיתחה טכנולוגיה מדעית ייחודית לייצור מסחרי של  מרכיבים בריאותיים רבי עוצמה ממקור צמחי, באמצעות ביוראקטורים .  הטכנולוגיה המפותחת בחברתNovella  מאפשרת ייצור בלתי מוגבל ובלתי מותנה של ת…</t>
  </si>
  <si>
    <t>אומניקס הוקמה ב 2015 וממוקמת בכפר ההייטק שבגבעת-רם, ירושלים (www.omnixmedical.com). אנחנו עוסקים בפיתוח של תרופות אנטיביוטיות חדשניות המבוססות על פפטידים אנטימיקרוביאלים אשר מקורם בחרקים. אנחנו מפתחים טיפול נגד מיקרואורגניזמים שונים במגוון אינדיקציות…</t>
  </si>
  <si>
    <t>החברה מאפשרת בדיקות מהירות מאוד ומדויקות  מכל סוג דגימה ובו זמנית לפנל של פתוגנים עבור אתרי בדיקה וטיפול, תוך שימוש בטכנולוגיות חדשניות, מערכת ייחודית וקסטות מיקרופלואידיות חד פעמיות בכדי לשפר ולזרז טיפול</t>
  </si>
  <si>
    <t>אגמון היא חברת רפואה דיגיטלית המפתחת בינה מלאכותית על מנת למנוע פערים ברצף הרפואי.</t>
  </si>
  <si>
    <t>NOVELSAT הינה ספקית מובילה של פתרונות קישוריות תוכן מהדור הבא. באמצעות הטכנולוגיה החדשנית שלנו, הפתרונות שלנו לתקשורת ווידאו ונתונים מעצימים את יכולות הרשתות להרחיב את פוטנציאל הצמיחה ולהביא חוויות חדשות לכל מכשיר, בכל זמן ובכל מקום. המוצרים החדשניים…</t>
  </si>
  <si>
    <t>Dux יוצרת אופציות טיפוליות חדשות למחלות משמעותיות המבוססים על טכנולוגיית אינטיליגנציה מלאכותית לבישה הפועלת בזמן אמת, ומתחילה בחיזוי פרכוסים אפילפטיים.</t>
  </si>
  <si>
    <t>סטומטופ מפתחת אביזרים חדשניים לסטומה בשוק של כ-4 מליארד דולר, החווה סטגנציה המצאתית מזה 70 שנה.</t>
  </si>
  <si>
    <t>החברה כאמור מהווה מינהלת התחדשות עירונית ומלווה בניהול הליכים מול ועם בעלי קרקר, רשויות ויזמים לצד איתור וניהול הליכי תכנון ומתחמים</t>
  </si>
  <si>
    <t>קופרינט מפתחת ומייצאת דיו מוליך לשימוש בהדפסת אנטנות, תאים סולאריים ומעגלים חשמליים. חיסכון של 50% בפליטת co2 מושג למעגלים חשמלים מודפסים בטכנולוגיה של קופרינט.</t>
  </si>
  <si>
    <t>החברה מפתחת מחולל אמוניה ממים אויר וחשמל ללא פליטות פחמן.</t>
  </si>
  <si>
    <t>החברה מפתחת פתרון ייחודי להוזלת עלויות ייצור מרכיבים כגון חלבונים לעולמות המזון והביוטק (כגון חלבונים אלטרנטיביים, מיצוי מרכיבים מן הצומח). הפתרון מאפשר ניקוי חלבונים והפרדה מולקולארית ברמות של פארמה אך במחירי מזון, תוך שימוש בחומרי ברי-קיימא בלבד</t>
  </si>
  <si>
    <t>עיצוב חלבונים דה נובו באמצעות AI</t>
  </si>
  <si>
    <t>בביוארמיקס, אנו מתמודדים עם אחד האתגרים הדחופים ביותר של החקלאות - מניעת מחלות הנגרמות על ידי חיידקים. אנו רותמים חיידקים טורפים ידידותיים לסביבה, שאינם GMO, וקיימים באופן טבעי והופכים אותם למוצר חקלאי המונע אובדן יבול ושומר על משאבי טבע חיוניים. מוצ</t>
  </si>
  <si>
    <t>BIAGNOSIS מציגה את MAXI אפליקציה חדשה לאבחון ולטיפול בנפגעי חרדה ולמניעת PTSD</t>
  </si>
  <si>
    <t>חברת  בדיוק תרפויטיקה מפתחת טיפול פורץ דרך לסרטן הכבד, EmboPore, המשתמש בתרופות קיימות המשולבות למוצר טיפולי חדשני ועוצמתי ביותר למחלת יתום עם אסטרטגיית G2M אופטימלית.</t>
  </si>
  <si>
    <t>וואטר טרקר בע"מ הינה חברת תוכנה המפתחת ומספקת פתרונות טכנולוגיים מונעים AI לעולם המים</t>
  </si>
  <si>
    <t>מושן אנליטיקס מפתחת את MotionID, טכנולוגיה מבוססת AI וביומכניקה המזהה אנשים לפי דפוסי תנועה ומבנה גוף מתוך שניות של וידאו. פועלת גם כאשר הפנים מוסתרות ובתנאי צילום קשים, ומשתלבת כ-SDK במערכות ביטחון ו-HLS.</t>
  </si>
  <si>
    <t>חממה טכנולוגית - פרויקט הוכחת היתכנות</t>
  </si>
  <si>
    <t>חברת ביוטכנולוגיה בשלב הפרה-קליני המפתחת טיפול מקומי (טופיאלי) חדשני עבור אלופציה אריאטה (AA) ואלופציה אנדרוגנטית (AGA)</t>
  </si>
  <si>
    <t>פלטפורמה לבישה לאבחון וטיפול בבעיית עין יבשה כתוצאה מתסמונת ראיית המחשב (CVS)</t>
  </si>
  <si>
    <t>אדג' מדיקל ונצ'רס היא קרן הון סיכון המתמקדת בטכנולוגיה רפואית, המפעילה חממה טכנולוגית ליצירה והשקעות הון בחברות הזנק</t>
  </si>
  <si>
    <t>חברת סטארטאפ שמפתחת פתרונות הדברה ביולוגיים מבוססי dsRNA נגד פטריות פתוגניות בחקלאות</t>
  </si>
  <si>
    <t>אלמנטיקס AI החברה מפתחת מערכת בינה מלאכותית מרובת סוכנים המתפקדת כמומחה כימי, המשלבת ידע מחקרי פנים-ארגוני עם הבנה כימית עמוקה לייעול והאצת תהליכי מחקר ופיתוח בתעשיית הכימיה והחומרים.</t>
  </si>
  <si>
    <t>i4Valley היא חממה טכנולוגית צפונית, הפועלת בזיכיון של רשות החדשנות, ומקדמת חברות הזנק ופרויקטים בתחום ה-DeepTech. החממה ומשקיעה בשלבי Pre-Seed/Seed, תוך חיבור מעמיק בין אקדמיה, תעשייה ומשקיעים. החממה מקימה מעבדות שיתופיות ומנהלת תכניות האצה.</t>
  </si>
  <si>
    <t>מו"פ בתעשיית הייצור - מופ"ת</t>
  </si>
  <si>
    <t>יצרן מוביל בישראל של לוחות קרטון גלי, עוסקת בפיתוח קרטון גלי ודבק לייצור קרטון גלי משופרים</t>
  </si>
  <si>
    <t>מופ"ת- מו"פ בתעשיית הייצור</t>
  </si>
  <si>
    <t>‏ProLeafEra מחדשת בטכנולוגיית מזון בר-קיימא, מתמחה במיצוי חלבונים מסיסים איכותיים מעלי מורינגה לשימושים שונים במזון, מהפכת את תחום התזונה המבוססת על צמחים.</t>
  </si>
  <si>
    <t>מסחור ידע הנוגע בעיקר לטכנולוגיות דיגיטליות ברפואה, הנדסה  וביוקונברג'נס</t>
  </si>
  <si>
    <t>המגיש הינו חברת היישום של מו"פ אגודת הגליל. תהליך ירוק חדש להפקה והכנה של β-קרוטן מפסולת ביולוגית גזר לשימוש בתעשיות המזון והתרופות.</t>
  </si>
  <si>
    <t>ננוגוסט מפתחת פלטפורמה סלקטיבית לשילוח ממוקד של תרופות בוזיקולות המופקות מממברנות תאי גזע מזנכימליים (ננוגוסטס), תאים בעלי טרופיזם אינהרנטי לסרטן. ננוגוסטס מגיעים ומטפלים סלקטיבית בגידולי סרטן, כולל סרטן מח שאינו חדיר\נגיש לטיפול.</t>
  </si>
  <si>
    <t>מחקר יישומי בתעשייה - מו"פ דואלי</t>
  </si>
  <si>
    <t>SIGA מספקת פתרון הגנת סייבר למערכות בקרה תעשייתיות בתשתיות קריטיות ותהליכים תעשייתיים. SigaGuardX מיישם ML ו-AI על מידע תהליכי מכל השכבות במערכת הבקרה (0-4) ומזהה התקפות סייבר בהתבסס על חריגות ואי-התאמות ומספק בזמן אמת תמיכה ל-CISO בניהול אירוע סייבר</t>
  </si>
  <si>
    <t>עם גישה פורצת דרך, ובהתאמה ליוזמות הגלובליות, מארין אדג׳ נמצאת במשימה לחולל מהפכה ביעילות האנרגטית עבור התעשייה הימית, עם טכנולוגיה רגנרטיבית להפחתת צריכת הדלק והפליטות באוניות סוחר.</t>
  </si>
  <si>
    <t>מכלול אלקטרודה חדשנית על בסיס גרפן-אוקסיד עבור תאי דלק המשפרת ביצועים והוזלת המחיר</t>
  </si>
  <si>
    <t>שימוש ברכיבי ספינטרוניקה לצורך פיתוח מאיץ אנלוגי לעיבוד מהיר של נתוני בינה מלאכותית  (AI)</t>
  </si>
  <si>
    <t>ההצעה של חברתנו מתמקדת במכשיר המבחין ומנתח קרינת לייזר בנוכחות אור סביבתי. החיישן מזהה פליטות לייזר וכיוונן באמצעות ניסוי הסדק הכפול, ומשתמש במצלמות CMOS לשיפור הזיהוי. מתאים לאיומים צבאיים כמו טילי נ"ט ולתקשורת לוויינים.</t>
  </si>
  <si>
    <t>שיפטרס מפתחת מערכות רובוטיות קרקעיות אוטונומיות מבוססות AI לשימושים מסחריים וצבאיים</t>
  </si>
  <si>
    <t>חברת לייטביסי מפתח מכשיר לבדיקת דם לא פולשנית - HemoScope. מכשיר זה יאפשר כבר בדור הראשון לקבל את כל הפרמטרים החשובים קלינית מתוך ספירת הדם – תאי דם אדומים, לבנים, טסיות דם ועוד. המוצר יאפשר קבלת נתונים קליניים תוך 30 שניות במכשיר שיגיע עד לשימוש בית…</t>
  </si>
  <si>
    <t>קלארו פיתחה טכנולוגיה להדפסה בעזרת לייזר של נוזלים. הטכנולוגיה מאפשרת הדפסה של חומרים בצמיגות נמוכה כמו מים. ההדפסה אפשרית גם על משטחים עקמומיים.</t>
  </si>
  <si>
    <t>החברה מפתחת מערכות לידאר וראיית 3D לטווחים גדולים (עד 10 ק"מ למטרות קטנות), ברזולוציה גבוהה מאד וקצב נתונים מהיר המאפשר גילוי מטרות מהירות וקטנות בכל טווחו</t>
  </si>
  <si>
    <t>חברת TW Medical מפתחת ומייצרת את חוסם העורקים LST - חוסם עורקים היחיד מסוגו בעולם שנועד לשלוט בדימומים הן משטח הגפה והן מאזורי מעבר.</t>
  </si>
  <si>
    <t>שלושה קירות בע"מ מתמחה בהקמת חדרי למידה אימרסיביים ופיתוח תוכנות חינוכיות. לאחר פיתוח מערכת לעריכת שיעורים בחדרים, החברה מפתחת את 3walls LearnFlow –  פלטפורמה ליצירת מרחבי למידה אינטראקטיביים.</t>
  </si>
  <si>
    <t>אן מפתחת פלטפורמת למידה מבוססת בינה מלאכותית המשמשת כמנחה אישי: מובילה את תהליך הלמידה באמצעות דיאלוג, מנתחת יכולות ומתאימה מסלולים פרסונליים לחיזוק מיומנויות. הפלטפורמה מיושמת בישראל, גרמניה וארה״ב בתחומי חינוך והכשרה.</t>
  </si>
  <si>
    <t>מכינת מו"פ לחברות תעשיית הייצור</t>
  </si>
  <si>
    <t>מסגרות האצת חדשנות - מועדוני אנג'לים</t>
  </si>
  <si>
    <t>מועדון משקיעים בסטרטאפים מבית פירמת ראיית החשבון והייעוץ BDO</t>
  </si>
  <si>
    <t>מסגרות האצת חדשנות- מרכזי חדשנות טכנולוגית</t>
  </si>
  <si>
    <t>מרכז החדשנות דרום משמש כמנוע צמיחה ומרכז ידע בחדשנות טכנולוגית ובפיתוח תעסוקה איכותית בנגב המזרחי - בהיקף אזורי, לאומי ובינלאומי - לפיתוח ומסחור טכנולוגיות בתחומי תעשייה מתקדמת, אנרגיה ומימן, רחפנים ורובוטיקה, מדבר.</t>
  </si>
  <si>
    <t>-מרכז חדשנות שמקדם Deep Tech דרך ורטיקלים כגון Con-tech , Mobility, Health-tech, Food-tech and Agri-tech דרך פרה אקסלרטור ואקסלרטור וליווי פרטני לסטארטאפים</t>
  </si>
  <si>
    <t>סטודיו ונצ'ר המקים ומאיץ מיזמי ביוטק ולייף סיינס עם חוקרים ויזמים.</t>
  </si>
  <si>
    <t>המרכז הטכנולוגי לחוסן ובטחון בנגב המערבי מהווה מרכז כלל אזורי שייעודו הטמעת ערכי יזמות וחדשנות במרחב, ביצוע הכשרות בתחומי ההייטק, הנבטת רעיונות והובלת מיזמים צעירים בתהליכי הפיתוח והצמיחה ליצירת חברות בנות קיימא לטובת הכלכלה והחברה בנגב המערבי</t>
  </si>
  <si>
    <t>המרכז מקדם יזמות, תעסוקה וחדשנות בהייטק באזור יהודה ושומרון באמצעות שותפויות אסטרטגיות, הכשרות מקצועיות, תמיכה במיזמים ויצירת קהילה יזמית מחוברת ומעצימה.</t>
  </si>
  <si>
    <t>לסליגנוסטיקס ידע וניסיון ייחודיים בפיתוח בדיקות מבוססות רוק. בתכנית זו נפתח בדיקה חדשנית ומהירה, מבוססת רוק לזיהוי החיידק סטרפטוקוקוס – A, הגורם לדלקת גרון.</t>
  </si>
  <si>
    <t>דיפקיפ - הגנה על בינה מלאכותית</t>
  </si>
  <si>
    <t>נ.ט. טאו מפתחת מקור להפקת אנרגיה אלטרנטיבית נקיה המבוסס על כור היתוך קומפקטי ומודולרי בגודל של 10-20 MWחשמל. הכור מתוכנן להיות בגודל של מכולה. הפתרון יתאים לצרכי חשמל מגוונים, ממתקני תעשייה ועד למתחמי מגורים וצרכני אנרגיה מחוץ לרשת.</t>
  </si>
  <si>
    <t>חברת גטס מערכות בע"מ חברה חדשנית בתחום פיתוח וייצור מערכות מכ"ם צבאיות ואזרחיות.</t>
  </si>
  <si>
    <t>מסלול Pre-Seed- קרן ההזנק</t>
  </si>
  <si>
    <t>קופיילוט אמ.די. היא חברת סטארט-אפ רפואית המפתחת פלטפורמת תמיכה בקבלת החלטות המונעת על ידי בינה מלאכותית עבור טיפולים זעיר פולשניים. מטרתנו היא לספק תובנות בזמן אמת שיסייעו לרופאים, במטרה להפחית סיבוכים ועלויות ולשפר את יעילות הפרוצדורות הניתוחיות</t>
  </si>
  <si>
    <t>סטארט-אפ חלוצי בבינה מלאכותית המפתח סוכני AI לאופנה מקוונת: Shopper Agent כסטייליסט אישי ו-Retailer Agent לניתוח דאטה וקמפיינים מותאמים אישית.</t>
  </si>
  <si>
    <t>חברה להתאמה אישית של תוספי תזונה - מתקן חדשני מוגן פטנט למתן ויטמינים ומינרלים מותאמים אישית דרך מים בשילוב אפליקציית AI</t>
  </si>
  <si>
    <t>קריאה וניתוח של תכניות בניה ומפרטים בפרויקטי נדלן. הטכנולוגיה תספק הערכות מיידיות ותשפר את הדיוק תוך חיסכון משמעותי בזמן, עלויות כ"א וטעויות אנוש.</t>
  </si>
  <si>
    <t>חברת פינלי פודס היא חברת חקלאות מולקולרית, המשנה את גנטיקת הצמחים כדי לשמש אותם כ-"ביוריאקטורים" לייצור חלבונים מורכבים, תוך מינוף פלטפורמת בינה מלאכותית בלעדית כדי להאיץ את זמן היציאה לשוק. המוצר הראשוני הוא קזאין מיסלר ותפוח אדמה.</t>
  </si>
  <si>
    <t>פיתוח ומימוש פתרונות RFID ו NFC מוטמעים בבדים</t>
  </si>
  <si>
    <t>קולינג קרופס מפתחת פתרונות חקלאיים פורצי דרך המאפשרים שיפור התפוקה החקלאית תוך תרומה אקטיבית לקירור כדור הארץ. הטכנולוגיה שלנו משלבת פורמולציה לייצוב קרקע עם אגירת לחות, האצת שיקום הקרקע, וצינון קרינתי של הגידולים, ומיועדת לריסוס בשדה עם ציוד קיים.</t>
  </si>
  <si>
    <t>OncoFlow פורט וסקולרי המאפשר זרימה נמוכה וגם גבוהה ומתאים לשימוש בחולי סרטן המטופלים בכימותרפיה וגם המתקדמים לטיפולי אימונותרפיה.</t>
  </si>
  <si>
    <t>Hopec Pharma היא חברת ביוטכנולוגיה חדשנית המפתחת טיפול אימונותרפי חדשני לחולי סרטן שלפוחית השתן מסוג שאינו חודר שריר (NMIBC). התרופה מבוססת על חיידק אי-קולי מוחלש המעורר תגובה חיסונית ממוקדת כנגד תאי הסרטן. החברה נוסדה על ידי גדי קלרספלד ואסטי רוזן,</t>
  </si>
  <si>
    <t>פוטופיל דיינמיקס מפתחת מערכות תאורה ובקרה חכמות לגידול תות ופטל בחממות וחדרים סגורים. שילוב אורכי גל אינפרא־אדומים ייחודיים ותוכנה לומדת משפרים יבול, Brix וזמן מחזור — פתרון מודולרי לשדרוג חממה או להקמת חדר גידול מלא.</t>
  </si>
  <si>
    <t>Diastole היא החברה הראשונה בעולם המביאה טכנולוגיה של צנתור וירטואלי מבוסס US</t>
  </si>
  <si>
    <t>מלאנתה פיתחה טכנולוגיה פורצת דרך לייצור יעיל וזול בקצב של טון לשעה של סטייקים צמחיים, משוישים ועסיסיים - טעימים ובאיכות מקבילה לבשר מסורתי במחיר נמוך יותר</t>
  </si>
  <si>
    <t>Eco2Protein היא חברת ביוטכנולוגיה ישראלית המפתחת טכנולוגיה חדשנית להמרת פליטות CO₂ תעשייתיות לחלבון עשיר ולתחליפי דלקים מתחדשים.</t>
  </si>
  <si>
    <t>Sub-Q Bionics מגדירה מחדש את טיפול בסרטן עם מערכת הניקוז הלימפטי הביונית הראשונה בעולם הניתנת להשתלה מלאה - שתל קרמי עם צינורות ומשאבה משולבים שמעבירים בצורה חלקה עודפי ניקוז.</t>
  </si>
  <si>
    <t>אטומיקס (AtomiX) מפתחת תרופות פומיות חדשניות לעיכוב TNFα, המבוססות על גילוי כיס קישור ייחודי. הטכנולוגיה משלבת בינה מלאכותית ומודלים אנושיים מתקדמים ליצירת טיפולים יעילים, בטוחים ונגישים למחלות דלקתיות ואוטואימוניות.</t>
  </si>
  <si>
    <t>Marblex מפתחת פלטפורמה ייחודית לפעולה בשכבת הסטרטוספירה, המאפשרת חישה מרחוק ועיבוד מידע חזותי בזמן אמת, עם שהייה ממושכת מעל אזורי עניין. הפלטפורמה משלבת חיישנים מסוגים שונים, עיבוד תמונה בקצה (Edge AI), ויכולת ניווט ותפיסת מיקום עצמאית – ומספקת פתרון</t>
  </si>
  <si>
    <t>סיל מינרלים, חברת הזנק עם חדשנות טכנולוגית עמוקה, מייעלת ביצועים של תחנות-כוח תרמיות המקוררות במי-ים, תוך-כדי תפיסה וסילוק של מיליארדי טונות של פחמן דו-חמצני  ומתן פתרונות ברי-קיימא לתעשיית הכרייה.</t>
  </si>
  <si>
    <t>pk   מפתחת טיפול פורץ דרך לכאב כרוני המבוסס על תהליך בעל שלושה שלבים הזרקת ננו-חומר ייחודי, עקיבה רטרוגרדית עצבית, אבלציה מדויקת באמצעות אולטרסאונד.</t>
  </si>
  <si>
    <t>החברה עוסקת בינה בפיתוח ויישום בינה מלאכותית ולמידת מכונה לפענוח אותות ELF-EMF כבסיס לאבחון וטיפול לא פולשני, בשלב ראשון בסוכרת, אך עם פוטנציאל ליישום במגוון רחב של מצבים רפואיים.</t>
  </si>
  <si>
    <t>סקייפורס מפתחת פתרון תוכנה מתקדם ההופך מערכות מנוהגות מרחוק לפלטפורמות אוטונומיות, תוך שימוש בסוכני בינה מלאכותית מתקדמים ואלגוריתמים של ראייה ממוחשבת המבוססים על רשתות נוירונים עמוקות.</t>
  </si>
  <si>
    <t>דריבה הינה פלטפורמת SaaS המאפשרת שימוש בבינה מלאכותית כדי לשפר ולייעל באופן משמעותי את תהליכי המחקר, ההבנה והפיתוח בתעשיית הביוטק, הפארמה ועולמות הבריאות.</t>
  </si>
  <si>
    <t>פרוסקאוט מפתחת מערכת מבוססת AI לניטור ואופטימיזציית תהליך הריסוס בחממות. המערכת מציעה חיבור ישיר למערכות הריסוס הקיימות, אוספת נתונים מהשטח בזמן אמת, ומייצרת תובנות ודוחות תפעוליים לשיפור התפוקה, הפחתת שימוש בחומרי הדברה ועמידה ברגולציה.</t>
  </si>
  <si>
    <t>אונקונקור מדיקל מפתחת את CTCapture  סטנט חדשני המצופה בחומרים ביולוגיים סלקטיביים, ללכידת והשמדת תאי CTC במחזור הדם בזמן אמת. המוצר נועד למנוע גרורות בתקופה הקריטית שלאחר ניתוח, שבה אין טיפול תרופתי יעיל זמין.</t>
  </si>
  <si>
    <t>רברטו מפתחת פתרונות טופיקליים להסרה יעילה, ללא כאב ובעלות נמוכה של קעקועים וכתמי זקנה (דיסקולוריזציה). פתרונות אלה מהווים גם פריצת דרך בטיפול בטרשת עורקים.</t>
  </si>
  <si>
    <t>חיסכון אנרגיה משמעותי בבניינים ע"י ניהול מעברי אנרגיה וחיזוי באמצעות בינה מלאכותית</t>
  </si>
  <si>
    <t>הטכנולוגיה הראשונה והיחידה שאינה מכנית להסרת אבנית משיניים.</t>
  </si>
  <si>
    <t>פרופ אקס מפתחת פלטפורמה אנליטית חדשנית המשלבת ביולוגיה חישובית עם דאטה אנושי־רלוונטי, ומספקת למשקיעים ולחברות ביופארמה תובנות עצמאיות ומהירות על סיכוני יעילות ובטיחות של נכסים חדשים.</t>
  </si>
  <si>
    <t>חברת maik-education מחברת את עולם ה AI ועולם הרובוטיקה מוסיפה לרובוטים נדבך חיצוני של שליטה ובקרה באמצעות מודלי AI</t>
  </si>
  <si>
    <t>רובושוט הינה חברת טכנולוגיה ורובוטיקה שהמציאה ופיתחה את המערכת הראשונה בעולם לניקוי, תחזוקה ובקרה של שוט האשפה. המערכת עובדת באופן אוטונומי לחלוטין מנקה ומחטא את שוט האשפה וכן מזהה סתימות באופן מיידי ומתריעה עליהם למנהל האחזקה ואף יודעת לפתוח סתימות.</t>
  </si>
  <si>
    <t>חברה לייצור פתרונות הטענה אלחוטיים באולטראסאונד לשתלים בגוף, ובפרט לקוצבי לב.</t>
  </si>
  <si>
    <t>מסלול Round A- קרן ההזנק</t>
  </si>
  <si>
    <t>חברת אקסיומה רובוטיקס הנה מפתחת רובוט ייחודי לתחזוקת רשת החשמל ועבודה תחת מתח חי ,דבר אשר מוריד את הסיכון להתחשמלות עובדים ומייעל את תהליך התחזוקה של הרשת, פותחה מערכת אב טיפוס בשיתוף עם חברת חשמל, המוצר הינו פורץ דרך טכנולוגי וייחודי בעולם</t>
  </si>
  <si>
    <t>קוואמקור מפתחת טכנולוגיה המשלבת קיוביטים ומעגלים דיגיטליים המבוססים על מוליכי-על, המאפשרת לשלב מיליון קיוביטים במקרר קריוגני יחיד.</t>
  </si>
  <si>
    <t>חברת קריאטרה מפתחת מוצרים ירוקים לתחום הבניה, כגון אריחים ובלוקים, המיוצרים בטמפרטורות נמוכות בשיטה שמפחיתה כ90% מתשומות האנרגיה בשלבי הייצור. המוצרים מאופיינים בחוזק מבני של בטון, מבודדים טרמית פי שש מבטון, ומיוצרים תוך יצירת טביעת רגל אקולוגיתמינימ…</t>
  </si>
  <si>
    <t>החברה מפתחת חיישן חדשני שמספק מידע ישיר ומדויק אודות צריכת המים של גידולים חקלאיים ומערכת המלצות השקייה מבוססות שילוב דאטא מלויינים ומקורות מידע נוספים, יחד עם מדידות ישירות של זרימת מים של בגזע הצמח.</t>
  </si>
  <si>
    <t>אקופאג' מפתחת חומרי הדברה ביולוגים מבוססים על טכנולוגיית בקטריופאג'ים</t>
  </si>
  <si>
    <t>אייויאשן מביאה מהפיכה לעולם האימון.  המוצרים שלנו, המיועדים לשוק הביטחוני ולשוק המסחרי כאחד, מבוססים על טכנולוגיה רשומה לפטנט - מדריך וירטואלי מבוסס בינה מלאכותית -  ליצירת אימון עצמי מותאם אישית, יעיל וחסכוני, הניתן לביצוע בכל מקום ובכל זמן</t>
  </si>
  <si>
    <t>הטכנולוגיה הייחודית של העצמת השגיאה המשולבת ברובוטים שלנו מאפשרת קיצור זמן השיקום ב-50% ושיפור התוצאה ב- 100%. זאת בהשוואה לשיטות טיפול קיימות (כולל רובוטיות). שילוב AI ו- MACHINE LEARNING מאפשר אוטומציה של תהליך הטיפול והתאמה ייחודית של פרמטרים לכל …</t>
  </si>
  <si>
    <t>חברת לוסיד פיתחה שתל לטיפול התערבותי במפרצות מוחיות, בעל גיאומטריה ייחודית המקנה גישה ליותר מ 30% מהמקרים אשר חסרים טיפול מהיר ובטוח. החברה מצויה בשלב ה- First in Human, כאשר השתלות מוצלחות התבצעו עם תוצאות מבטיחות, כולל מעקב לטווח הארוך.</t>
  </si>
  <si>
    <t>רמונדו מפתחת טכנולוגיית צילום חדשנית אשר יכולה לייצר מהפכה בתחום החישה מרחוק, בדגש על תחום החלל</t>
  </si>
  <si>
    <t>פנותא מפתחת טכנולוגיה ייחודית לאיפיון תאי על סמך חלבונים, ללא ריאגנטים ובצורה אוטומטית. החברה הוקמה ע"י צוות של 3 יזמים מנוסים בתחום הבריאות והמכשור רפואי.</t>
  </si>
  <si>
    <t>פריסימוס פיתחה קו יצור אוטומטי לכבלים (Ethernet ו- M8/12) המאפשר יצור רציף במחיר נמוך, החזרת יצור למדינות המערב, הפחתת זיהום, זמני ועלויות שינוע, לצד בטחון סייבר ביצור מפוקח. בשנים הקרובות החברה תפתח קווים להרכבת כבלי סיבים אופטיים וכבל USB-C.</t>
  </si>
  <si>
    <t>החברה עוסקת בפיתוח פתרונות מבוססים תאי גזע, למחלות ניווניות של המוח (ניורוגנרטיביות)</t>
  </si>
  <si>
    <t>וורטקס מתעתדת לעשות מהפכה בתעשיית ההדמיה על ידי הפקת תמונות טומוגרפיות 3D (בדומה לתמונות CT) באמצעות מכשיר קטן וזול המאפשר ביצוע בדיקה ע"י מפעיל לא מיומן או ע"י המטופל עצמו הודות לטכנולוגיה ייחודית המשלבת אלגוריתמים ויכולות עיבוד וניתוח בענן.</t>
  </si>
  <si>
    <t>מסלול Seed- קרן ההזנק</t>
  </si>
  <si>
    <t>ClaroAI מחוללת מהפכה בתקשורת בזמן אמת על ידי שיפור הדיבור במהלך שיחות טלפון ווידאו.   בין אם מדובר בהסרת מבטאים, תיקון הגייה או שיפור הבהירות, ClaroAI מבטיחה תקשורת חלקה בזמן אמת בשיחות טלפון או וידאו.</t>
  </si>
  <si>
    <t>אג'ייל מפתחת טכנולוגיה לסריקת MRI זולה וזמינה עבור מרפאות אורתופדיות. הטכנולוגיה של החברה מבוססת על חומרה (מגנט) פשוטה וקלה לייצור שנתמכים ע"י אלגוריתמים מתקדמים ליצירת התמונה.</t>
  </si>
  <si>
    <t>אסטריקס מפתחת פלטפורמה לייצור חלבונים רקומביננטיים פונקציונליים בתאים צמחיים, עם גליקוזילציה נשלטת ופעילות ביולוגית מלאה. הפלטפורמה כוללת תאים מהונדסים וביו-ריאקטורים זולים, המאפשרים הקמה מהירה של מפעלי ייצור בעלות נמוכה לתעשיית המזון והתוספים.</t>
  </si>
  <si>
    <t>M (קאוזל מד בע"מ) החלה ב 2023 כקבוצת מחקר אשר פעלה ( במסגרת שיתוף פעולה של מרכז     I-Medata | AI center,באיכילוב ו ARC בשיבא ) . החברה מפתחת פלטפורמה מבוססת Causal AI לשיפור החלטות קליניות באשפוזים מורכבים.</t>
  </si>
  <si>
    <t>תרמג'יקס היא חברת דיפ-טק, קלין-טק אשר קוצרת והופכת חום שיורי לחשמל וקור בטכנולוגית טרמואקוסטיקה עם מעבר פזה.</t>
  </si>
  <si>
    <t>בדיקה ביתית לזיהוי סרטן השד שפותחה ע"י כירורגית ומהנדסות</t>
  </si>
  <si>
    <t>לומנגיידס מפתחת מערכת ברונכוסקופיה רובוטית ואוטונומית חד פעמית ללא קרינה.</t>
  </si>
  <si>
    <t>אגריפס מאפשרת לחקלאים לעבור לחקלאות בת קיימא, מחדשת קרקע ומפתחת רובוט, מבוסס-AI המבצע פעולת  ניכוש עשבים ללא כימיקלים, בהשראת העישוב והדיוק הידני ובמטרה למזער את פגיעת הקרקע ולהגביר את היעילות.</t>
  </si>
  <si>
    <t>פוקאל טכנולוגיה רפואית מפתחת פלטפורמה רובוטית פורצת דרך לטיפול ממוקד בסרטן הערמונית באמצעות אלקטרופורציה מדויקת במיוחד בהנחיית דימות.</t>
  </si>
  <si>
    <t>סלינט-ביו הינה חברה פורצת דרך המתמחה בפיתוח טכנולוגיות מתקדמות לניהול חכם של ניסויים ביולוגיים ותהליכים פרה-קליניים, ע"י אוטומציה חדשנית לגידול וסריקה של תרביות תאים.</t>
  </si>
  <si>
    <t>החברה מפתחת בדיקת צואה ביתית לאבחון ולניטור מחלות מעי. הבדיקה מושתתת על שיטות גנומיות ייחודיות ואלגוריתמי בינה מלאכותית. בדיקה אשר תהווה כלי דיאגנוסטי פורץ דרך בעולם מחלות המעי.</t>
  </si>
  <si>
    <t>אייג'ס אנרגיה מפתחת פתרון אגירת אנרגיה מהפכני מבוסס ננוטכנולוגיה ופיזיקה, ליישומים עתירי אנרגיה, המאפשר טעינה מהירה במיוחד, אורך חיים ארוך, בטיחות ויכולת מיחזור גבוהה, כמו גם אי-תלות במתכות נדירות.</t>
  </si>
  <si>
    <t>החברה, במטרה להוסיף נדבך משמעותי לתעשיית החלל בישראל, פיתחה מנוע המבוסס על אבקה מיקרו- ננומטרית אנרגטית להנעה רקטית. טכנולוגיית החברה מבוססת על אבקה חדשנית אנרגטית בעלת תכונות הנעה משופרות, זאת במקביל לפיוחם של מנועיים רקטיים המנצלים פיתוח זה.</t>
  </si>
  <si>
    <t>החברה מייצרת פתרונות תזונתיים מבוססי פטנט עם אקסוזומים טבעיים מחלב לטיפול במחלות דלקתיות.</t>
  </si>
  <si>
    <t>כיראל מייעלת מערכות אנרגיה ומחשוב שונות, על ידי יישור ספין קוונטי של אלקטרונים הזורמים בהן.</t>
  </si>
  <si>
    <t>רזולייט - deep tech סטארטאפ המפתח פתרונות לתקשרות חדשניים לAI DC</t>
  </si>
  <si>
    <t>חברת פורסי גנומיקס מפתחת קיט דיאגנוסטי חדשני לאפיון מולקולרי של סרטן ומחלות גנטיות. פורסי גנומיקס עונה על הצורך לבדיקה מהירה, פשוטה וזולה לזיהוי סדרה של סמנים גנטים</t>
  </si>
  <si>
    <t>קאנזו משנה את תחום האבחון המולקולרי באמצעות בדיקות מהירות, נגישות, ניידות ובאיכות מעבדה, ומביאה יכולות מעבדה מתקדמות לכל מקום שבו הן נדרשות.</t>
  </si>
  <si>
    <t>V-Corals משקיעה במדע וטכנולוגיה לפיתוח אלמוגים עמידים ושיקום מערכות ימיות, תוך יצירת פתרונות סביבתיים וכלכליים. החברה מתמקדת בטכנולוגיות גידול חדשניות, הגברת עמידות אלמוגים והתאמתם לשינויים סביבתיים. חזונה: לשנות את שוק האלמוגים העולמי.</t>
  </si>
  <si>
    <t>חברת טכנופאלם מפתחת יכולת חדשנית יחודית לביצוע איבחון וניטור חולי ריאות בקהילה ובכך להקנות לרופאי הקהילה יכולות שאינן קימות היום מה שיביא לביטול את הצורך לשלוח את החולים למעבדות בדיקה הנמצאות בבתי החולים.</t>
  </si>
  <si>
    <t>Lembas Bio מובילה את פיתוחו של תוסף מזון חדשני מבוסס פפטידים, שנועד להתמודד עם השמנת יתר ולשפר את הבריאות המטבולית — בצורה יעילה, נגישה ובעלות נמוכה. הפיתוח עושה שימוש בכלים חישוביים מתקדמים לתכנון ביולוגי מדויק ולהאצת תהליכי הפיתוח</t>
  </si>
  <si>
    <t>אגדו בולטת בכך שהיא מאפשרת לקלינאים לבצע יותר הערכות וטיפולים בו-זמנית עם אותו מספר עובדים. הפלטפורמה מבוססת הבינה המלאכותית מאפשרת לקלינאים לטפל במספר מטופלים בו-זמנית, תוך מקסום היעילות מבלי להתפשר על האיכות.</t>
  </si>
  <si>
    <t>חברת SignalEdge נוסדה על ידי יוצאי יחידה 8200 וקהילת הביטחון, בעלי ניסיון ומומחיות רחבים בעולמות התווך האלחוטי. החברה מפתחת חיישן RF קומפקטי ובעל ביצועים גבוהים המיועד לשימוש נרחב בפלטפורמות קטנות ומשלב מספר דיסיפלינות בתווך האלחוטי בסנסור בודד</t>
  </si>
  <si>
    <t>סורליס בע"מ מפתחת מוצר לאיתור מוקדם לפצעי לחץ. המוצר מאפשר למוסדות הרפואיים לנטר את המטופלים באופן רציף, ללא מגע ובמעורבות מינימלית מצד הצוות המטפל.</t>
  </si>
  <si>
    <t>פלטפורמת בריאות דיגיטלית פורצת דרך הממירה דגימות DNA לנתונים בזמן אמת באמצעות מכשיר ייחודי ללא צורך במעבדה. בגיבוי מומחים בננו-טכנולוגיה, MEMS, גנטיקה והנדסת RF, PERME פונה לשוק של 500 מיליארד דולר במודל B2B'C .</t>
  </si>
  <si>
    <t>אינפיניפלקס, חברת סטארט-אפ המפתחת בדיקה זולה, אמינה ולא פולשנית למעקב אחרי יעילות טיפולים במחלת הסרטן.</t>
  </si>
  <si>
    <t>מסלול אתרי הרצה – קרן תשתיות המו"פ</t>
  </si>
  <si>
    <t>סיטיזון היא מעבדה חיה לחדשנות עירונית, שהוקמה ב-2018 כיוזמה של עיריית תל אביב, אוניברסיטת תל אביב ופארק עתידים. המעבדה מאפשרת לסטארטאפים לפתח ולבחון פתרונות עירוניים בתנאים אמיתיים.</t>
  </si>
  <si>
    <t>מסלול חממות טכנולוגיות 2020 – קרן החממות הטכנולוגיות</t>
  </si>
  <si>
    <t>‏SolidT מפתחת מודולים תרמו-אלקטריים בשכבות דקות, פטנטיים וחדשניים, המאפשרים קירור וחימום יעילים וממוקדים nרמת השבב לרמת המערכת, לדור הבא של אלקטרוניקה ומחשבים</t>
  </si>
  <si>
    <t>אנחנו מפתחים קטליזטור פורץ דרך, שיחולל מהפכה באחסון ובהובלת מימן. הקטליזטור מאפשר פיצוח אמוניה בצורה פשוטה, בטוחה וזולה בעד 50% מהקיים. בזכותו, אמוניה תהפוך לנשא מימן יעיל וכלכלי יותר, ותסייע במעבר לאנרגיה נקייה ונטולת פליטות.</t>
  </si>
  <si>
    <t>מסלול חממות טכנולוגיות 2020- קרן החממות הטכנולוגיות</t>
  </si>
  <si>
    <t>חברת אלסווי מספקת שירות טעינה לרכבים חשמליים בזמינות גבוהה באמצעות טעינה אלחוטית. שירות הטעינה הפרוס ברחבי העיר מאפשר לנהגים ולציי רכב חשמליים "פשוט לנהוג!" ובכך להאיץ את המעבר לניידות חשמלית.</t>
  </si>
  <si>
    <t>החברה פיתחה טכנולוגיה ייחודית לגילוי תרופות מחיידקי אדמהץ תוכנית הגילוי המובילה שמבוצעת במימון משקיעים והרשות לחדשנות ממוקדת במעכבי KRASת חלבון שהמוטציות שלו מחוללות 25% מהסרטן כולל סרטן הלבלב, המעי הגס וריאות</t>
  </si>
  <si>
    <t>אביקיור מפתחת פלטפורמה טכנולוגית חדשנית המבוססת על וסיקולות חוץ תאיות לטיפול ממוקד בגידולי סרטן מגוונים. החברה ממנפת יכולות בינה מלאכותית ומודלים מתקדמים של גידולים אנושיים לאיתור תתי-אוכלוסיות של תאי גזע המייצרות וסיקולות חוץ תאיות כנגד מגוון גידולי</t>
  </si>
  <si>
    <t>סלופלאקס היא חברת הזנק המפתחת חומרים שמיוצרים ממקורות מתחדשים אשר יכולים להחליף חומרים ממקור פטרוכימי.</t>
  </si>
  <si>
    <t>פיתוח שרוול רקטלי, זעיר פולשני, למעקף צואה, המיועד להפחתת עומס בקטריאלי ולטיפול בפיסטולות וסיבוכי אנסטומוזה רקטלית.</t>
  </si>
  <si>
    <t>פאט פודטק היא חברה פורצת דרך המתמקדת בפיתוח שומני חלב חלופיים ובני-קיימא באמצעות טכנולוגיית מיקרו-אצות. על ידי שיטות ביוטכנולוגיות מתקדמות כמו הנדסה גנטית ומוטגנזה ממוקדת, על מנת לפתח זני אצות המייצרים שמנים שמחקים את הרכב חומצות השומן של שומן חלב.</t>
  </si>
  <si>
    <t>ווילקס מפתחת מערכת add-on אוטונומית המבצעת אופטימיזציה אדפטיבית ללחץ האוויר בצמיגה רכב בזמן אמת, וכך מפחיתה את צריכת הדלק ופליטות הפחמן הדו חמצני, מאריכה את אורך חיי הצמיג ומגבירה את בטיחות הנסיעה.</t>
  </si>
  <si>
    <t>החברה מפתחת טכנולוגיה חדשנית למיחזור סוללות ליתיום-יון, המתמקדת בהפקת מתכות טהורות מתהליכי המיחזור.</t>
  </si>
  <si>
    <t>MNDL Bio מתמחה באופטימיזציה של ביטוי גנים באמצעות הפלטפורמה שלה בענן. המיקוד הוא בהמרת תהליכי ניסוי וטעייה בייצור ביולוגי לעיצוב מבוסס נתונים, תוך קיצור משמעותי של לוחות זמנים במחקר ופיתוח והוזלת עלויות.</t>
  </si>
  <si>
    <t>מסלול להקמת מאיצי מופ"ת- קרן מאיצי החדשנות</t>
  </si>
  <si>
    <t>המאיץ ספארק לאבס בע"מ מעוניין בשיתופי פעולה מול חברות ומשקיעים להשקעה בחברות הפורטפוליו של המאיץ. החברות שבמאיץ עוברות תהליך מיון קפדני ומייצרות מוצרים פורצי דרך ברמה העולמית. אנו פעילים בעיקר בתחומי המכשור הרפואי, מוצרי צריכה ומכשור מקצועי.</t>
  </si>
  <si>
    <t>מסלול להקמת מאיצי מסחור - קרן מאיצי החדשנות</t>
  </si>
  <si>
    <t>Flex Partners פועלת כ־Venture Builder בשיתוף עם התעשייה, לזיהוי אתגרים אמיתיים, סקאוטינג טכנולוגיות ליבה והעברת ידע. במודל Industry Pull מוקמות חברות חדשות עם Product–Market Fit טבעי והשפעה ברת־קיימא.</t>
  </si>
  <si>
    <t>מסלול מאגדי מחקר יישומי- קרן המחקר היישומי</t>
  </si>
  <si>
    <t>חברת גרייןגיין אנרג'י עוסקת בטכנולוגית W2E (Waste to Energy) ופיתחה מומחיות בטיפול במגוון סוגי פסולת הכוללים פסולת תעשיית העץ, הנייר ופסולת פלסטיק.</t>
  </si>
  <si>
    <t>פיתוח טכנולוגיות חדשניות לייצור רווחי של דלק סילוני ממקורות מתחדשים (SAF)</t>
  </si>
  <si>
    <t>פניקס היא חברה ישראלית המתמחה בגידול, עיבוד ופיתוח יהלומי מעבדה ליישומים תעשייתיים וטכנולוגיים מתקדמים. החברה פועלת לאורך כל שרשרת הערך – מתכנון מכונות גידול ועד לעיבוד מדויק של מצעים והצמדתם לרכיבים.</t>
  </si>
  <si>
    <t>קוגנטה מפתחת פלטפורמת סימולציה פוטוריאליסטית לאימון ותיקוף של מערכות אוטונומיות בתעשיית הרכב. על גבי פלטפורמת הסימולציה שלה, קוגנטה מציעה כלים מתקדמים ומומחיות רבה ב-V&amp;V של מערכות אוטונומיות באמצעות דאטה סינטטי.</t>
  </si>
  <si>
    <t>ננו וביוטכנולוגיה, חיישנים, סנסורים, גילוי וזיהוי</t>
  </si>
  <si>
    <t>תמי מצוידת בתשתיות מתקדמות וכוח אדם מקצועי, כולל מעבדות מו"פ, אנליטיקה, קורוזיה, מיקרוביולוגיה, מזון, מים ושפכים, לצד מתקני פיילוט. שילוב זה מאפשר פיתוח תהליכים ותוצרים משלב הרעיון ועד ליישום תעשייתי.</t>
  </si>
  <si>
    <t>ייצור גרגרי פוליאתילן בצפיפות נמוכה ופוליפרופילן המשמשים כחו"ג בתעשית הפלסטיק</t>
  </si>
  <si>
    <t>פולימרטל מפתחת מוצרים טכנולוגיים המשלבים חומרים המבוססים על פלסטיק עם ציפוי מתכת למגוון תעשיות כמו: בטחוני, רכב ותעופה</t>
  </si>
  <si>
    <t>חברת היישום של אונ' ת"א</t>
  </si>
  <si>
    <t>אלאג'ין הינה חברת שירותים בביולוגיה סינתטית המאפשרת לחוקרים, חברות ויזמים לקדם חדשנות טכנולוגית החל משלבי מחקר ופיתוח ועד גמלון ומסחור של ביו-תהליכים. החברה מתמחה בהנדסת זנים, פרמנטציה ותהליכי ניקוי חלבונים לשיפור ייצור מיקרוביאלי יעיל ובר-קיימא</t>
  </si>
  <si>
    <t>ביודליה היא חברה לייצור ושיווק של חומרים להדברה ביולוגית ומוצרים מבוססי פרמנטציה ליישום בחקלאות ובהגנת הסביבה. מוצר DaliaX הינו מוצר חדש להדברה ביולוגית של מזיקים ממשפחת העשים בחקלאות. המוצר מבוסס על חיידק חדש ממשפחת החיידקים  Bacillus thuringiensis …</t>
  </si>
  <si>
    <t>Parallel Wireless היא המובילה המוכרת ב-Open Radio Access Network (Open RAN), תקן טלקומוניקציה הצומח במהירות ומעצב מחדש את תעשיית ה-RAN הסלולרית (Radio Access Network) לעבר רשתות סלולריות חכמות יותר, פתוחות, וירטואליות וניתנות להפעלה פתוחה יותר,</t>
  </si>
  <si>
    <t>סנסטיישן טכנולוגיות הינה חברת היי-טק המפתחת מכ"מ פסיבי סלולרי המתבסס על קליטת החזרים של אותות סלולריים המשודרים במילא מהרשת הסלולרית ומוחזרים באופן טבעי ממטרות אוויריות וקרקעיות. זאת ללא שידור כלשהו של המכ"מ וללא תלות בשידור או קרינה כלשהם מהמטרות.</t>
  </si>
  <si>
    <t>פיתוח תכנולוגיות מבוססות AI בפתו-רדיואלוגיה עבור אבחון וטיפול בסרטן השד</t>
  </si>
  <si>
    <t>טרסייט מאפשרת לבצע אנליזה של התנהגות תאים לאורך זמן ברמת התא הבודד, לשימושים במחקר, פיתוח תרופות,וייצורביולוגי.</t>
  </si>
  <si>
    <t>בינטה מפתחת  טלאי אלקטרוני פאסיבי אלחוטי הכולל חיישנים מתקדמים, היתוך מידע, אלגוריתמיקה לגילוי פגמים, תכן לקצירת אנרגיה ושידור אלחוטי בחומרים מרוכבים.</t>
  </si>
  <si>
    <t>איכילוב טק היא חברת המסחור של המרכז הרפואי ע"ש סוראסקי אשר בתל אביב. פועלים לקידום יוזמות וקניין רוחני מתוך בית החולים, כולל הגשות למענקי מו"פ, איתור מימון וגורמים לשיתוף פעולה.</t>
  </si>
  <si>
    <t>דיאמיק סמיקונדקטורס בע"ם שואפת לספק פתרונות טכנולוגיים עמוקים חדשניים על ידי פתיחת הפוטנציאל האמיתי של יהלום לתעשיית המיקרו-אלקטרוניקה.</t>
  </si>
  <si>
    <t>קבוצת פוליגרין נוסדה בשנת 2016 וממוקמת בנהריה, ישראל.  החברה פיתחה חומר סופר סופג ירוק קנייני והגדילה את תהליך הייצור שלה.  הצמיחה של פוליגרין מומנה על ידי שילוב של הון עצמי והאיחוד האירופי כמו גם מענקים מקומיים.  פיתחנו את הטכנולוגיה שלנו עבור שלושה…</t>
  </si>
  <si>
    <t>פרסיב מפתחת תחקירן לחיישנים האופטיים מסוג FBG לעיבוד מידע על שינוים פיזיקליים - עיבורים, רעידות,  עוצמת שדה מגנטי, לחץ הידראולי ועוד. מחירו נמוך לנקודת חישה בודדת, ללא שימוש בחשמל לאורך קו החישה, פריסה למרחקים ארוכים ועמידות גבוהה לתנאי סביבה חיצונים</t>
  </si>
  <si>
    <t>מסלול מופ"ת</t>
  </si>
  <si>
    <t>פיתוח וייצור תהליך ייצור לביופלסטיק מסוג PHBV (ממשפחת ה-PHA) באמצעות שימוש באצות רטובות (Ulva) ומים מלוחים כדי לאפשר הקמת פסי ייצור בכל מקום בעולם.</t>
  </si>
  <si>
    <t>Top I Vision Ltd מפתחת ומייצרת מערכות מעקב טקטיות בעלות ביצועים גבוהים ללקוחות ברחבי העולם.</t>
  </si>
  <si>
    <t>חברת תבור מפתחת ומייצרת מערכות RF, טרנסיברים (קליטה-עיבוד-שידור) ומערכות אנלוגיות כבר למעלה מחמישה עשורים. המערכות מובילות בתחום ייצור ודגימת סיגנלים, ונמכרות בכל העולם לחברות מובילות בתחומי התקשורת האזרחית והצבאית, חישה,מחשוב קוונטי ומוליכים למחצה.</t>
  </si>
  <si>
    <t>SafeFields - מפתחת מייצרת ומשווקת מערכת אקטיבית להפחתת קרינה מגנטית ברכבים חשמליים והיברידיים, המבוססת על יצירת שדה מגנטי נגדי. החברה מחזיקה בפטנטים ייחודיים ומובילה חדשנות טכנולוגית ייחודית מסוגה בעולם</t>
  </si>
  <si>
    <t>מסלול מחקר יישומי באקדמיה- קרן המחקר היישומי</t>
  </si>
  <si>
    <t>רמב״ם מדטק בע"מ היא חברת מסחור הידע (Technology Transfer) של המרכז הרפואי רמב"ם ואחראית על החדשנות והקניין הרוחני (ה-IP  )השייכים לרופאי ומדעני רמב"ם, והפיכת הרעיונות החדשים למוצרים רפואיים על ידי פיתוח הקנין הרוחני ומסחורו לגופים חיצוניים.</t>
  </si>
  <si>
    <t>מסלול מחקר יישומי בתעשייה- קרן המחקר היישומי (כשיר מחקר)</t>
  </si>
  <si>
    <t>החברה פיתחה סוללות נטענות בעלות צפיפות אנרגיה גבוהה ועלות חמרי  גלם נמוכה מאוד, המאפרת מודל עיסקי אטרקטיבי ללפרויקטי אגירת אנרגיה, תוך כדי הורדת החתימה הפחמנית באופן דרמטי.</t>
  </si>
  <si>
    <t>פיתוח חומר גלם ביופלסטי מתכלה מאצת אולווה, מותאם לעיבוד תעשייתי בקווי ייצור קיימים</t>
  </si>
  <si>
    <t>החברה מפתחת טכנולוגיה מתקדמת של תאים פוטו-וולטאי המסוגלים להפיק אנרגיה חשמלית מאור החדר ביעילות גבוהה כדי להפעיל חיישנים והתקנים חשמליים ללא צורך בסוללות חד פעמיות מזהמות</t>
  </si>
  <si>
    <t>מסלול מעבדות מו״פ ומאגרי מידע-  קרן תשתיות המו"פ</t>
  </si>
  <si>
    <t>Brain.space מפתחת בינה מלאכותית מבוססת מודלים מנטליים ודאטה מוחית, לחיזוי התנהגויות ופרסונליזציה של מוצרים ושירותים. זאת באמצעות פלטפורמת Brain-Data-as-a-Service לאיסוף וניתוח דאטה מוחי.</t>
  </si>
  <si>
    <t>Scinai BioServices תומכת בחברות ביופארמה חדשניות משלב המחקר המוקדם ועד לייצור קליני בשלבים מתקדמים, ומספקת פתרונות CDMO גמישים, חסכוניים ומבוססי מדע, הנתמכים בלמעלה מ-20 שנות ניסיון ובמתקן cGMP מתקדם ומוביל בתחומו.</t>
  </si>
  <si>
    <t>החברה מפתחת פתרונות חדשים המפענחים את מערכת החיסון האנושית על מנת להתמודד עם חולים בעלי מחלות דלקתיות זיהומיות.</t>
  </si>
  <si>
    <t>מרכז חדשנות להקמת חברות ומסחור ידע דו-ערכי לחלל ושימושים קרובים בכדוהא</t>
  </si>
  <si>
    <t>Alvox Bio היא חברת CRO פורצת דרך המתמחה בהדפסה ביולוגית תלת־ממדית. החברה מספקת מודלים מותאמים אישית המדמים רקמות אנושיות, המאיצים גילוי תרופות, מאפשרים הנדסת רקמות ומקדמים רפואה מותאמת אישית, תוך צמצום ניסויים בבעלי חיים.</t>
  </si>
  <si>
    <t>מסלול מעבר מפיתוח לייצור- קרן מופ"ת</t>
  </si>
  <si>
    <t>Precision-GI™ שפותח ע"י לימאקה מדיקל, הוא מכשיר מאושר FDA לביצוע ביופסיות מונחות אולטרסאונד, המספק דגימות באיכות גבוהה לאבחון מדוייק של גידולים סרטניים במערכת העיכול והאיברים הסמוכים לה.</t>
  </si>
  <si>
    <t>חברת ווידאאוט מפתחת פתרון ירוק וחדשני כנגד עשבים עמידים אשר גורמים לירידה משמעותית בתוצרת החקלאית. הטכנולוגיה משתמשת בהאבקה על מנת לבלום את הדור הבא של העשבים ובכך מקטינה את בנק הזרעים בקרקע</t>
  </si>
  <si>
    <t>פייז מביאה פתרון דיגיטלי, ראשון מסוגו למדידה וניטור של כמות השתן אצל חולים המחוברים לקטטר, דבר הנעשה כיום באופן ידני. ניטור דיגיטלי שכזה יסייע במניעת AKI וShock המופיעים אצל חולים רבים לאחר אשפוז</t>
  </si>
  <si>
    <t>LightYX מציעה פתרון טכנולוגי פורץ דרך בתעשיית הבנייה עם מערכת BeamerOne, המאפשרת לצוותי הבנייה להקרין סימונים מדויקים על הקירות, הרצפה והתקרה באמצעות לייזר. המערכת משפרת דיוק ויעילות, ומאפשרת השוואה בזמן אמת בין התוכניות לשטח.</t>
  </si>
  <si>
    <t>פיקומרס מתמחה במערכות רובוטיות בעולם הלוגיסטיקה, ומפתחת מערכת ליקוט ואריזה אוטונומית לשיפור היעילות, חסכון בעלויות ושיפור התהליך הלוגיסטי, תוך שימוש במערכות מתקדמות של ראייה ממוחשבת וקבלת החלטות מבוססת בינה מלאכותית.</t>
  </si>
  <si>
    <t>עם ניסיון רב ביכולות הנדסיות ברמה עולמית, XJet מובילה את חזון הייצור הדיגיטלי. אנו ב- XJet, מפתחים, מייצרים ומשווקים פתרונות ייצור מובילים להדפסת תלת מימד עבור מתכת וקרמיקה.</t>
  </si>
  <si>
    <t>ביו-הרבסט בע"מ הינה חברת ביו-טק מובילה בטכנולוגיית סינתזה בוטנית, המייצרת מולקולות מצמחים ללא צורך בגידול הצמח כולו. מוצרינו, כמו VINIA®, מציעים מסיסות וזמינות ביולוגית גבוהה, ומספקים פתרונות בריאותיים באופן בר-קיימא ויעיל.</t>
  </si>
  <si>
    <t>חברת רדלר טכנולוגיות בע"מ מפתחת ומייצרת מערכות הינע ובקרת אנרגיה מהמתקדמות בעולם מבוססות פטנטים וטכנולוגיה בלעדית ונותנות מענה החל מרובוטיקה, תעשייה ומערכות ממונעות ומוטסות.</t>
  </si>
  <si>
    <t>מסלול פיתוח מוצר- קרן מופ"ת</t>
  </si>
  <si>
    <t>מסלול תנופה- קרן ההזנק</t>
  </si>
  <si>
    <t>פלטפורמת טראומה סינק מחברת את כל שרשרת ההישרדות בטראומה, החל מהמגיב הראשון בזירה ועד לחדר הטראומה בבית החולים, ובכך מפחיתה משמעותית את התמותה והנכות כתוצאה מטראומה הן במערכות הבריאות הצבאיות והן במערכות הבריאות האזרחיות</t>
  </si>
  <si>
    <t>אייפקס ביו מפתחת שיטות לטיפול וגילוי מוקדם למחלות האלצהיימר ומחלות נוירודגנרטיביות אחרות על בסיס זכויות בלעדיות לפריצות דרך חדשניות מאוניבריסטת בר אילן.</t>
  </si>
  <si>
    <t>מניעת זיהומים בבתי חולים ע"י שימוש בסיפון כיור חכם</t>
  </si>
  <si>
    <t>TIRESIAS מספקת יכולת התאמה בין מועמד לדרישות, אשר מקטינה את הסיכום.TIRESIAS  מביאה לידי ביטוי ניסיון ייחודי שנצבר בגופים רגישים במערכת הביטחון, הדורשים עמידה קפדנית בפרופיל התנהגותי. מימוש זה נשען על  אינטגרציה של מידע נגיש, לחיזוי מוקדם של מידת ההתא</t>
  </si>
  <si>
    <t>אורוול (Oravel) היא חברת סטארט-אפ המפתחת מכשירי חיטוי חדשניים המבוססים על טכנולוגיית אוזון.</t>
  </si>
  <si>
    <t>קרדיודט פיתחה מכשיר חדשני שנענד על האצבע, מיועד למעקב פעילות לב רציף, ומתמחה בזיהוי הפרעות קצב בזמן אמת, לרבות פרפור פרוזדורים (AFib) ו-Flutter. המכשיר עבר ניסוי קליני ראשוני מוצלח עם מדדי דיוק יוצאים מן הכלל ומיועד לשוק הגלובלי של המוניטורים של פעיל</t>
  </si>
  <si>
    <t>חברת פדריישן קלאוד (FederationCloud) הינה חברת הזנק בתחום ה-GenAI המתמחה בניתוח אנליטי של מערכות מורכבות. החברה מפתחת פתרון אנליטי פורץ דרך מבוסס GenAI המאפשר יכולות Self-Service BI מעל למידע הארגוני</t>
  </si>
  <si>
    <t>החברה נוסדה במטרה למצוא פתרונות אנרגטיים נקיים למען הדורות הבאים, תוך שימוש בטכנולוגיה ייחודית כבסיס למגוון מוצרים אשר יביאו להתייעלות אנרגטית במערכות קיימות, להורדה בפליטת מזהמים, וכן למיחזור ואגירת אנרגיה. תוך שימוש בחומרים ידידותיים לסביבה.</t>
  </si>
  <si>
    <t>ויקום מספקת תובנות מבוססות דאטה על ההתנהגות הבטיחותית של נהגים ומשתמשי הדרך על ידי שילוב נתוני Geo-spatial עם נתוני טלמטיקה של IoT's. פתרון ה-SaaS שלנו מציע פרופיל בטיחות נהגים למנהלי צי רכב ולספקי ביטוח, המאפשר ניהול הבטיחות לצורך הפחתת העלויות.</t>
  </si>
  <si>
    <t>אנו מפתחים חומרי קונטראסט חכמים לאיבחון סרטן באמצעות MRI. בזכות פריצת דרך מדעית שביצענו אנו מסוגלים לאפשר, לראשונה, שימוש נירחב בטכנולוגיה מצילת חיים זו</t>
  </si>
  <si>
    <t>דוקפלו מספקת תשובות לשאלות עסקיות בהתבסס על מסמכים, מאפשרת אוטומציה חכמה של טיפול במסמכים וחילוץ מידע מובנה מכל סוג מסמך ובכל שפה.</t>
  </si>
  <si>
    <t>חברת עדן מטיריאלס מפתחת ביופלסטיק מתכלה לחלוטין במטרה להשיג תחרותיות במחיר בשוק הפלסטיק הקיים. הטכנולוגיה מבוססת על פיתוח של האוניברסיטה העברית בבסיסה שימוש בפסולת חקלאית ובדגש על גרעיני פירות, החל מגרעיני תמרים.</t>
  </si>
  <si>
    <t>INORI Finance היא חברת פינטק המתמחה בפיתוח תשתית תשלומים מבוססת בלוקצ'יין להנפקה וניהול של שטרי תשלום דיגיטליים (DPNs) המשמשים בתהליכי תשלום לספקים ברחבי ישראל.</t>
  </si>
  <si>
    <t>מיזם לפיתוח מערכת לחיזוי משתני שדה לוח בשטח אורבני כפרמטר חיוני לתכנון אופטימלי של מסלול  לרחפן במונחי צריכת אנרגיה וגודל מטע"ד ובטיחות טיסה.</t>
  </si>
  <si>
    <t>אנאירוביקס מפתחת טכנולוגיות מבוססות מיקרובים באמצעות פלטפורמת EPONS™ ליצירת זנים חדשניים ובעלי ביצועים גבוהים לבריאות בעלי חיים וחלבון אלטרנטיבי, בשילוב מיקרוביולוגיה אנאירובית, פרמנטציה וביואינפורמטיקה.</t>
  </si>
  <si>
    <t>פלטפורמת LCAi מבוססת על סוכני בינה מלאכותית ומודלי שפה גדולים (LLM), ומבצעת הערכות מחזור חיים (LCA) בצורה יעילה, מהירה ופשוטה עבור כל מוצר.</t>
  </si>
  <si>
    <t>פיתוח מכשיר הדיר ומדויק לזיהוי ומיפוי חסר סנסורי במגוון קבוצות אוכלוסייה (סוכרת, שבץ מוחי, כימותרפיה) וכן מכשיר טיפולי ביתי משלים לשיפור ההליך השיקומי והבאתו לאופטימלי עבור המטופל הן ע"י פידבק מהמערכת והן על ידי האפשרות לאיבחון וטיוב הטיפול מרחוק של …</t>
  </si>
  <si>
    <t>מכשיר הנקה חכם המתחבר לשד האם, שואב חלב ומזרים אותו לתינוק בהתאם לדפוסי היניקה, תוך בקרה חכמה והתאמה אישית. פתרון חדשני לנוחות, בטיחות וחוויית הנקה הכי קרובה לטבעית.</t>
  </si>
  <si>
    <t>מעבדות לחדשנות טכנולוגית - תפעול שוטף/ תשתית טכנולוגית</t>
  </si>
  <si>
    <t>מעבדת חדשנות המשקיעה בחברות הזנק בתחום האקלים.</t>
  </si>
  <si>
    <t>החברה מפתחת מערכת רובוטית ממוזערת לשימוש חד פעמי, הנשלטת מרחוק ומאפשרת החדרת guidewires וצנתרים (מהמדף) לצורכי ביצוע פרוצדורות כלי דם (תת-עוריות)</t>
  </si>
  <si>
    <t>סייטורה הינה חברת ביו פארמה העוסקת בפיתוח תרפיות תאיות המתבססות על אוכלוסיה נדירה, ייחודית ומוגנת פטנט של תאי גזע המופקים מרירית הפה של תורמים בריאים. החברה עורכת ניסוים קליניים במספר אינדיקציות.</t>
  </si>
  <si>
    <t>קאפאוו היא חברה פורצת דרך בתחום העברת אנרגיה לרובוטים ניידים. לחברה פתרון ייחודי להעברת אנרגיה לרובוטים בעודם בתנועה, המייתר את הצורך לעצור על מנת להיטען באנרגיה. העברת האנרגיה בזמן תנועה מייצרת תפוקת עבודה מלאה ללא הפסדים עבור משיקי הפתרון.</t>
  </si>
  <si>
    <t>פעילות החברה מבוססת בעיקר על פרויקטים לקוחות סופיים ושואפת להפוך "לקבלן הבית " בתחום התוכנה האינטרנט והמובייל בקרב אותם לקוחות. החברה שואפת לפתח במקביל לביצוע הפרויקטים מוצרי מדף ולשווקם בארץ ובחו"ל. החברה עובדת במגוון שפות פיתוח ושואפת לחדשנות בתחום</t>
  </si>
  <si>
    <t>גראם היא פלטפורמה להכשרת יזמים במדעי החיים וביוקונברג'נס, הפועלת בירושלים. במסגרת שיתוף פעולה ייחודי עם האוניברסיטה העברית (IP-free), גראם מסייעת בתיקוף מדעי, קניין רוחני, רגולציה, גיוס הון ושותפויות להקמת חברות.</t>
  </si>
  <si>
    <t>הקמת, ליווי והפקת תוכניות הכשרה וקהילות</t>
  </si>
  <si>
    <t>החברה עוסקת בתוכניות הכשרה מתקדמות ויישומיות לבוגרי מקצועות ה- STEM</t>
  </si>
  <si>
    <t>מרכז הדרכה המתמחה בהכשרה מקצועית והשמה בעולמות ה-Networking, ה-Security וה-Data-Center.</t>
  </si>
  <si>
    <t>תוכנית האקסלרציה לטכנולוגיות עמוקות של רוד2חדשנות</t>
  </si>
  <si>
    <t>חברת Neat העוסקת במו"פ מערכות משולבות, מציעה תוכנית להדרכה והטמעת AI/ML בשיתוף TENSOR ו־Let’s AI, עם הכשרות מותאמות לארגונים וצוותי פיתוח, בפרונטלי ובאונליין, כולל קורס ייחודי למפתחי Embedded AI.</t>
  </si>
  <si>
    <t>Sigma Labs נועדה לזהות את הפערים וההזדמנויות לבניית ותמיכת מגזר ההייטק במזרח ירושלים.</t>
  </si>
  <si>
    <t>קרן המו"פ</t>
  </si>
  <si>
    <t>למו מפתחת תהליך תעשייתי להפחתת סוכר במשקאות טבעיים, שתאפשר לתעשייה לשלוט ברמות הסוכר בייצור מזון ומשקאות.</t>
  </si>
  <si>
    <t>חברת HYPERVISION ישראלית,  מפתחת מנויים ויזואליים עבור מציאות מדומה, תפתח במסגרת רשות החדשנות פתרון ל- ACCOMODTION CONFLICT VERGNECE ותגדיל בהירות של VR פי X10 .</t>
  </si>
  <si>
    <t>החברה עוסקת בפיתוח יריעה לכיסוי חממה מפלסטיק ייחודי אשר משלב טכנולוגיה פוטוכרומית וננו-חלקיקים שמייצרים ויסות תרמי מתקדם עם התנהגות אוטונומית כדי ליצור פתרון דינמי ומגיב לשמירה על טמפרטורות אופטימליות לאורך כל עונות השנה.</t>
  </si>
  <si>
    <t>חברת פודטק צעירה, בעלת רוב נשי, שקמה כשותפות אסטרטגית בין חברת אקסלתא מהטכניון המחזיקה בידע בתרביות תאי גזע, לחברת Feed Better מהחברות המובילות בארץ ביצור מזון ובעלת מתקני יצור מזון בעמק הירדן. במסגרת התוכנית יפותח פילה דג מתורבת כתחליף למוצרי דגים ק…</t>
  </si>
  <si>
    <t>פלטפורמה אנדוסקופית לביצוע ביופסיה המאפשרת מתן טיפולים מתקדמים, עם פוטנציאל שוק של 14 מיליארד דולר. וואנפאס פיתחה את ה InstaFAN, מכשיר מרובה מחט ללקיחת ביופסיה ולמתן ישיר של טיפולים לתוך גידולים ממאירים בלבלב וכבד ובריאות</t>
  </si>
  <si>
    <t>Saffron Tech היא האגרו-טק הראשונה והיחידה בעולם המגדלת זעפרן בגידול ורטיקלי תוך מימוש פיתוח פרוטוקול גידול שפותח וטכנולוגיות אגרוחקלאיות חדשניות. כמו כן, החברה מייצרת על בסיס זעפרן מייצצורה תמציות זעפרן בעלות אפקטיביות מוגברת לשוק הפארמה והקוסמטיקה.</t>
  </si>
  <si>
    <t>פלטפורמה טכנולוגית מוגנת פטנט, מבוססת SWIR ו-AI לזיהוי וסיווג סמנים ביולוגים מתחת לפני העור, מאפשרת אבחון מוקדם, לא חודרני, בזמן הבדיקה, של פצעי לחץ (שיווק) ופצעי רגל סוכרתית (סיום פיתוח), ללא תלות בגוון העור, ובמיומנות המפעיל. מאושר FDA לשיווק ב-US</t>
  </si>
  <si>
    <t>קרן המו"פ – בקשת המשך שנה שניה/ שלישית לתאגיד הזנק  זכאי</t>
  </si>
  <si>
    <t>טכנולוגיה פורצת דרך – Private AI Identity™ – פתרון ביומטרי חדשני לזיהוי אנשים תוך שמירה על הפרטיות, מיועד ליישומים מסחריים מהותיים, תוך שימוש בדימות מכ"ם למרחב הפרטי ועוד.</t>
  </si>
  <si>
    <t>Mocart היא חברת טכנולוגיה מתקדמת המתמחה בחוויות אינטרנט תלת-ממד מונעות בינה מלאכותית עבור אתרי אינטרנט.</t>
  </si>
  <si>
    <t>Validit היא פלטפורמה חדשנית לגילוי ומניעת הונאה המשלבת מדידה פיזיולוגית וביומטרית עם שיטות מדעיות מעולם הפוליגרף. הטכנולוגיה שלנו מאפשרת לאמת כל הצהרה, כתב ויתור, שאלון וזאת תוך שימוש בחיישני הטלפון החכם בלבד. לא נדרשת חומרה כלשהי והמערכת מבוססת האפל…</t>
  </si>
  <si>
    <t>קרן המו"פ – בקשת המשך שנה שניה/ שלישית לתאגיד צמיחה זכאי</t>
  </si>
  <si>
    <t>אקסלתא היא חברת ביוטכנולוגיה בעלת פלטפורמה המאפשרת גידול תרביות תאים בצפיפות בתרחיף. החברה מפתחת שומן חלב מתורבת כחלופה איכותית לשומן חלב מסורתי, עם טעם, מרקם וערכים תזונתיים דומים. הטכנולוגיה הייחודית מאפשרת ייצור יעיל בקנה מידה תעשייתי ללא תלות בחי</t>
  </si>
  <si>
    <t>MAPPO פיתחה טכנולוגיה ליצירת תכנים מבוססי מיקום לעולם הרכב . MAPPO מנגישה את התכנים באמצעות מערכת האינפוטיינמנט בצורה  מותאמת אישית, מחוברת לדאטא ולסנסורים של הרכב, ומספקת תוכן חי ON THE FLY</t>
  </si>
  <si>
    <t>גורדיאן סרג'יקל, בעלת טכנולוגיה ייחודית לסגירת פורטים בניתוחים לפרוסקופיים ורובוטיים באופן פשוט, מהיר ויעיל  והפחתה דרמטית של הסיכון להתפתחות בקע. המוצר הראשון ™TroClose (מאושר FDA) נמכר בשוק. מוצר שני נמצא בפיתוח.</t>
  </si>
  <si>
    <t>Mobile Physics מעצימה ערים עם נתונים בזמן אמת לתכנון עירוני מיטבי, רווחת מגורים וניטור נושאים פרואקטיביים. שפר את השירותים, חזה את הביקוש והגבר את שירות הלקוחות עם תובנות סביבתיות ברזולוציה גבוהה.</t>
  </si>
  <si>
    <t>מדהסנס מפתחת ומשווקת פלטפורמת חישה משולבת בינה מלאכותית, המאפשרת למטפלים להתאים באופן אישי את הטיפול בכאב למטופל על מנת להפחית את הכאב ולהימנע ממינוני יתר.</t>
  </si>
  <si>
    <t>בדיקת cResponse בוחנת את היעילות של טיפולים אונקולוגיים שונים על הגידול הסרטני עצמו, משולבת עם בדיקת ריצוף גנומי מהירה, ומסייעת בבחירת הטיפול המתאים ביותר עבור כל חולה סרטן</t>
  </si>
  <si>
    <t>סנסורז נוסדה בשנת 2021. סנסורז  - אינטליגנציה ספקטרלית מבוססת  AI -  סנסורז מפתחת ומשווקת פתרון מבוסס תוכנה בתחום ה- RF  וניתוח אותות ספקטרליים עם יכולות מתקדמות בתחום הבינה המלאכותית ורשתותנוירונים.</t>
  </si>
  <si>
    <t>kemtai נוסדה ב 2019 והיא מפתחת פלטפורמה לישומי פיזיותרפיה ושיקום, בה המשתמש יכול להתאמן בביתו בעזרת מאמן/פיזיותרפיסט וירטואלי שמספק פידבק וציון לתרגילים של האימון בזמן אמת. המערכת מאפשרת לאנשים לבצע את התרגילים בבית תוך הקפדה על התנועות הנכונות.</t>
  </si>
  <si>
    <t>החברה העוסקת בפיתוח טכנולוגיית  AI ופתרונות לתעשיית הייצור העולמית בדגש על תעשיית הרכב. לחברה הסכם oem גלובלי עם סימנס העולמית לשיווק המוצרים, וערוצים אחרים ותחילת מכירות לחברות הרכב הגדולות.</t>
  </si>
  <si>
    <t>החברה עוזרת לציי רכב ולנהגים לעבור לרכב חשמלי ולתכנן את הטעינה של הרכבים בצורה אופטימלית ועל ידי כך היא עוזרת להם לחסוך זמן, כסף וCO2.החברה גייסה 4.3 מיליון דולר ממשקיעים אסטרטגיים ויש לה הסכמים ושת"פים עם התאגידים הגדולים בעולם בתחום האנרגיה והרכב.</t>
  </si>
  <si>
    <t>פרגננטק פיתחה התקן רפואי לא פולשני, בצורת טבעת סיליקון אלסטית, הממוקמת בצוואר הרחם ומיועדת להפחתת שיעור הלידות המוקדמות הספונטניות בקרב נשים  בהריון בסיכון גבוה.</t>
  </si>
  <si>
    <t>החברה מפתחת טיפול  ע"י עריכה גנטית לדושן המבוסס על מערכת הובלה (LNP) חדשנית המגיעה לשרירים ור.נ.א המותאם לביטוי בשרירים</t>
  </si>
  <si>
    <t>מכשור רפואי מושתל להוצאת נוזלי גודש בחולי כשל לב, כליות ואינדיקציות אחרות</t>
  </si>
  <si>
    <t>פלטפורמה המאפשרת שימוש בבינה מלאכותית יוצרת (generative AI) באופן אמין עבור שאילתות מורכבות תוך שמירה על סודיות מידע. שהמערכת תדע לתקף כל תשובה אותה היא מספקת בנתונים וכן כלים המוודאים את התוצאה הסופית ומאפשרים שקיפות למקורות המידע והסקת המסקנות</t>
  </si>
  <si>
    <t>מוצר AI לפענוח צילומי CT לגילוי סרטן הריאות</t>
  </si>
  <si>
    <t>Quai.MD   מפתחת פלטפורמה מבוססת בינה מלאכותית לאוטומציה והתאמה אישית של תהליכים קליניים בבתי חולים. המערכת עונה על צורך אקוטי של התמודדות עם השונות הגבוהה הקיימת היום בתהליכי טיפול הרפואי. הפוקוס הראשוני הינו ברפואה דחופה.</t>
  </si>
  <si>
    <t>תוכנית לעידוד הנבטה ויזמות - מועדוני אנג'לים</t>
  </si>
  <si>
    <t>מועדון אנג'לים</t>
  </si>
  <si>
    <t>פורום המשקיעים בע"מ בנוי ממשקיעים מקצועיים וכשירים, המכהנים כבכירים בחברות המובילות במשק, בשיתוף עם עמותת בוגרי היחידה הטכנולוגית 81 ואוניברסיטת בן גוריון. הפורום ישקיע בחברות בשלבים מוקדמים בעיקר בתחומי deep tech  וגם בתכנה ובסייבר.</t>
  </si>
  <si>
    <t>כלי להשקעות פרטיות בסטארטאפים ישראליים בשלבים מוקדמים. מבוסס על רשת אמינה של יזמים ומומחים עם היכרות אישית של החברות והיזמים, לאיתור הזדמנויות איכותיות. מגוון רחב של תחומי השקעה בסכומים של עד $500,000. זוכה הרשות לחדשנות במכרז להקמת מועדוני אנג׳לים.</t>
  </si>
  <si>
    <t>תמיכה בביצוע פיילוטים (מסלול הטבה מס' 1)</t>
  </si>
  <si>
    <t>חברת וורבל דיוויסס הינה חברה טכנולוגית בצמיחה המפתחת מכשירים לבישים מבוססי בינה מלאכותית המיועדים לשוק הצרכני B2C ולשוק העיסקי B2B. מוצר הדגל של החברה, Mudra Band עבור Apple Watch, משלב טכנולוגיה ואלגוריתמים חדשניים מבוססי בינה מלאכותית.</t>
  </si>
  <si>
    <t>התעשייה האווירית לישראל היא חברה ממשלתית ישראלית, אשר מפתחת ומייצרת מוצרים תעופתיים, יבשה וים, מערכות חלל, מערכות בטחוניות וצבאיות, סייבר ומוצרי אלקטרוניקה. התעשייה האווירית היא החברה הגדולה בישראל בתחום תעשיית המטוסים והחלל.</t>
  </si>
  <si>
    <t>חברת טרילוגי'קל טכנולוגיות בע"מ ספקית מוצרים מתקדמים לייעול תהליכי תפעול ואחזקה בעולמות רכבות נוסעים, משא ושדות התעופה באמצעות פתוח חומרה ותוכנה ייחודים, משולבים ברכיבי סייבר ונתוח מתקדם AI. לחברה פעילות בשווקים הבינלאומיים.</t>
  </si>
  <si>
    <t>חברת בו אנד בו מפתחת, מייצרת ומשווקת מוצרים טכנולוגיים חדשניים המבוססים על חיישני תנועה, ביו-פידבק ומשחקים אינטראקטיביים לתחום השיקום.</t>
  </si>
  <si>
    <t>ברוק תעופה הנה חברת תעופה אשר חרטה על דגלה קידום של טכנולוגיות תעופה מתקדמת באמצעות פיתוח, אפיון והטמעה הן במרחב האוירי והן במרחב התשתיות הפיזיות התומכות</t>
  </si>
  <si>
    <t>ווי-אגרי שואפת להנגיש את שוק הפחמן לעולם החקלאות כשבליבת החדשנות הטכנולוגית מערכת בינה מלאכותית המתמחה בניהול פרויקטים של חקלאות מתחדשת – פלטפורמה חכמה מונעת נתונים שתספק פתרון טכנולוגי הוליסטי הראשון מסוגו בעולם המבטיח מימוש מלוא הפוטנציאל הפחמני</t>
  </si>
  <si>
    <t>רופלור דרונס מפעילה את AutoDrone – מערך רחפנים אוטונומיים למגוון יישומים ביטחוניים, אזרחיים ותעשייתיים, בשיתוף FlightOps ו־Airwayz, עם פתרון מלא משליטה ובקרה ועד הפעלה רציפה ובטוחה.</t>
  </si>
  <si>
    <t>חברת 6Degrees פתחה טכנולוגיה חכמה לניטור וזיהוי תנועות גפיים אשר יועד במקור לעזור לאנשים בעלי מוגבלות פיזית, קבועות או זמניות. מוצר החברה נועד לעבוד עם מגוון של מוגבלות תוך התחשבות ולמידה של היכולות והצרכים של כל אחד ואחת.  מערכת החברה משתמשות ביכולו…</t>
  </si>
  <si>
    <t>קוגנישיין היא פלטפורמת טיפול דיגיטלית לארגונית, המאפשרת לקלינאי תקשורת, מרפאים בעיסוק ועוד מטפלים ממקצועות הבריאות לספק טיפולים סינכרוניים, א-סינכרוניים ומרחוק לשפר יעילות, להרחיב את שירותיהם ולהשיג תוצאות טובות יותר</t>
  </si>
  <si>
    <t>מערכות נגד רחפנים (Counter-UAS)</t>
  </si>
  <si>
    <t>כרונומי מציעה שירות ייחודי ראשון מסוגו בישראל — ליסינג אוירי מבצעי בעזרת רחפנים אוטונומיים, המאוחדים עם בינה מלאכותית ומוקד שליטה מרוחק הפועל 24/7. כל זה נעשה בלי הצורך ברכישת ציוד, בלי דאגות רגולטוריות, ובלי מאמץ מצד הלקוח .</t>
  </si>
  <si>
    <t>Enervibeמחוללת מהפכה באיסוף נתונים באמצעות מודול חישה קנייני עם קולטי אנרגיה קינטית, ו ML לניטור וניתוח נתוני צמיגים בזמן אמת במהלך נהיגה, להפחתת תאונות דרכים וחיסכון משמעותי בדלק עבור ציי רכב.</t>
  </si>
  <si>
    <t>פלייטאופס הינה חלוצה בפיתול תוכנה מבוססת בינה מלאכותית לאוטומציה ותפעול רחפנים במתארים מורכבים. לחברה נוכחות חזקה בארה"ב ובאירופה. עם מאות אלפי טיסות מבצעיות שבוצעו באמצעות פלייטאופס – זהו הפתרון הבשל והאמין ביותר בשוק.</t>
  </si>
  <si>
    <t>המוצר הסופי המיועד הוא פלטפורמת אודיולוגיה משולבת, אשר תוטמע במרפאות. הפלטפורמה של Tuned מבוססת אפליקציה ומספקת מגוון שירותים למשתמשי מכשירי שמיעה ולאודיולוגים שלהם.</t>
  </si>
  <si>
    <t>סטארט-אפ ישראלי המפתח פתרון טכנולוגי אוטומטי וחדשני לציפוי חממות ביריעות פלסטיק , תהליך שדורש עבודה ידנית קשה, יקרה ומסוכנת. המערכת מאפשרת לחקלאים לפרוס ולגלול את היריעות במהירות, בקלות ובדיוק גבוה, תוך הפחתת בזבוז ח"ג ושיפור משמעותי ביעילות התפעולית</t>
  </si>
  <si>
    <t>טנג׳אבל מפתחת טכנולוגיה פורצת דרך של שתלים נוירו-חישתיים, המחזירה תחושה לאחר טראומה או מחלה. השילוב בין חיישנים זעירים למעבדים חכמים משנה את הדרך בה מטופלים מתאוששים</t>
  </si>
  <si>
    <t>לוגו מעמידה לרשותכם פתרונות עתירי יכולות, הספק ודיוק על מנת להפיק את המרב מהתוצרת החקלאית, להאיץ את תהליכי המיון והאריזה ולייצר ארגזי פרות הומוגניים ורווחיים יותר.  כשם שאתם מקפידים על כל שלב בגידול, אנחנו מקפידים על כל שלב בטיפול בתוצרת שלכם.</t>
  </si>
  <si>
    <t>קאנדו הינה אחת  מ-10 החברות המובילות בעולם במתן פתרונות מבוססי רחפנים, באמצעות שילוב של טכנולוגיות מתקדמות, המספקות פתרון מלא ללקוח. הטכנולוגיות שלנו משפרות את פעילות במגזר הביטחון והלוגיסטיקה בתחומי התחבורה ושרשרת האספקה בכללותה .</t>
  </si>
  <si>
    <t>ניוטון טק מפתחת מכשור רפואי מתקדם ופתרונות בריאות דיגיטליים, המשתמשים בתנועות גופך כביומרקר מתקדם ואינו פולשני. אנחנו משתמשים בתנועות הגוף כדי להבין את סיפורו של הגוף, ולשקם אותו.</t>
  </si>
  <si>
    <t>תנופה- הגשה על ידי יזם/ קבוצת יזמים</t>
  </si>
  <si>
    <t>Threatdash   מאחדת נתוני IT, OT ו-AI . מספקת תצוגת סיכונים עסקית אחת לכל הנכסים הדיגיטליים והפיזיים.</t>
  </si>
  <si>
    <t>ב־CapsiBreed אנו מיישמים את כוחה של העריכה הגנטית כדי לפתח זנים חדשניים של פלפלים חריפים ומתוקים, העונים על הצרכים המשתנים של מגדלים, צרכנים והתעשייה.</t>
  </si>
  <si>
    <t>CYQU היא חברת סייבר המתמחה בהצפנה פוסט-קוונטית ותשתיות אמון דיגיטליות. אנו מספקים פתרונות פרקטיים להגנת נכסים דיגיטליים מפני איומי מחשוב קוונטי, בשילוב טכנולוגיות הצפנה מתקדמות וסטנדרטים בינלאומיים.</t>
  </si>
  <si>
    <t>AI ליצירת תוכן ספורט מותאם אישית</t>
  </si>
  <si>
    <t>פלטפורמת שיחות דיגיטליות ו-AI לשירות לקוחות</t>
  </si>
  <si>
    <t>Schduale meeting with Alex &amp; Yipaht</t>
  </si>
  <si>
    <t>Meeting</t>
  </si>
  <si>
    <t>נורטרה</t>
  </si>
  <si>
    <t>בקשה לפגישה עם יפעת</t>
  </si>
  <si>
    <t>סטטוס</t>
  </si>
  <si>
    <t>בקשה פגישה</t>
  </si>
  <si>
    <t>Daya@taryag-group.com</t>
  </si>
  <si>
    <t>דיה</t>
  </si>
  <si>
    <t>לטוין</t>
  </si>
  <si>
    <t>Status</t>
  </si>
  <si>
    <t>מיה איל</t>
  </si>
  <si>
    <t xml:space="preserve">ניקי </t>
  </si>
  <si>
    <t>אוריאל פרמן</t>
  </si>
  <si>
    <t>דיה לטוין</t>
  </si>
  <si>
    <t>Waiting of answer</t>
  </si>
  <si>
    <t>Done</t>
  </si>
  <si>
    <t>In Progress</t>
  </si>
  <si>
    <t>Days in Status</t>
  </si>
  <si>
    <t>Days to next</t>
  </si>
  <si>
    <t>Next Actions</t>
  </si>
  <si>
    <t>NEAT CRM</t>
  </si>
  <si>
    <t>Lead</t>
  </si>
  <si>
    <t>Customer</t>
  </si>
  <si>
    <t>Past Customer</t>
  </si>
  <si>
    <t>Supplier</t>
  </si>
  <si>
    <t>Contact</t>
  </si>
  <si>
    <t>נבו</t>
  </si>
  <si>
    <t>בן דב</t>
  </si>
  <si>
    <t>Student</t>
  </si>
  <si>
    <t>nevo.bd@gmail.com</t>
  </si>
  <si>
    <t>Lior</t>
  </si>
  <si>
    <t>Raviv</t>
  </si>
  <si>
    <t>liorr@pluri-biotec.com</t>
  </si>
  <si>
    <t>Avishai</t>
  </si>
  <si>
    <t>OZ</t>
  </si>
  <si>
    <t>avishaioz80@gmail.com</t>
  </si>
  <si>
    <t>Tal</t>
  </si>
  <si>
    <t>Shklar</t>
  </si>
  <si>
    <t>tal.shklar@frisimos.com</t>
  </si>
  <si>
    <t>tzvikfr@gmail.com</t>
  </si>
  <si>
    <t>חנן</t>
  </si>
  <si>
    <t>בן רון</t>
  </si>
  <si>
    <t>hanan@frisimos.com</t>
  </si>
  <si>
    <t>דליה</t>
  </si>
  <si>
    <t>קוק</t>
  </si>
  <si>
    <t>dalia.bekker@gmail.com</t>
  </si>
  <si>
    <t>ענאן</t>
  </si>
  <si>
    <t>anans2861@gmail.com</t>
  </si>
  <si>
    <t>Liat</t>
  </si>
  <si>
    <t>Af</t>
  </si>
  <si>
    <t>liat.afwork@gmail.com</t>
  </si>
  <si>
    <t>efratcy@gmail.com</t>
  </si>
  <si>
    <t>פלדל</t>
  </si>
  <si>
    <t>ifatfle@gmail.com</t>
  </si>
  <si>
    <t>Vladimir</t>
  </si>
  <si>
    <t>Vesnin</t>
  </si>
  <si>
    <t>vladimir.v@sigasec.com</t>
  </si>
  <si>
    <t>בר</t>
  </si>
  <si>
    <t>vic.bar.tor@gmail.com</t>
  </si>
  <si>
    <t>מחלב</t>
  </si>
  <si>
    <t>or@vistralai.com</t>
  </si>
  <si>
    <t>שמע</t>
  </si>
  <si>
    <t>raanan@crystalvision.co.il</t>
  </si>
  <si>
    <t>Zengo</t>
  </si>
  <si>
    <t>SIGA</t>
  </si>
  <si>
    <t>Vistral AI</t>
  </si>
  <si>
    <t>Matrix</t>
  </si>
  <si>
    <t>בנק הפועלים</t>
  </si>
  <si>
    <t>Edspire</t>
  </si>
  <si>
    <t>סימפה דיזיים</t>
  </si>
  <si>
    <t>AIcademy Webinars</t>
  </si>
  <si>
    <t>אסתי</t>
  </si>
  <si>
    <t>לונדנר</t>
  </si>
  <si>
    <t>נתנאל</t>
  </si>
  <si>
    <t>יצחק</t>
  </si>
  <si>
    <t>לאל</t>
  </si>
  <si>
    <t>חמו</t>
  </si>
  <si>
    <t>בדיחי</t>
  </si>
  <si>
    <t>חי</t>
  </si>
  <si>
    <t>אביאל</t>
  </si>
  <si>
    <t>צעירי</t>
  </si>
  <si>
    <t>יער</t>
  </si>
  <si>
    <t>ליבנה</t>
  </si>
  <si>
    <t>רוזנבאום</t>
  </si>
  <si>
    <t>צ׳ולסקי</t>
  </si>
  <si>
    <t>עירון</t>
  </si>
  <si>
    <t>גלנטי</t>
  </si>
  <si>
    <t>מאיירס</t>
  </si>
  <si>
    <t>קולנגי</t>
  </si>
  <si>
    <t>אלישע</t>
  </si>
  <si>
    <t>שישו</t>
  </si>
  <si>
    <t>Itay</t>
  </si>
  <si>
    <t>Avioz</t>
  </si>
  <si>
    <t>קרטן</t>
  </si>
  <si>
    <t>במברגר</t>
  </si>
  <si>
    <t>סלומון</t>
  </si>
  <si>
    <t>ארזי</t>
  </si>
  <si>
    <t>קפלן</t>
  </si>
  <si>
    <t>ושדי</t>
  </si>
  <si>
    <t>אלרעי</t>
  </si>
  <si>
    <t>ויצמן</t>
  </si>
  <si>
    <t>דודו</t>
  </si>
  <si>
    <t>לרנר</t>
  </si>
  <si>
    <t>אחיה</t>
  </si>
  <si>
    <t>מלול</t>
  </si>
  <si>
    <t>זונדר</t>
  </si>
  <si>
    <t>מנשה</t>
  </si>
  <si>
    <t>יהונתן</t>
  </si>
  <si>
    <t>מנדוסה</t>
  </si>
  <si>
    <t>Yiphat</t>
  </si>
  <si>
    <t>אוריון</t>
  </si>
  <si>
    <t>קלדרון</t>
  </si>
  <si>
    <t>אביתר</t>
  </si>
  <si>
    <t>זלצמן</t>
  </si>
  <si>
    <t>קמה</t>
  </si>
  <si>
    <t>זקס</t>
  </si>
  <si>
    <t>ראובן</t>
  </si>
  <si>
    <t>הכהן</t>
  </si>
  <si>
    <t>אריה</t>
  </si>
  <si>
    <t>זנדר</t>
  </si>
  <si>
    <t>גנון</t>
  </si>
  <si>
    <t>אומר</t>
  </si>
  <si>
    <t>מתנאל</t>
  </si>
  <si>
    <t>לביא</t>
  </si>
  <si>
    <t>ברקוביץ</t>
  </si>
  <si>
    <t>Student Lead</t>
  </si>
  <si>
    <t>Esteem@galcon.co.il</t>
  </si>
  <si>
    <t>itaylo6@yahoo.com</t>
  </si>
  <si>
    <t>ntitz19@gmail.com</t>
  </si>
  <si>
    <t>laelco11@gmail.com</t>
  </si>
  <si>
    <t>orichamo@gmail.com</t>
  </si>
  <si>
    <t>zivbadihi@gmail.com</t>
  </si>
  <si>
    <t>dotan.bh1@gmail.com</t>
  </si>
  <si>
    <t>aviel.zairi@gmail.com</t>
  </si>
  <si>
    <t>matan.cobi@gmail.com</t>
  </si>
  <si>
    <t>yaarshalom18@gmail.com</t>
  </si>
  <si>
    <t>livnushi@gmail.com</t>
  </si>
  <si>
    <t>sashaoxi10@gmail.com</t>
  </si>
  <si>
    <t>oreniron3@gmail.com</t>
  </si>
  <si>
    <t>denisgodyaev23@gmail.com</t>
  </si>
  <si>
    <t>talshmuely12@gmail.com</t>
  </si>
  <si>
    <t>mtgalanti@gmail.com</t>
  </si>
  <si>
    <t>jarredmyers@gmail.com</t>
  </si>
  <si>
    <t>liorkoll@gmail.com</t>
  </si>
  <si>
    <t>kobi240971@gamil.com</t>
  </si>
  <si>
    <t>guysiso12@gmail.com</t>
  </si>
  <si>
    <t>amimoyal53@yahoo.com</t>
  </si>
  <si>
    <t>itayavioz1@gmail.com</t>
  </si>
  <si>
    <t>amitkert101@gmail.com</t>
  </si>
  <si>
    <t>a0508892396@gmail.com</t>
  </si>
  <si>
    <t>assafdvarim@gmail.com</t>
  </si>
  <si>
    <t>shlomivak295@gmail.com</t>
  </si>
  <si>
    <t>benisalo2@gmail.com</t>
  </si>
  <si>
    <t>ozarzi7@gmail.com</t>
  </si>
  <si>
    <t>Sivkaplan3012@gmail.com</t>
  </si>
  <si>
    <t>shai.vashdi1@gmail.com</t>
  </si>
  <si>
    <t>galamit1919@gmail.com</t>
  </si>
  <si>
    <t>kobinahum10@gmail.com</t>
  </si>
  <si>
    <t>guyalroy@gmail.com</t>
  </si>
  <si>
    <t>yonatanriel@gmail.com</t>
  </si>
  <si>
    <t>dvorahimi1@gmail.com</t>
  </si>
  <si>
    <t>trypartylol@gmail.com</t>
  </si>
  <si>
    <t>achia.sh@gmail.com</t>
  </si>
  <si>
    <t>nivmalul@gmail.com</t>
  </si>
  <si>
    <t>oren.zonder@gmail.com</t>
  </si>
  <si>
    <t>roni.men12471@gmail.com</t>
  </si>
  <si>
    <t>yonatanmen10@gmail.com</t>
  </si>
  <si>
    <t>kfir1978@gmail.com</t>
  </si>
  <si>
    <t>orion.calderon@gmail.com</t>
  </si>
  <si>
    <t>evyakep@gmail.com</t>
  </si>
  <si>
    <t>moran27@gmail.com</t>
  </si>
  <si>
    <t>yisrael548@gmail.com</t>
  </si>
  <si>
    <t>sharon1337@gmail.com</t>
  </si>
  <si>
    <t>hacohen20@gmail.com</t>
  </si>
  <si>
    <t>ariebe@gmail.com</t>
  </si>
  <si>
    <t>ayelet.sen@gmail.com</t>
  </si>
  <si>
    <t>barak.ganon@gmail.com</t>
  </si>
  <si>
    <t>omer7levi@gmail.com</t>
  </si>
  <si>
    <t>mtnlmnn@gmail.com</t>
  </si>
  <si>
    <t>doranlavi@gmail.com</t>
  </si>
  <si>
    <t>vladi.solov@gmail.com</t>
  </si>
  <si>
    <t>dvirber87@gmail.com</t>
  </si>
  <si>
    <t>052-9519978</t>
  </si>
  <si>
    <t>052-3977515</t>
  </si>
  <si>
    <t>050-8564706</t>
  </si>
  <si>
    <t>052-2264717</t>
  </si>
  <si>
    <t>052-6772976</t>
  </si>
  <si>
    <t>050-4448480</t>
  </si>
  <si>
    <t>052-5556720</t>
  </si>
  <si>
    <t>050-535-1493</t>
  </si>
  <si>
    <t>AIcademy Form</t>
  </si>
  <si>
    <t>CTO invitation - Personal Meeting R&amp;D</t>
  </si>
  <si>
    <t>Interaction Date</t>
  </si>
  <si>
    <t>Scheduale meeting with Alex &amp; Yipaht</t>
  </si>
  <si>
    <t>Yiphat+Alex+Daya</t>
  </si>
  <si>
    <t>Neat Intro &amp; Oravel &amp; AI</t>
  </si>
  <si>
    <t>Alvox Bio</t>
  </si>
  <si>
    <t>רשהח"ד 3.26</t>
  </si>
  <si>
    <t>Biotization</t>
  </si>
  <si>
    <t>https://www.biotization.com/</t>
  </si>
  <si>
    <t>AI integration</t>
  </si>
  <si>
    <t>פיתוח תכניות ביוטכנולוגיה לשיפור ייצור חקלאי</t>
  </si>
  <si>
    <t>DONKIT AI</t>
  </si>
  <si>
    <t>https://www.donkit.ai</t>
  </si>
  <si>
    <t>פלטפורמת AI להבנה אוטומטית וניהול מסמכים ארגוניים</t>
  </si>
  <si>
    <t>HEMISPHERIC AI</t>
  </si>
  <si>
    <t>https://www.hemispheric.ai</t>
  </si>
  <si>
    <t>AI לניתוח תמונות סטלליטריות וניתוח נתוני הנדסה קרקעית</t>
  </si>
  <si>
    <t>Maverick AI</t>
  </si>
  <si>
    <t>https://www.themaverickai.com</t>
  </si>
  <si>
    <t>מנוע AI לניהול אוטומטי של סיכונים בביטוח ופיננסים</t>
  </si>
  <si>
    <t>SiOpt Systems</t>
  </si>
  <si>
    <t>siopt.ai</t>
  </si>
  <si>
    <t>טכנולוגיית ראיה חישובית לבדיקת איכות בייצור מוליכים למחצה</t>
  </si>
  <si>
    <t>TIKI100</t>
  </si>
  <si>
    <t>https://sites.google.com/tiki100.com/tiki100/home</t>
  </si>
  <si>
    <t>טיפול דרכי השתן לנשים</t>
  </si>
  <si>
    <t>אוניברסיטת בן-גוריון B.G. Technologies &amp; Application</t>
  </si>
  <si>
    <t>https://in.bgu.ac.il/en/bgn/</t>
  </si>
  <si>
    <t>מרכז להעברה וקומרציאליזציה של פטנטים אוניברסיטאיים</t>
  </si>
  <si>
    <t>אוקימתא טכנולוגיות</t>
  </si>
  <si>
    <t>טכנולוגיות יצור ותעשיה חכמה</t>
  </si>
  <si>
    <t>אורבוטק</t>
  </si>
  <si>
    <t>http://www.orbotech.com</t>
  </si>
  <si>
    <t>טכנולוגיית הדפסה אלקטרו-אופטית וציוד בדיקה אלקטרוני</t>
  </si>
  <si>
    <t>אי אייץ' וי ישראל</t>
  </si>
  <si>
    <t>Hub</t>
  </si>
  <si>
    <t>משקיע בחברות סטארט-אפ בתחום בריאות ובדיקות רפואיות</t>
  </si>
  <si>
    <t>אינסיגניטו פתרונות</t>
  </si>
  <si>
    <t>https://www.insignito.com/</t>
  </si>
  <si>
    <t>שליטה באקוסטיקה של רחפנים</t>
  </si>
  <si>
    <t>איקונסוניק</t>
  </si>
  <si>
    <t>https://iconiq.co.il/en</t>
  </si>
  <si>
    <t>מערכות אולטראסאונד ודימות רפואית לאבחון קליני</t>
  </si>
  <si>
    <t>אל2אקס</t>
  </si>
  <si>
    <t>l2xlabs.com</t>
  </si>
  <si>
    <t>פתרונות אבטחה סייבר לתגובה לאירועים וניהול תקריות</t>
  </si>
  <si>
    <t>אלביט מערכות</t>
  </si>
  <si>
    <t>http://www.elbitsystems.com</t>
  </si>
  <si>
    <t>מערכות רובוטיות ואלקטרוניקה להגנה וביטחון</t>
  </si>
  <si>
    <t>אן.ג'י.טי. הלטקייר 2 ש.מ</t>
  </si>
  <si>
    <t>ngt3vc.com</t>
  </si>
  <si>
    <t>קרן הון סיכון להשקעה בחברות טכנולוגיה בשלבים מוקדמים</t>
  </si>
  <si>
    <t>אקטימייז</t>
  </si>
  <si>
    <t>http://www.nice.com</t>
  </si>
  <si>
    <t>פלטפורמת תוכנה לאוטומציה של שירות לקוחות ודירוג מכירות</t>
  </si>
  <si>
    <t>אקסוקיור תראפאוטיקס</t>
  </si>
  <si>
    <t>http://www.exocure-therapeutics.com</t>
  </si>
  <si>
    <t>פיתוח תרופות ביוטכנולוגיות לסוגי סרטן נדירים</t>
  </si>
  <si>
    <t>ארדנה מעבדות</t>
  </si>
  <si>
    <t>מעבדה דיאגנוסטיקה רפואית</t>
  </si>
  <si>
    <t>ביראד- חברה למחקר ופיתוח</t>
  </si>
  <si>
    <t>החבר המסחרית של בר אילן</t>
  </si>
  <si>
    <t>ג'נופור</t>
  </si>
  <si>
    <t>http://www.genopore.com</t>
  </si>
  <si>
    <t>ניתוח גנומי לזיהוי מוטציות גנטיות בסרטן ורפואה אישית</t>
  </si>
  <si>
    <t>גילת רשתות לוויין</t>
  </si>
  <si>
    <t>http://www.gilat.com</t>
  </si>
  <si>
    <t>טכנולוגיית תקשורת לוויינית באולטרה-גבוהה תדר</t>
  </si>
  <si>
    <t>דיינמקס איי או טי</t>
  </si>
  <si>
    <t>IoT וטכנולוגיות חיישנים</t>
  </si>
  <si>
    <t>הדסית שרותי מחקר רפואי ופתוח</t>
  </si>
  <si>
    <t>ניהול ניסויים קליניים ותיוק נתונים רפואיים</t>
  </si>
  <si>
    <t>הידרו אקס</t>
  </si>
  <si>
    <t>http://www.HydroX.earth</t>
  </si>
  <si>
    <t>טכנולוגיה לייצור אנרגיה חשמלית מזרימת מים</t>
  </si>
  <si>
    <t>https://en.sce.ac.il/</t>
  </si>
  <si>
    <t>מוסד אקדמי לפתוח טכנולוגיה וממשקים עם תעשייה</t>
  </si>
  <si>
    <t>הרחף 2025 פתרונות תעופה מתקדמים</t>
  </si>
  <si>
    <t>http://www.rahaf.org.il</t>
  </si>
  <si>
    <t>תכנון ויצור של מערכות דרונים וטיסה אוטונומית</t>
  </si>
  <si>
    <t>טבע תעשיות פרמצבטיות</t>
  </si>
  <si>
    <t>ייצור וחיתון של תרופות פרמצבטיות מצריכות</t>
  </si>
  <si>
    <t>טישו דינאמיקס</t>
  </si>
  <si>
    <t>https://www.tissuedynamics.com</t>
  </si>
  <si>
    <t>הנדסת רקמות ביולוגיות</t>
  </si>
  <si>
    <t>טכנולוגיה וחוסן בקהילה</t>
  </si>
  <si>
    <t>טכנולוגיות קמונליות וחברתיות</t>
  </si>
  <si>
    <t>טרה וויב אנרג'י</t>
  </si>
  <si>
    <t>https://terrawave.energy/</t>
  </si>
  <si>
    <t>טכנולוגיות אנרגיה מתחדשת</t>
  </si>
  <si>
    <t>יו-בי תרפיוטיקס</t>
  </si>
  <si>
    <t>פיתוח תרופות חדישות לטיפול במחלות דלקתיות</t>
  </si>
  <si>
    <t>יורינה טק</t>
  </si>
  <si>
    <t>ניתוח סימנים ביולוגיים בשתן לאבחון מהיר של מחלות</t>
  </si>
  <si>
    <t>יישום, חברה לפתוח המחקר של האונ' העברית</t>
  </si>
  <si>
    <t>http://www.yissum.co.il</t>
  </si>
  <si>
    <t>קומרציאליזציה וזכויות יוצרים של מחקר אוניברסיטאי</t>
  </si>
  <si>
    <t>ישרוניקס</t>
  </si>
  <si>
    <t>https://www.easx.co.il/en/</t>
  </si>
  <si>
    <t>אלקטרוניקה רדיו בתדרים גבוהים לתקשורת ומכ"ם</t>
  </si>
  <si>
    <t>כנף- כלל ניהול פיננסים</t>
  </si>
  <si>
    <t>https://www.clalbit.co.il/canaf/</t>
  </si>
  <si>
    <t>פלטפורמה לניהול תיקי השקעות ויעוץ פיננסי</t>
  </si>
  <si>
    <t>כרמל-החברה הכלכלית של אוניברסיטת חיפה</t>
  </si>
  <si>
    <t>http://carmel-.haifa.ac.il</t>
  </si>
  <si>
    <t>מחקר אוניברסיטה ומיסחור טכנולוגיה</t>
  </si>
  <si>
    <t>למין ביוטקס</t>
  </si>
  <si>
    <t>מבחנים גנומיים לאבחון טרום לידתי ודיוקיות רפואית</t>
  </si>
  <si>
    <t>מ.ס.טק</t>
  </si>
  <si>
    <t>טכנולוגיות אוטומציה חקלאית ומערכות קטיף חכמות</t>
  </si>
  <si>
    <t>מ.ת.א פתוג'ניקס</t>
  </si>
  <si>
    <t>מפתחת כימיה לביוטכנולוגיה ויצור טיפוליים</t>
  </si>
  <si>
    <t>מדעית שערי צדק</t>
  </si>
  <si>
    <t>פתרונות מומחיות רפואית וטכנולוגיות הדמיה צבאית</t>
  </si>
  <si>
    <t>מוסד הטכניון למחקר ופיתוח</t>
  </si>
  <si>
    <t>מיקום וקומרציאליזציה של פטנטים מהטכניון</t>
  </si>
  <si>
    <t>מטאסנטריק סיסמס</t>
  </si>
  <si>
    <t>תוכנה לניהול שרשרת אספקה וני לוג בזמן אמת</t>
  </si>
  <si>
    <t>http://www.agri.gov.il</t>
  </si>
  <si>
    <t>מכון מחקר ופיתוח חקלאי.</t>
  </si>
  <si>
    <t>מלאנוקס טכנולוגיות</t>
  </si>
  <si>
    <t>http://www.mellanox.com</t>
  </si>
  <si>
    <t>שבבים וטכנולוגיות קישור גבוה לרשתות מחשבים</t>
  </si>
  <si>
    <t>נוויג'יקום</t>
  </si>
  <si>
    <t>http://www.navigicom.com</t>
  </si>
  <si>
    <t>טכנולוגיית ניווט ניוד וGPS בדיוק גבוה</t>
  </si>
  <si>
    <t>ניוג'ן איקס אנרגיה נקייה</t>
  </si>
  <si>
    <t>פתרונות אנרגיה נקייה ודלק מתחדש.</t>
  </si>
  <si>
    <t>ננו דיימנשן טכנולוגיות</t>
  </si>
  <si>
    <t>http://www.nano-di.com</t>
  </si>
  <si>
    <t>חומרים בקנה מידה ננו וטכנולוגיות מתקדמות</t>
  </si>
  <si>
    <t>נקטין תרפיוטיקס</t>
  </si>
  <si>
    <t>https://nectintx.com</t>
  </si>
  <si>
    <t>טיפולים קוליים לטיפול בדלקות והשפלה כאב</t>
  </si>
  <si>
    <t>סיל מינרלים</t>
  </si>
  <si>
    <t>מוצרים מינרליים טבעיים לתמיכה בחקלאות בת קיימא</t>
  </si>
  <si>
    <t>סנטיאנט רובוטיקס</t>
  </si>
  <si>
    <t>https://sentient-robotics.ai</t>
  </si>
  <si>
    <t>רובוטיקה ואוטומציה חכמה בעזרת AI</t>
  </si>
  <si>
    <t>סנסירה</t>
  </si>
  <si>
    <t>https://sensica.com/</t>
  </si>
  <si>
    <t>טכנולוגיות עור חכמות לשכוב ובריאות עור</t>
  </si>
  <si>
    <t>http://fresh-start.co.il</t>
  </si>
  <si>
    <t>חדשנות טכנולוגיית מזון וחקלאות.</t>
  </si>
  <si>
    <t>סרגון נטוורקס</t>
  </si>
  <si>
    <t>טכנולוגיית תקשורת לוויינית בתדר מיקרוגל</t>
  </si>
  <si>
    <t>פדרקון</t>
  </si>
  <si>
    <t>https://fadlon.co.il/</t>
  </si>
  <si>
    <t>חברת בניה - פלטפורמת ניתוח BI וניתוח מלאי לארגונים</t>
  </si>
  <si>
    <t>פוסנס בעם</t>
  </si>
  <si>
    <t>פתרונות גאוגרפיה וניווט עם דיוק גבוה</t>
  </si>
  <si>
    <t>פורייר אופטיקס</t>
  </si>
  <si>
    <t>https://il.linkedin.com/company/fourier-optics-ar</t>
  </si>
  <si>
    <t>טכנולוגיות אופטיקה מתקדמת לתקשורת</t>
  </si>
  <si>
    <t>פורמיק איי איי</t>
  </si>
  <si>
    <t>https://formicrobotics.com/</t>
  </si>
  <si>
    <t>AI לתיאור וניתוח מבנים מולקולריים</t>
  </si>
  <si>
    <t>פיטוגארד סיסטים</t>
  </si>
  <si>
    <t>פתרונות IoT לניטור בריאות צמחים בחקלאות</t>
  </si>
  <si>
    <t>פיילון מדיקל</t>
  </si>
  <si>
    <t>https://www.pylonmedical.com</t>
  </si>
  <si>
    <t>מערכות רפואיות מתקדמות לטיפול נתמך</t>
  </si>
  <si>
    <t>פלואוגריד דטה סולושנס</t>
  </si>
  <si>
    <t>ניתוח ביג דטה לניתוח וחיזוי קבוצות</t>
  </si>
  <si>
    <t>פלורי ביוטק</t>
  </si>
  <si>
    <t>https://www.pluristem.com</t>
  </si>
  <si>
    <t>ביוטכנולוגיה לשיפור בעלי חיים וחי</t>
  </si>
  <si>
    <t>פרוטאיי ביו</t>
  </si>
  <si>
    <t>https://www.protai.bio</t>
  </si>
  <si>
    <t>הנדסה חלבונים וביוטכנולוגיה רקומביננטית</t>
  </si>
  <si>
    <t>פרומיס ביו</t>
  </si>
  <si>
    <t>https://www.promise.bio/</t>
  </si>
  <si>
    <t>תרופות ביוטכנולוגיות חדישות לסרטן</t>
  </si>
  <si>
    <t>קבוצת איי.אר.פי נקסוס</t>
  </si>
  <si>
    <t>http://www.irpsystems.com</t>
  </si>
  <si>
    <t>רכיבים לרכבים חשמליים</t>
  </si>
  <si>
    <t>קוונטום ארט</t>
  </si>
  <si>
    <t>http://www.quantum-art.tech</t>
  </si>
  <si>
    <t>טכנולוגיית AI וחישוב קוונטי</t>
  </si>
  <si>
    <t>קולגן ביו</t>
  </si>
  <si>
    <t>ביוטכנולוגיה לייצור קולגן וחלבונים</t>
  </si>
  <si>
    <t>קיקאין ביו מחקר ופיתוח</t>
  </si>
  <si>
    <t>מחקר תאים וביוטכנולוגיה ביולוגית</t>
  </si>
  <si>
    <t>קלא - טנכור קורפוריישן</t>
  </si>
  <si>
    <t>פתרונות ארגוני וטכנולוגיית ניהול מידע</t>
  </si>
  <si>
    <t>קלארו 3 די ננו פרינתינג סולושינס</t>
  </si>
  <si>
    <t>הדפסה תלת-ממדית בקנה מידה ננו</t>
  </si>
  <si>
    <t>רניום ציוד למעבדות מחקר</t>
  </si>
  <si>
    <t>https://rhenium.co.il/</t>
  </si>
  <si>
    <t>ציוד מדעי ודיאגנוסטי לניסויים קליניים</t>
  </si>
  <si>
    <t>שיבא אימפקט</t>
  </si>
  <si>
    <t>https://technology-transfer.sheba.co.il/About-Us</t>
  </si>
  <si>
    <t>החברה המסחרית של שיבא</t>
  </si>
  <si>
    <t>תאגיד הבריאות ליד בי"ח לגליל המערבי</t>
  </si>
  <si>
    <t>https://www.gmc.org.il/</t>
  </si>
  <si>
    <t>שירותי בריאות משולבים וטכנולוגיה רפואית</t>
  </si>
  <si>
    <t>CEO &amp; Co-Founder</t>
  </si>
  <si>
    <t>0547550343</t>
  </si>
  <si>
    <t>Contact/Operations</t>
  </si>
  <si>
    <t>פנינית</t>
  </si>
  <si>
    <t>גלבוע טל</t>
  </si>
  <si>
    <t>Founder / Executive</t>
  </si>
  <si>
    <t>pninit@biotization.com</t>
  </si>
  <si>
    <t>0547125034</t>
  </si>
  <si>
    <t>בקלנוב</t>
  </si>
  <si>
    <t>mikhail@donkit.ai</t>
  </si>
  <si>
    <t>972534309279</t>
  </si>
  <si>
    <t>גידי</t>
  </si>
  <si>
    <t>ליטווין</t>
  </si>
  <si>
    <t>gidi@hemispheric.ai</t>
  </si>
  <si>
    <t>לאלאזר</t>
  </si>
  <si>
    <t>Co-Founder &amp; Lead Scientist</t>
  </si>
  <si>
    <t>hagai@hemispheric.ai</t>
  </si>
  <si>
    <t>שחק</t>
  </si>
  <si>
    <t>Founder &amp; CEO</t>
  </si>
  <si>
    <t>yossi@maverick-ai.com</t>
  </si>
  <si>
    <t>אלעזר</t>
  </si>
  <si>
    <t>talelazar@siopt.ai</t>
  </si>
  <si>
    <t>0505748754</t>
  </si>
  <si>
    <t>segeva@tiki100.com</t>
  </si>
  <si>
    <t>0506278442</t>
  </si>
  <si>
    <t>bgn@in.bgu</t>
  </si>
  <si>
    <t>תלאור</t>
  </si>
  <si>
    <t>CEO &amp; Founding Partner</t>
  </si>
  <si>
    <t>talor@ehealthventures.com</t>
  </si>
  <si>
    <t>שהף</t>
  </si>
  <si>
    <t>Managing Partner</t>
  </si>
  <si>
    <t>ophir@ehealthventures.com</t>
  </si>
  <si>
    <t>נוריאן</t>
  </si>
  <si>
    <t>itay@insignito.co.il</t>
  </si>
  <si>
    <t>0526135797</t>
  </si>
  <si>
    <t>יחיאל</t>
  </si>
  <si>
    <t>פרנק</t>
  </si>
  <si>
    <t>hilik@l2xlabs.com</t>
  </si>
  <si>
    <t>0504450640</t>
  </si>
  <si>
    <t>דניאלה</t>
  </si>
  <si>
    <t>פין</t>
  </si>
  <si>
    <t>VP Investor Relations</t>
  </si>
  <si>
    <t>daniella@elbitsystems.com</t>
  </si>
  <si>
    <t>jonathan@elbitsystems.com</t>
  </si>
  <si>
    <t>bezhalel@elbitsystems.com</t>
  </si>
  <si>
    <t>haim@elbitsystems.com</t>
  </si>
  <si>
    <t>קגן</t>
  </si>
  <si>
    <t>yaacov@elbitsystems.com</t>
  </si>
  <si>
    <t>משאל</t>
  </si>
  <si>
    <t>0526551384</t>
  </si>
  <si>
    <t>איילם</t>
  </si>
  <si>
    <t>CEO, NICE Systems</t>
  </si>
  <si>
    <t>barak@nice.com</t>
  </si>
  <si>
    <t>רין</t>
  </si>
  <si>
    <t>מיעארי</t>
  </si>
  <si>
    <t>reemmiari@yahoo.com</t>
  </si>
  <si>
    <t>0542274828</t>
  </si>
  <si>
    <t>ענתבי</t>
  </si>
  <si>
    <t>ido.a@ardena-labs.com</t>
  </si>
  <si>
    <t>0506292012</t>
  </si>
  <si>
    <t>0773643522</t>
  </si>
  <si>
    <t>עמיתי</t>
  </si>
  <si>
    <t>0542422178</t>
  </si>
  <si>
    <t>מנצור</t>
  </si>
  <si>
    <t>orenm@genopore.com</t>
  </si>
  <si>
    <t>0545667676</t>
  </si>
  <si>
    <t>באום</t>
  </si>
  <si>
    <t>david@genopore.com</t>
  </si>
  <si>
    <t>יגאל</t>
  </si>
  <si>
    <t>ליבה</t>
  </si>
  <si>
    <t>yigal@genopore.com</t>
  </si>
  <si>
    <t>Co-Founder &amp; CSO</t>
  </si>
  <si>
    <t>amit@genopore.com</t>
  </si>
  <si>
    <t>adi@gilat.com</t>
  </si>
  <si>
    <t>tamar@hadasit.org</t>
  </si>
  <si>
    <t>amir@hadasit.org</t>
  </si>
  <si>
    <t>ריבגין</t>
  </si>
  <si>
    <t>0546490398</t>
  </si>
  <si>
    <t>Researcher / Director</t>
  </si>
  <si>
    <t>kfirb@sce.ac.il</t>
  </si>
  <si>
    <t>ונסה</t>
  </si>
  <si>
    <t>בוטה</t>
  </si>
  <si>
    <t>vanessabouta@gmail.com</t>
  </si>
  <si>
    <t>0502138770</t>
  </si>
  <si>
    <t>ארליך</t>
  </si>
  <si>
    <t>aehrlich@tissuedynamics.com</t>
  </si>
  <si>
    <t>נחמיאס</t>
  </si>
  <si>
    <t>Founder &amp; CSO</t>
  </si>
  <si>
    <t>yaakov@tissuedynamics.com</t>
  </si>
  <si>
    <t>0543181422</t>
  </si>
  <si>
    <t>מניף</t>
  </si>
  <si>
    <t>איאש</t>
  </si>
  <si>
    <t>Head of Product Development</t>
  </si>
  <si>
    <t>muneef@tissuedynamics.com</t>
  </si>
  <si>
    <t>בצר</t>
  </si>
  <si>
    <t>nir@tissuedynamics.com</t>
  </si>
  <si>
    <t>ריבר אברהמי</t>
  </si>
  <si>
    <t>kerenriabr@gmail.com</t>
  </si>
  <si>
    <t>0543974029</t>
  </si>
  <si>
    <t>yaron@yissum.co</t>
  </si>
  <si>
    <t>מקס</t>
  </si>
  <si>
    <t>שרגר</t>
  </si>
  <si>
    <t xml:space="preserve">ישרוניקס </t>
  </si>
  <si>
    <t>tsmax@live.com</t>
  </si>
  <si>
    <t>0547342277</t>
  </si>
  <si>
    <t>0544776404</t>
  </si>
  <si>
    <t>אופן</t>
  </si>
  <si>
    <t>renana@madait.szmc.org.il</t>
  </si>
  <si>
    <t>וולדמן</t>
  </si>
  <si>
    <t>eyal@mellanox.com</t>
  </si>
  <si>
    <t>Co-Founder &amp; CTO</t>
  </si>
  <si>
    <t>michael@mellanox.com</t>
  </si>
  <si>
    <t>קריג</t>
  </si>
  <si>
    <t>SVP Software &amp; Product Line</t>
  </si>
  <si>
    <t>amit@mellanox.com</t>
  </si>
  <si>
    <t>נדיבי</t>
  </si>
  <si>
    <t>President</t>
  </si>
  <si>
    <t>zivi@nano-di.com</t>
  </si>
  <si>
    <t>דרור</t>
  </si>
  <si>
    <t>amit@nano-di.com</t>
  </si>
  <si>
    <t>tomer@nano-di.com</t>
  </si>
  <si>
    <t>שטרן</t>
  </si>
  <si>
    <t>yoav@nano-di.com</t>
  </si>
  <si>
    <t>סנדלר</t>
  </si>
  <si>
    <t>CFO</t>
  </si>
  <si>
    <t>yael@nano-di.com</t>
  </si>
  <si>
    <t>guy@nectintx.com</t>
  </si>
  <si>
    <t>פז</t>
  </si>
  <si>
    <t>CSO</t>
  </si>
  <si>
    <t>keren@nectintx.com</t>
  </si>
  <si>
    <t>פביאן</t>
  </si>
  <si>
    <t>טננבאום</t>
  </si>
  <si>
    <t>fabian@nectintx.com</t>
  </si>
  <si>
    <t>pini@nectintx.com</t>
  </si>
  <si>
    <t>eric@nectintx.com</t>
  </si>
  <si>
    <t>0545546219</t>
  </si>
  <si>
    <t>0546967878</t>
  </si>
  <si>
    <t>0529405066</t>
  </si>
  <si>
    <t>ברלב</t>
  </si>
  <si>
    <t>omri.barlev@fourier.ar</t>
  </si>
  <si>
    <t>0544425667</t>
  </si>
  <si>
    <t>ירין</t>
  </si>
  <si>
    <t>וילן</t>
  </si>
  <si>
    <t>yaron@formicrobotics.com</t>
  </si>
  <si>
    <t>0542600920</t>
  </si>
  <si>
    <t>אנואר</t>
  </si>
  <si>
    <t>ריאן</t>
  </si>
  <si>
    <t>anwarrayan67@gmail.com</t>
  </si>
  <si>
    <t>0545848338</t>
  </si>
  <si>
    <t>erez@pluristem.com</t>
  </si>
  <si>
    <t>יקי</t>
  </si>
  <si>
    <t>ינאי</t>
  </si>
  <si>
    <t>CEO &amp; President</t>
  </si>
  <si>
    <t>yaky@pluristem.com</t>
  </si>
  <si>
    <t>adi.nahum@pluri-biotech.com</t>
  </si>
  <si>
    <t>0524043890</t>
  </si>
  <si>
    <t>shai@pluristem.com</t>
  </si>
  <si>
    <t>זמי</t>
  </si>
  <si>
    <t>אברמן</t>
  </si>
  <si>
    <t>Executive Chairman &amp; Founder</t>
  </si>
  <si>
    <t>zami@pluristem.com</t>
  </si>
  <si>
    <t>זגר</t>
  </si>
  <si>
    <t>eran@protai.bio</t>
  </si>
  <si>
    <t>0545313399</t>
  </si>
  <si>
    <t>0545610741</t>
  </si>
  <si>
    <t>hagit.alon@gmail.com</t>
  </si>
  <si>
    <t>שרלי</t>
  </si>
  <si>
    <t>BD Representative</t>
  </si>
  <si>
    <t>0545378705</t>
  </si>
  <si>
    <t>0544664316</t>
  </si>
  <si>
    <t>רט</t>
  </si>
  <si>
    <t>orir@gmc.gov.il</t>
  </si>
  <si>
    <t>0543138891</t>
  </si>
  <si>
    <t>רשהח"ד 2026</t>
  </si>
  <si>
    <t>גיוס, A_I, פיתוח לתהליכי ייצור</t>
  </si>
  <si>
    <t>R&amp;D, כלי AI</t>
  </si>
  <si>
    <t>גיוס, A_I</t>
  </si>
  <si>
    <t>R&amp;D</t>
  </si>
  <si>
    <t>ייעוץ ופיתוח בהעברה ממחקר לישום, כלי AI</t>
  </si>
  <si>
    <t>ייעוץ לפרוטפוליו</t>
  </si>
  <si>
    <t>גיוס, A_I, R&amp;D</t>
  </si>
  <si>
    <t>R&amp;D של מיכשור לייצור, כלי AI</t>
  </si>
  <si>
    <t>A_I, R&amp;D</t>
  </si>
  <si>
    <t>23/3/26 - לא רלוונטי</t>
  </si>
  <si>
    <t>https://ardena-labs.com/</t>
  </si>
  <si>
    <t>ronen.nakash@birad.biz</t>
  </si>
  <si>
    <t>נקש</t>
  </si>
  <si>
    <t>VP BizDev</t>
  </si>
  <si>
    <t>050-4039043</t>
  </si>
  <si>
    <t>Emails</t>
  </si>
  <si>
    <t>תודה על מענה, הצעה לפגישה</t>
  </si>
  <si>
    <t>Review</t>
  </si>
  <si>
    <t>לשלוח פרטים על אורוול</t>
  </si>
  <si>
    <t>הצעת מחיר</t>
  </si>
  <si>
    <t>מערך החדשנות של קופ"ח כללית</t>
  </si>
  <si>
    <t>rbalicer@clalit.org.il</t>
  </si>
  <si>
    <t>בליסר</t>
  </si>
  <si>
    <t>רעות</t>
  </si>
  <si>
    <t>אוחנה</t>
  </si>
  <si>
    <t>סגנית מנהל</t>
  </si>
  <si>
    <t>reut.ohana@clalit.org.il</t>
  </si>
  <si>
    <t>הזמנה לפגישה</t>
  </si>
  <si>
    <t>gil\_senesh@becapio.com</t>
  </si>
  <si>
    <t>כלי AI</t>
  </si>
  <si>
    <t>A_I, R&amp;D, כלי AI</t>
  </si>
  <si>
    <t>R&amp;D, A_I, כלי AI, גיוס</t>
  </si>
  <si>
    <t>R&amp;D, גיוס</t>
  </si>
  <si>
    <t>A_I, כלי AI</t>
  </si>
  <si>
    <t>A_I</t>
  </si>
  <si>
    <t>R&amp;D, גיוס, כלי AI</t>
  </si>
  <si>
    <t>R&amp;D, פיתוח לתהליכי ייצור, כלי AI</t>
  </si>
  <si>
    <t>A_I, R&amp;D, פיתוח לתהליכי ייצור, כלי AI</t>
  </si>
  <si>
    <t>יעוץ ופיתוח בהעברה ממחקר לישום, כלי AI</t>
  </si>
  <si>
    <t>R&amp;D, כלי AI, A_I</t>
  </si>
  <si>
    <t>כלי AI, A_I, גיוס</t>
  </si>
  <si>
    <t>כלי AI, A_I</t>
  </si>
  <si>
    <t>כלי AI, פיתוח לתהליכי ייצור</t>
  </si>
  <si>
    <t>יעוץ ופיתוח בהעברה ממחקר לישום</t>
  </si>
  <si>
    <t>ייעוץ לפרוטפוליו, ייעוץ ופיתוח בהעברה ממחקר ליישום</t>
  </si>
  <si>
    <t>R&amp;D, פיתוח לתהליכי ייצור</t>
  </si>
  <si>
    <t>R&amp;D, A_I, כלי AI, פיתוח לתהליכי ייצור</t>
  </si>
  <si>
    <t>כלי AI, גיוס, פיתוח לתהליכי ייצור</t>
  </si>
  <si>
    <t>יעוץ ופיתוח בהעברה ממחקר לישום, ייעוץ לפרוטפוליו</t>
  </si>
  <si>
    <t>כלי AI, A_I, R&amp;D</t>
  </si>
  <si>
    <t>כלי AI, ייעוץ לפרוטפוליו</t>
  </si>
  <si>
    <t>כלי AI, גיוס</t>
  </si>
  <si>
    <t>לא מתאים בשלב זה - סטטוס</t>
  </si>
  <si>
    <t>מייל תשובה</t>
  </si>
  <si>
    <t>מייל לקביעת פגישה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</si>
</sst>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1"/>
      <color theme="1"/>
      <name val="Calibri"/>
      <family val="2"/>
      <charset val="1"/>
    </font>
    <font>
      <sz val="11"/>
      <color theme="1"/>
      <name val="DejaVu Sans"/>
      <family val="2"/>
    </font>
    <font>
      <b/>
      <sz val="10"/>
      <color rgb="FFFFFFFF"/>
      <name val="Calibri"/>
      <family val="2"/>
    </font>
    <font>
      <u/>
      <sz val="11"/>
      <color theme="10"/>
      <name val="Calibri"/>
      <family val="2"/>
      <charset val="1"/>
    </font>
    <font>
      <sz val="11"/>
      <name val="Calibri"/>
      <family val="2"/>
      <scheme val="minor"/>
    </font>
    <font>
      <sz val="11"/>
      <color theme="1"/>
      <name val="Calibri"/>
      <family val="2"/>
      <scheme val="minor"/>
    </font>
    <font>
      <b/>
      <sz val="11"/>
      <color rgb="FFFFFFFF"/>
      <name val="Calibri"/>
      <family val="2"/>
      <scheme val="minor"/>
    </font>
    <font>
      <u/>
      <sz val="11"/>
      <color rgb="FF1A73E8"/>
      <name val="Calibri"/>
      <family val="2"/>
      <scheme val="minor"/>
    </font>
    <font>
      <b/>
      <sz val="11"/>
      <color rgb="FFFFFFFF"/>
      <name val="Calibri (Body)"/>
    </font>
    <font>
      <sz val="11"/>
      <name val="Calibri (Body)"/>
    </font>
    <font>
      <sz val="11"/>
      <color theme="1"/>
      <name val="Calibri (Body)"/>
    </font>
    <font>
      <b/>
      <sz val="11"/>
      <color theme="1"/>
      <name val="Calibri"/>
      <family val="2"/>
    </font>
    <font>
      <b/>
      <sz val="26"/>
      <color theme="1"/>
      <name val="Calibri"/>
      <family val="2"/>
    </font>
    <font>
      <sz val="10"/>
      <color rgb="FF434343"/>
      <name val="Roboto"/>
    </font>
    <font>
      <sz val="11"/>
      <color rgb="FF434343"/>
      <name val="Calibri"/>
      <family val="2"/>
      <scheme val="minor"/>
    </font>
    <font>
      <sz val="10"/>
      <color rgb="FF434343"/>
      <name val="Calibri"/>
      <family val="2"/>
    </font>
    <font>
      <sz val="10"/>
      <color theme="1"/>
      <name val="Arial"/>
      <family val="2"/>
    </font>
    <font>
      <sz val="11"/>
      <name val="Calibri"/>
      <family val="2"/>
      <scheme val="minor"/>
    </font>
    <font>
      <sz val="12"/>
      <color rgb="FF006100"/>
      <name val="Calibri"/>
      <family val="2"/>
      <scheme val="minor"/>
    </font>
    <font>
      <u/>
      <sz val="11"/>
      <color theme="10"/>
      <name val="Calibri"/>
      <family val="2"/>
    </font>
    <font>
      <sz val="11"/>
      <color theme="10"/>
      <name val="Calibri"/>
      <family val="2"/>
      <scheme val="minor"/>
    </font>
    <font>
      <sz val="11"/>
      <color rgb="FFFF0000"/>
      <name val="Calibri"/>
      <family val="2"/>
      <scheme val="minor"/>
    </font>
    <font>
      <b/>
      <i/>
      <sz val="11"/>
      <name val="Calibri"/>
      <family val="2"/>
      <scheme val="minor"/>
    </font>
    <font>
      <u/>
      <sz val="11"/>
      <color theme="10"/>
      <name val="Calibri"/>
      <family val="2"/>
      <scheme val="minor"/>
    </font>
    <font>
      <sz val="11"/>
      <name val="Calibri"/>
      <family val="2"/>
      <scheme val="minor"/>
    </font>
  </fonts>
  <fills count="7">
    <fill>
      <patternFill patternType="none"/>
    </fill>
    <fill>
      <patternFill patternType="gray125"/>
    </fill>
    <fill>
      <patternFill patternType="solid">
        <fgColor rgb="FF1A2F4D"/>
        <bgColor rgb="FF154360"/>
      </patternFill>
    </fill>
    <fill>
      <patternFill patternType="solid">
        <fgColor rgb="FFD9E8F5"/>
        <bgColor rgb="FFEBF5FB"/>
      </patternFill>
    </fill>
    <fill>
      <patternFill patternType="solid">
        <fgColor rgb="FFEBF5FB"/>
        <bgColor indexed="64"/>
      </patternFill>
    </fill>
    <fill>
      <patternFill patternType="solid">
        <fgColor rgb="FFC6EFCE"/>
      </patternFill>
    </fill>
    <fill>
      <patternFill patternType="solid">
        <fgColor theme="4" tint="0.79998168889431442"/>
        <bgColor indexed="64"/>
      </patternFill>
    </fill>
  </fills>
  <borders count="8">
    <border>
      <left/>
      <right/>
      <top/>
      <bottom/>
      <diagonal/>
    </border>
    <border>
      <left style="thin">
        <color rgb="FFC5D8E8"/>
      </left>
      <right style="thin">
        <color rgb="FFC5D8E8"/>
      </right>
      <top style="thin">
        <color rgb="FFC5D8E8"/>
      </top>
      <bottom style="thin">
        <color rgb="FFC5D8E8"/>
      </bottom>
      <diagonal/>
    </border>
    <border>
      <left/>
      <right style="thin">
        <color rgb="FFC5D8E8"/>
      </right>
      <top style="thin">
        <color rgb="FFC5D8E8"/>
      </top>
      <bottom style="thin">
        <color rgb="FFC5D8E8"/>
      </bottom>
      <diagonal/>
    </border>
    <border>
      <left style="thin">
        <color rgb="FFC5D8E8"/>
      </left>
      <right style="thin">
        <color rgb="FFC5D8E8"/>
      </right>
      <top style="thin">
        <color rgb="FFC5D8E8"/>
      </top>
      <bottom/>
      <diagonal/>
    </border>
    <border>
      <left style="thin">
        <color rgb="FFC5D8E8"/>
      </left>
      <right/>
      <top style="thin">
        <color rgb="FFC5D8E8"/>
      </top>
      <bottom style="thin">
        <color rgb="FFC5D8E8"/>
      </bottom>
      <diagonal/>
    </border>
    <border>
      <left style="thin">
        <color rgb="FFC5D8E8"/>
      </left>
      <right style="thin">
        <color rgb="FFC5D8E8"/>
      </right>
      <top/>
      <bottom/>
      <diagonal/>
    </border>
    <border>
      <left style="thin">
        <color rgb="FFC5D8E8"/>
      </left>
      <right/>
      <top/>
      <bottom/>
      <diagonal/>
    </border>
    <border>
      <left/>
      <right style="thin">
        <color rgb="FFC5D8E8"/>
      </right>
      <top/>
      <bottom/>
      <diagonal/>
    </border>
  </borders>
  <cellStyleXfs count="5">
    <xf numFmtId="0" fontId="0" fillId="0" borderId="0"/>
    <xf numFmtId="0" fontId="3" fillId="0" borderId="0" applyNumberFormat="0" applyFill="0" applyBorder="0" applyAlignment="0" applyProtection="0"/>
    <xf numFmtId="0" fontId="18" fillId="5" borderId="0" applyNumberFormat="0" applyBorder="0" applyAlignment="0" applyProtection="0"/>
    <xf numFmtId="0" fontId="19" fillId="0" borderId="0">
      <alignment vertical="top"/>
      <protection locked="0"/>
    </xf>
    <xf numFmtId="0" fontId="5" fillId="0" borderId="0"/>
  </cellStyleXfs>
  <cellXfs count="72">
    <xf numFmtId="0" fontId="0" fillId="0" borderId="0" xfId="0"/>
    <xf numFmtId="0" fontId="1" fillId="0" borderId="0" xfId="0" applyFont="1"/>
    <xf numFmtId="0" fontId="2" fillId="2" borderId="1" xfId="0" applyFont="1" applyFill="1" applyBorder="1" applyAlignment="1">
      <alignment horizontal="center" vertical="center"/>
    </xf>
    <xf numFmtId="0" fontId="5" fillId="0" borderId="0" xfId="0" applyFont="1"/>
    <xf numFmtId="0" fontId="6"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15" fontId="4" fillId="3" borderId="2" xfId="0" applyNumberFormat="1" applyFont="1" applyFill="1" applyBorder="1" applyAlignment="1">
      <alignment horizontal="center" vertical="center"/>
    </xf>
    <xf numFmtId="0" fontId="6" fillId="2" borderId="3"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4" fillId="3" borderId="2" xfId="0" applyFont="1" applyFill="1" applyBorder="1" applyAlignment="1">
      <alignment horizontal="left" vertical="center"/>
    </xf>
    <xf numFmtId="0" fontId="2" fillId="2" borderId="3" xfId="0" applyFont="1" applyFill="1" applyBorder="1" applyAlignment="1">
      <alignment horizontal="center" vertical="center"/>
    </xf>
    <xf numFmtId="15" fontId="4" fillId="0" borderId="0" xfId="0" applyNumberFormat="1" applyFont="1" applyAlignment="1">
      <alignment horizontal="center" vertical="center"/>
    </xf>
    <xf numFmtId="0" fontId="4" fillId="3" borderId="4" xfId="0" applyFont="1" applyFill="1" applyBorder="1" applyAlignment="1">
      <alignment horizontal="left" vertical="center"/>
    </xf>
    <xf numFmtId="0" fontId="4" fillId="0" borderId="0" xfId="0" applyFont="1"/>
    <xf numFmtId="0" fontId="4" fillId="3" borderId="3" xfId="0" applyFont="1" applyFill="1" applyBorder="1" applyAlignment="1">
      <alignment horizontal="left" vertical="center"/>
    </xf>
    <xf numFmtId="0" fontId="4" fillId="0" borderId="0" xfId="0" applyFont="1" applyAlignment="1">
      <alignment horizontal="center"/>
    </xf>
    <xf numFmtId="0" fontId="8" fillId="2" borderId="3"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xf>
    <xf numFmtId="14" fontId="0" fillId="0" borderId="0" xfId="0" applyNumberFormat="1"/>
    <xf numFmtId="0" fontId="8" fillId="2" borderId="3"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left" vertical="center"/>
    </xf>
    <xf numFmtId="14" fontId="2" fillId="2" borderId="3" xfId="0" applyNumberFormat="1" applyFont="1" applyFill="1" applyBorder="1" applyAlignment="1">
      <alignment horizontal="left" vertical="center"/>
    </xf>
    <xf numFmtId="0" fontId="0" fillId="0" borderId="0" xfId="0" applyAlignment="1">
      <alignment horizontal="left"/>
    </xf>
    <xf numFmtId="0" fontId="2" fillId="2" borderId="5" xfId="0" applyFont="1" applyFill="1" applyBorder="1" applyAlignment="1">
      <alignment horizontal="left" vertical="center"/>
    </xf>
    <xf numFmtId="1" fontId="0" fillId="0" borderId="0" xfId="0" applyNumberFormat="1"/>
    <xf numFmtId="1" fontId="0" fillId="0" borderId="0" xfId="0" applyNumberFormat="1" applyAlignment="1">
      <alignment horizontal="center"/>
    </xf>
    <xf numFmtId="0" fontId="3" fillId="0" borderId="0" xfId="1" applyBorder="1"/>
    <xf numFmtId="0" fontId="4" fillId="0" borderId="1" xfId="0" applyFont="1" applyBorder="1" applyAlignment="1">
      <alignment horizontal="left" vertical="center"/>
    </xf>
    <xf numFmtId="0" fontId="13" fillId="0" borderId="0" xfId="0" applyFont="1"/>
    <xf numFmtId="0" fontId="5" fillId="4" borderId="1" xfId="0" applyFont="1" applyFill="1" applyBorder="1"/>
    <xf numFmtId="0" fontId="15" fillId="0" borderId="0" xfId="0" applyFont="1"/>
    <xf numFmtId="0" fontId="16" fillId="0" borderId="0" xfId="0" applyFont="1"/>
    <xf numFmtId="0" fontId="17" fillId="0" borderId="0" xfId="0" applyFont="1" applyAlignment="1">
      <alignment horizontal="center"/>
    </xf>
    <xf numFmtId="0" fontId="4" fillId="3" borderId="1" xfId="0" applyFont="1" applyFill="1" applyBorder="1" applyAlignment="1">
      <alignment horizontal="left" vertical="center"/>
    </xf>
    <xf numFmtId="0" fontId="20" fillId="0" borderId="0" xfId="3" applyFont="1" applyAlignment="1" applyProtection="1"/>
    <xf numFmtId="0" fontId="20" fillId="0" borderId="0" xfId="1" applyFont="1" applyFill="1"/>
    <xf numFmtId="0" fontId="5" fillId="0" borderId="0" xfId="4"/>
    <xf numFmtId="0" fontId="5" fillId="0" borderId="0" xfId="0" applyFont="1" applyAlignment="1">
      <alignment horizontal="right" readingOrder="2"/>
    </xf>
    <xf numFmtId="0" fontId="5" fillId="0" borderId="0" xfId="0" applyFont="1" applyAlignment="1">
      <alignment horizontal="center"/>
    </xf>
    <xf numFmtId="0" fontId="5" fillId="0" borderId="0" xfId="0" applyFont="1" applyAlignment="1">
      <alignment horizontal="left"/>
    </xf>
    <xf numFmtId="0" fontId="4" fillId="0" borderId="0" xfId="3" applyFont="1" applyAlignment="1" applyProtection="1"/>
    <xf numFmtId="0" fontId="4" fillId="0" borderId="0" xfId="1" applyFont="1" applyFill="1"/>
    <xf numFmtId="0" fontId="4" fillId="0" borderId="0" xfId="4" applyFont="1"/>
    <xf numFmtId="0" fontId="21" fillId="0" borderId="0" xfId="0" applyFont="1" applyAlignment="1">
      <alignment horizontal="left" vertical="center"/>
    </xf>
    <xf numFmtId="0" fontId="22" fillId="0" borderId="0" xfId="0" applyFont="1" applyAlignment="1">
      <alignment horizontal="left" vertical="center"/>
    </xf>
    <xf numFmtId="0" fontId="4" fillId="0" borderId="0" xfId="0" applyFont="1" applyAlignment="1">
      <alignment horizontal="right" vertical="center"/>
    </xf>
    <xf numFmtId="0" fontId="4" fillId="0" borderId="0" xfId="1" applyFont="1" applyFill="1" applyAlignment="1">
      <alignment horizontal="left" vertical="center"/>
    </xf>
    <xf numFmtId="0" fontId="23" fillId="0" borderId="0" xfId="1" applyFont="1" applyFill="1" applyAlignment="1">
      <alignment horizontal="left" vertical="center"/>
    </xf>
    <xf numFmtId="0" fontId="3" fillId="0" borderId="0" xfId="1" applyFill="1" applyBorder="1"/>
    <xf numFmtId="0" fontId="3" fillId="0" borderId="0" xfId="1" applyFill="1" applyAlignment="1" applyProtection="1"/>
    <xf numFmtId="0" fontId="14" fillId="0" borderId="0" xfId="0" applyFont="1" applyAlignment="1">
      <alignment horizontal="right"/>
    </xf>
    <xf numFmtId="0" fontId="4" fillId="0" borderId="0" xfId="2" applyFont="1" applyFill="1" applyAlignment="1">
      <alignment horizontal="right" vertical="center"/>
    </xf>
    <xf numFmtId="0" fontId="5" fillId="0" borderId="0" xfId="0" applyFont="1" applyAlignment="1">
      <alignment horizontal="right"/>
    </xf>
    <xf numFmtId="0" fontId="3" fillId="0" borderId="0" xfId="1" applyFill="1"/>
    <xf numFmtId="15" fontId="4" fillId="0" borderId="1" xfId="0" applyNumberFormat="1" applyFont="1" applyBorder="1" applyAlignment="1">
      <alignment horizontal="center" vertical="center"/>
    </xf>
    <xf numFmtId="0" fontId="4" fillId="4" borderId="1" xfId="0" applyFont="1" applyFill="1" applyBorder="1" applyAlignment="1">
      <alignment horizontal="center"/>
    </xf>
    <xf numFmtId="0" fontId="4" fillId="0" borderId="1" xfId="0" applyFont="1" applyBorder="1" applyAlignment="1">
      <alignment horizontal="center"/>
    </xf>
    <xf numFmtId="0" fontId="4" fillId="4" borderId="0" xfId="0" applyFont="1" applyFill="1" applyAlignment="1">
      <alignment horizontal="center"/>
    </xf>
    <xf numFmtId="0" fontId="4" fillId="6" borderId="6" xfId="0" applyFont="1" applyFill="1" applyBorder="1"/>
    <xf numFmtId="0" fontId="4" fillId="6" borderId="7" xfId="0" applyFont="1" applyFill="1" applyBorder="1"/>
    <xf numFmtId="15" fontId="4" fillId="3" borderId="0" xfId="0" applyNumberFormat="1" applyFont="1" applyFill="1" applyAlignment="1">
      <alignment horizontal="center" vertical="center"/>
    </xf>
    <xf numFmtId="0" fontId="4" fillId="3" borderId="0" xfId="0" applyFont="1" applyFill="1" applyAlignment="1">
      <alignment horizontal="center" vertical="center"/>
    </xf>
    <xf numFmtId="0" fontId="7" fillId="3" borderId="0" xfId="0" applyFont="1" applyFill="1" applyAlignment="1">
      <alignment horizontal="center" vertical="center"/>
    </xf>
    <xf numFmtId="0" fontId="24" fillId="0" borderId="0" xfId="0" applyFont="1" applyAlignment="1">
      <alignment horizontal="center"/>
    </xf>
    <xf numFmtId="0" fontId="3" fillId="0" borderId="0" xfId="1" applyAlignment="1">
      <alignment horizontal="left" vertical="center"/>
    </xf>
    <xf numFmtId="0" fontId="11" fillId="0" borderId="0" xfId="0" applyFont="1" applyAlignment="1">
      <alignment horizontal="left"/>
    </xf>
    <xf numFmtId="0" fontId="12" fillId="0" borderId="0" xfId="0" applyFont="1" applyAlignment="1">
      <alignment horizontal="left"/>
    </xf>
  </cellXfs>
  <cellStyles count="5">
    <cellStyle name="Good" xfId="2" builtinId="26"/>
    <cellStyle name="Hyperlink" xfId="1" builtinId="8"/>
    <cellStyle name="Hyperlink 2" xfId="3" xr:uid="{8E0CBAA1-DFB5-CD43-AB56-385A3C895A33}"/>
    <cellStyle name="Normal" xfId="0" builtinId="0"/>
    <cellStyle name="Normal 2" xfId="4" xr:uid="{F4082068-FD18-2141-ABEC-C02E6DD67959}"/>
  </cellStyles>
  <dxfs count="61">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fill>
        <patternFill patternType="none">
          <fgColor indexed="64"/>
          <bgColor auto="1"/>
        </patternFill>
      </fill>
    </dxf>
    <dxf>
      <font>
        <strike val="0"/>
        <outline val="0"/>
        <shadow val="0"/>
        <vertAlign val="baseline"/>
        <sz val="11"/>
        <name val="Calibri"/>
        <family val="2"/>
        <scheme val="minor"/>
      </font>
      <fill>
        <patternFill patternType="none">
          <fgColor indexed="64"/>
          <bgColor auto="1"/>
        </patternFill>
      </fill>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dxf>
    <dxf>
      <font>
        <strike val="0"/>
        <outline val="0"/>
        <shadow val="0"/>
        <vertAlign val="baseline"/>
        <sz val="11"/>
        <name val="Calibri"/>
        <family val="2"/>
        <scheme val="minor"/>
      </font>
      <fill>
        <patternFill patternType="none">
          <fgColor indexed="64"/>
          <bgColor auto="1"/>
        </patternFill>
      </fill>
    </dxf>
    <dxf>
      <font>
        <strike val="0"/>
        <outline val="0"/>
        <shadow val="0"/>
        <vertAlign val="baseline"/>
        <sz val="11"/>
        <name val="Calibri"/>
        <family val="2"/>
        <scheme val="minor"/>
      </font>
      <fill>
        <patternFill patternType="none">
          <fgColor indexed="64"/>
          <bgColor auto="1"/>
        </patternFill>
      </fill>
      <alignment horizontal="left"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dxf>
    <dxf>
      <font>
        <b val="0"/>
        <i val="0"/>
        <strike val="0"/>
        <outline val="0"/>
        <shadow val="0"/>
        <vertAlign val="baseline"/>
        <sz val="11"/>
        <name val="Calibri"/>
        <family val="2"/>
        <scheme val="minor"/>
      </font>
      <fill>
        <patternFill patternType="none">
          <fgColor indexed="64"/>
          <bgColor auto="1"/>
        </patternFill>
      </fill>
      <alignment horizontal="right" textRotation="0" wrapText="0" indent="0" justifyLastLine="0" shrinkToFit="0" readingOrder="0"/>
    </dxf>
    <dxf>
      <font>
        <b val="0"/>
        <i val="0"/>
        <strike val="0"/>
        <outline val="0"/>
        <shadow val="0"/>
        <vertAlign val="baseline"/>
        <sz val="11"/>
        <name val="Calibri"/>
        <family val="2"/>
        <scheme val="minor"/>
      </font>
      <fill>
        <patternFill patternType="none">
          <fgColor indexed="64"/>
          <bgColor auto="1"/>
        </patternFill>
      </fill>
      <alignment horizontal="right"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left"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numFmt numFmtId="1" formatCode="0"/>
    </dxf>
    <dxf>
      <numFmt numFmtId="1"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 formatCode="0"/>
      <alignment horizontal="center" vertical="bottom" textRotation="0" wrapText="0" indent="0" justifyLastLine="0" shrinkToFit="0" readingOrder="0"/>
    </dxf>
    <dxf>
      <font>
        <b/>
        <i val="0"/>
        <strike val="0"/>
        <condense val="0"/>
        <extend val="0"/>
        <outline val="0"/>
        <shadow val="0"/>
        <u val="none"/>
        <vertAlign val="baseline"/>
        <sz val="10"/>
        <color rgb="FFFFFFFF"/>
        <name val="Calibri"/>
        <family val="2"/>
        <scheme val="none"/>
      </font>
      <fill>
        <patternFill patternType="solid">
          <fgColor rgb="FF154360"/>
          <bgColor rgb="FF1A2F4D"/>
        </patternFill>
      </fill>
      <alignment horizontal="left" vertical="center" textRotation="0" wrapText="0" indent="0" justifyLastLine="0" shrinkToFit="0" readingOrder="0"/>
      <border diagonalUp="0" diagonalDown="0" outline="0">
        <left style="thin">
          <color rgb="FFC5D8E8"/>
        </left>
        <right style="thin">
          <color rgb="FFC5D8E8"/>
        </right>
        <top/>
        <bottom/>
      </border>
    </dxf>
    <dxf>
      <font>
        <b val="0"/>
        <i val="0"/>
        <strike val="0"/>
        <condense val="0"/>
        <extend val="0"/>
        <outline val="0"/>
        <shadow val="0"/>
        <u val="none"/>
        <vertAlign val="baseline"/>
        <sz val="11"/>
        <color auto="1"/>
        <name val="Calibri"/>
        <family val="2"/>
        <scheme val="minor"/>
      </font>
      <fill>
        <patternFill patternType="solid">
          <fgColor rgb="FFEBF5FB"/>
          <bgColor rgb="FFD9E8F5"/>
        </patternFill>
      </fill>
      <alignment horizontal="left" vertical="center" textRotation="0" wrapText="0" indent="0" justifyLastLine="0" shrinkToFit="0" readingOrder="0"/>
      <border diagonalUp="0" diagonalDown="0" outline="0">
        <left style="thin">
          <color rgb="FFC5D8E8"/>
        </left>
        <right style="thin">
          <color rgb="FFC5D8E8"/>
        </right>
        <top style="thin">
          <color rgb="FFC5D8E8"/>
        </top>
        <bottom style="thin">
          <color rgb="FFC5D8E8"/>
        </bottom>
      </border>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20" formatCode="dd\-mmm\-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20" formatCode="dd\-mmm\-yy"/>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border outline="0">
        <right style="thin">
          <color rgb="FFC5D8E8"/>
        </right>
      </border>
    </dxf>
    <dxf>
      <font>
        <strike val="0"/>
        <outline val="0"/>
        <shadow val="0"/>
        <u val="none"/>
        <vertAlign val="baseline"/>
        <sz val="11"/>
        <color auto="1"/>
        <name val="Calibri"/>
        <family val="2"/>
        <scheme val="minor"/>
      </font>
      <border outline="0">
        <left style="thin">
          <color rgb="FFC5D8E8"/>
        </left>
      </border>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Body)"/>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1"/>
        <color auto="1"/>
        <name val="Calibri"/>
        <family val="2"/>
        <scheme val="minor"/>
      </font>
    </dxf>
    <dxf>
      <fill>
        <patternFill>
          <bgColor rgb="FFEBF5FB"/>
        </patternFill>
      </fill>
    </dxf>
    <dxf>
      <border>
        <left style="thin">
          <color rgb="FFC5D8E8"/>
        </left>
        <right style="thin">
          <color rgb="FFC5D8E8"/>
        </right>
        <top style="thin">
          <color rgb="FFC5D8E8"/>
        </top>
        <bottom style="thin">
          <color rgb="FFC5D8E8"/>
        </bottom>
        <vertical style="thin">
          <color rgb="FFC5D8E8"/>
        </vertical>
        <horizontal style="thin">
          <color rgb="FFC5D8E8"/>
        </horizontal>
      </border>
    </dxf>
  </dxfs>
  <tableStyles count="1" defaultTableStyle="TableStyleMedium2" defaultPivotStyle="PivotStyleLight16">
    <tableStyle name="Table Style 1" pivot="0" count="2" xr9:uid="{8D55DDBC-3B4E-AD40-A547-775B61858FBF}">
      <tableStyleElement type="wholeTable" dxfId="60"/>
      <tableStyleElement type="firstRowStripe" dxfId="59"/>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5FB"/>
      <rgbColor rgb="FF660066"/>
      <rgbColor rgb="FFFF8080"/>
      <rgbColor rgb="FF1F618D"/>
      <rgbColor rgb="FFC5D8E8"/>
      <rgbColor rgb="FF000080"/>
      <rgbColor rgb="FFFF00FF"/>
      <rgbColor rgb="FFFFFF00"/>
      <rgbColor rgb="FF00FFFF"/>
      <rgbColor rgb="FF800080"/>
      <rgbColor rgb="FF800000"/>
      <rgbColor rgb="FF008080"/>
      <rgbColor rgb="FF0000FF"/>
      <rgbColor rgb="FF00CCFF"/>
      <rgbColor rgb="FFD9E8F5"/>
      <rgbColor rgb="FFCCFFCC"/>
      <rgbColor rgb="FFFFFF99"/>
      <rgbColor rgb="FF99CCFF"/>
      <rgbColor rgb="FFFF99CC"/>
      <rgbColor rgb="FFCC99FF"/>
      <rgbColor rgb="FFFFCC99"/>
      <rgbColor rgb="FF1A73E8"/>
      <rgbColor rgb="FF33CCCC"/>
      <rgbColor rgb="FF99CC00"/>
      <rgbColor rgb="FFFFCC00"/>
      <rgbColor rgb="FFFF9900"/>
      <rgbColor rgb="FFFF6600"/>
      <rgbColor rgb="FF666699"/>
      <rgbColor rgb="FF969696"/>
      <rgbColor rgb="FF154360"/>
      <rgbColor rgb="FF339966"/>
      <rgbColor rgb="FF003300"/>
      <rgbColor rgb="FF333300"/>
      <rgbColor rgb="FF993300"/>
      <rgbColor rgb="FF993366"/>
      <rgbColor rgb="FF333399"/>
      <rgbColor rgb="FF1A2F4D"/>
      <rgbColor rgb="00003366"/>
      <rgbColor rgb="00339966"/>
      <rgbColor rgb="00003300"/>
      <rgbColor rgb="00333300"/>
      <rgbColor rgb="00993300"/>
      <rgbColor rgb="00993366"/>
      <rgbColor rgb="00333399"/>
      <rgbColor rgb="00333333"/>
    </indexedColors>
    <mruColors>
      <color rgb="FFEBF5FB"/>
      <color rgb="FFC5D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A0568-6A13-C84D-8D5E-12863E638DB0}" name="tblOutreachLog_1" displayName="tblOutreachLog_1" ref="A3:M7" totalsRowShown="0" headerRowDxfId="45">
  <autoFilter ref="A3:M7" xr:uid="{4E8A0568-6A13-C84D-8D5E-12863E638DB0}"/>
  <sortState xmlns:xlrd2="http://schemas.microsoft.com/office/spreadsheetml/2017/richdata2" ref="A4:M7">
    <sortCondition ref="I3:I7"/>
  </sortState>
  <tableColumns count="13">
    <tableColumn id="14" xr3:uid="{4CC4F98F-B055-FC45-8E65-BAECB20E686E}" name="#" dataDxfId="44">
      <calculatedColumnFormula>IF(tblOutreachLog_1[[#This Row],[Date]]&lt;&gt;0,ROW()-3,"")</calculatedColumnFormula>
    </tableColumn>
    <tableColumn id="2" xr3:uid="{3DDA8EA6-C604-5447-BCA3-F9C7E6D78140}" name="Date" dataDxfId="43"/>
    <tableColumn id="3" xr3:uid="{E707CECD-751E-9045-A216-0F0EA19067A8}" name="Contact Email" dataDxfId="42"/>
    <tableColumn id="4" xr3:uid="{2FEB4DAE-FDC5-414C-98FF-4C640FFF0498}" name="Contact Name" dataDxfId="41"/>
    <tableColumn id="5" xr3:uid="{7546383B-51B5-744A-A337-7D2348A9CBB5}" name="Company" dataDxfId="40"/>
    <tableColumn id="6" xr3:uid="{02806626-5053-1E4C-9AB6-7E1CA0553928}" name="Type" dataDxfId="39"/>
    <tableColumn id="7" xr3:uid="{F106E90D-D4F5-EC4A-AACB-5768E532BB37}" name="Subject / Topic" dataDxfId="38"/>
    <tableColumn id="8" xr3:uid="{41D2D1A7-785A-0440-8B88-924F42B77455}" name="Owner" dataDxfId="37"/>
    <tableColumn id="9" xr3:uid="{1915682D-25E5-4647-9E2B-4D6AFE83C5D1}" name="Next Action" dataDxfId="36"/>
    <tableColumn id="10" xr3:uid="{426D5903-79F6-1448-BD19-C076880CEBB5}" name="Next Action Date"/>
    <tableColumn id="11" xr3:uid="{306ACDDB-30E5-4947-B005-CB7B8F50C2D6}" name="Status"/>
    <tableColumn id="13" xr3:uid="{2DEBA53C-C2C0-0348-896A-3CDDD213455A}" name="Days in Status" dataDxfId="35">
      <calculatedColumnFormula>TODAY()-tblOutreachLog_1[[#This Row],[Date]]</calculatedColumnFormula>
    </tableColumn>
    <tableColumn id="15" xr3:uid="{980ECE16-EC0E-AF4B-B84F-64DF4EA5AE31}" name="Days to next" dataDxfId="34">
      <calculatedColumnFormula>tblOutreachLog_1[[#This Row],[Next Action]]-TODAY()</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ompanies" displayName="tblCompanies" ref="A1:K526" totalsRowShown="0" headerRowDxfId="33" dataDxfId="32">
  <autoFilter ref="A1:K526" xr:uid="{00000000-0009-0000-0100-000001000000}"/>
  <sortState xmlns:xlrd2="http://schemas.microsoft.com/office/spreadsheetml/2017/richdata2" ref="A2:K525">
    <sortCondition ref="J1:J525"/>
  </sortState>
  <tableColumns count="11">
    <tableColumn id="1" xr3:uid="{00000000-0010-0000-0000-000001000000}" name="#" dataDxfId="31">
      <calculatedColumnFormula>IF(tblCompanies[[#This Row],[Company Name]]&lt;&gt;0,ROW()-1,"")</calculatedColumnFormula>
    </tableColumn>
    <tableColumn id="2" xr3:uid="{00000000-0010-0000-0000-000002000000}" name="Company Name" dataDxfId="30"/>
    <tableColumn id="3" xr3:uid="{00000000-0010-0000-0000-000003000000}" name="Stage" dataDxfId="29"/>
    <tableColumn id="4" xr3:uid="{00000000-0010-0000-0000-000004000000}" name="Source" dataDxfId="28"/>
    <tableColumn id="5" xr3:uid="{00000000-0010-0000-0000-000005000000}" name="Website" dataDxfId="27"/>
    <tableColumn id="11" xr3:uid="{3D173E44-95B7-C94F-84DD-E675C46C0910}" name="Type" dataDxfId="26"/>
    <tableColumn id="6" xr3:uid="{00000000-0010-0000-0000-000006000000}" name="Track / Program" dataDxfId="25"/>
    <tableColumn id="7" xr3:uid="{00000000-0010-0000-0000-000007000000}" name="Segment" dataDxfId="24"/>
    <tableColumn id="8" xr3:uid="{00000000-0010-0000-0000-000008000000}" name="Notes" dataDxfId="23"/>
    <tableColumn id="9" xr3:uid="{00000000-0010-0000-0000-000009000000}" name="Last Contact" dataDxfId="22"/>
    <tableColumn id="10" xr3:uid="{00000000-0010-0000-0000-00000A000000}" name="Interactions" dataDxfId="21"/>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ontacts" displayName="tblContacts" ref="A1:N716" totalsRowShown="0" headerRowDxfId="20" dataDxfId="19">
  <autoFilter ref="A1:N716" xr:uid="{00000000-0009-0000-0100-000002000000}"/>
  <sortState xmlns:xlrd2="http://schemas.microsoft.com/office/spreadsheetml/2017/richdata2" ref="A2:N716">
    <sortCondition ref="H1:H716"/>
  </sortState>
  <tableColumns count="14">
    <tableColumn id="1" xr3:uid="{00000000-0010-0000-0100-000001000000}" name="#" dataDxfId="18">
      <calculatedColumnFormula>IF(tblContacts[[#This Row],[First Name]]&lt;&gt;0,ROW()-1,"")</calculatedColumnFormula>
    </tableColumn>
    <tableColumn id="2" xr3:uid="{00000000-0010-0000-0100-000002000000}" name="First Name" dataDxfId="17"/>
    <tableColumn id="3" xr3:uid="{00000000-0010-0000-0100-000003000000}" name="Last Name" dataDxfId="16"/>
    <tableColumn id="4" xr3:uid="{00000000-0010-0000-0100-000004000000}" name="Title / Role" dataDxfId="15"/>
    <tableColumn id="5" xr3:uid="{00000000-0010-0000-0100-000005000000}" name="Company" dataDxfId="14"/>
    <tableColumn id="6" xr3:uid="{00000000-0010-0000-0100-000006000000}" name="Email" dataDxfId="13"/>
    <tableColumn id="7" xr3:uid="{00000000-0010-0000-0100-000007000000}" name="Phone" dataDxfId="12"/>
    <tableColumn id="14" xr3:uid="{8F19D61D-F4EC-1B44-AA7E-D4FF3CB78F43}" name="Type" dataDxfId="11"/>
    <tableColumn id="8" xr3:uid="{00000000-0010-0000-0100-000008000000}" name="Source" dataDxfId="10"/>
    <tableColumn id="9" xr3:uid="{00000000-0010-0000-0100-000009000000}" name="Notes" dataDxfId="9"/>
    <tableColumn id="10" xr3:uid="{00000000-0010-0000-0100-00000A000000}" name="Last Interaction" dataDxfId="8"/>
    <tableColumn id="11" xr3:uid="{00000000-0010-0000-0100-00000B000000}" name="Last Type" dataDxfId="7"/>
    <tableColumn id="12" xr3:uid="{00000000-0010-0000-0100-00000C000000}" name="→ Interaction" dataDxfId="6"/>
    <tableColumn id="13" xr3:uid="{00000000-0010-0000-0100-00000D000000}" name="→ Company" dataDxfId="5"/>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OutreachLog" displayName="tblOutreachLog" ref="A1:L480" totalsRowShown="0" dataDxfId="58">
  <autoFilter ref="A1:L480" xr:uid="{00000000-0009-0000-0100-000003000000}"/>
  <sortState xmlns:xlrd2="http://schemas.microsoft.com/office/spreadsheetml/2017/richdata2" ref="A2:L302">
    <sortCondition ref="K1:K302"/>
  </sortState>
  <tableColumns count="12">
    <tableColumn id="1" xr3:uid="{00000000-0010-0000-0200-000001000000}" name="#" dataDxfId="57">
      <calculatedColumnFormula>IF(tblOutreachLog[[#This Row],[Interaction Date]]&lt;&gt;0,ROW()-1,"")</calculatedColumnFormula>
    </tableColumn>
    <tableColumn id="2" xr3:uid="{00000000-0010-0000-0200-000002000000}" name="Interaction Date" dataDxfId="56"/>
    <tableColumn id="3" xr3:uid="{00000000-0010-0000-0200-000003000000}" name="Contact Email" dataDxfId="55"/>
    <tableColumn id="4" xr3:uid="{00000000-0010-0000-0200-000004000000}" name="Contact Name" dataDxfId="54">
      <calculatedColumnFormula>IFERROR(INDEX(Contacts!$B:$B,MATCH(C2,Contacts!$F:$F,0))&amp;" "&amp;INDEX(Contacts!$C:$C,MATCH(C2,Contacts!$F:$F,0)),"")</calculatedColumnFormula>
    </tableColumn>
    <tableColumn id="5" xr3:uid="{00000000-0010-0000-0200-000005000000}" name="Company" dataDxfId="53">
      <calculatedColumnFormula>IFERROR(INDEX(Contacts!$E:$E,MATCH(C2,Contacts!$F:$F,0)),"")</calculatedColumnFormula>
    </tableColumn>
    <tableColumn id="6" xr3:uid="{00000000-0010-0000-0200-000006000000}" name="Type" dataDxfId="52"/>
    <tableColumn id="7" xr3:uid="{00000000-0010-0000-0200-000007000000}" name="Subject / Topic" dataDxfId="51"/>
    <tableColumn id="8" xr3:uid="{00000000-0010-0000-0200-000008000000}" name="Owner" dataDxfId="50"/>
    <tableColumn id="9" xr3:uid="{00000000-0010-0000-0200-000009000000}" name="Next Action" dataDxfId="49"/>
    <tableColumn id="10" xr3:uid="{00000000-0010-0000-0200-00000A000000}" name="Next Action Date" dataDxfId="48"/>
    <tableColumn id="12" xr3:uid="{56B203C8-B451-CE44-8A46-11E9E05E6066}" name="Status" dataDxfId="47"/>
    <tableColumn id="11" xr3:uid="{BBE07A14-8372-0B48-9054-8938029413E3}" name="_key" dataDxfId="46">
      <calculatedColumnFormula>TEXT(B2,"YYYY-MM-DD")&amp;C2</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3" Type="http://schemas.openxmlformats.org/officeDocument/2006/relationships/hyperlink" Target="https://birad.biz/" TargetMode="External"/><Relationship Id="rId18" Type="http://schemas.openxmlformats.org/officeDocument/2006/relationships/hyperlink" Target="https://en.sce.ac.il/" TargetMode="External"/><Relationship Id="rId26" Type="http://schemas.openxmlformats.org/officeDocument/2006/relationships/hyperlink" Target="http://www.ms-technologies.com/" TargetMode="External"/><Relationship Id="rId39" Type="http://schemas.openxmlformats.org/officeDocument/2006/relationships/hyperlink" Target="https://fadlon.co.il/" TargetMode="External"/><Relationship Id="rId21" Type="http://schemas.openxmlformats.org/officeDocument/2006/relationships/hyperlink" Target="https://terrawave.energy/" TargetMode="External"/><Relationship Id="rId34" Type="http://schemas.openxmlformats.org/officeDocument/2006/relationships/hyperlink" Target="http://www.ceal.earth/" TargetMode="External"/><Relationship Id="rId42" Type="http://schemas.openxmlformats.org/officeDocument/2006/relationships/hyperlink" Target="https://www.pluristem.com/" TargetMode="External"/><Relationship Id="rId47" Type="http://schemas.openxmlformats.org/officeDocument/2006/relationships/hyperlink" Target="http://www.kla-tencor.com/" TargetMode="External"/><Relationship Id="rId50" Type="http://schemas.openxmlformats.org/officeDocument/2006/relationships/hyperlink" Target="https://www.gmc.org.il/" TargetMode="External"/><Relationship Id="rId7" Type="http://schemas.openxmlformats.org/officeDocument/2006/relationships/hyperlink" Target="http://www.ehealthventures.com/" TargetMode="External"/><Relationship Id="rId2" Type="http://schemas.openxmlformats.org/officeDocument/2006/relationships/hyperlink" Target="https://www.hemispheric.ai/" TargetMode="External"/><Relationship Id="rId16" Type="http://schemas.openxmlformats.org/officeDocument/2006/relationships/hyperlink" Target="http://www.hadasit.org.il/" TargetMode="External"/><Relationship Id="rId29" Type="http://schemas.openxmlformats.org/officeDocument/2006/relationships/hyperlink" Target="http://www.agri.gov.il/" TargetMode="External"/><Relationship Id="rId11" Type="http://schemas.openxmlformats.org/officeDocument/2006/relationships/hyperlink" Target="http://www.nice.com/" TargetMode="External"/><Relationship Id="rId24" Type="http://schemas.openxmlformats.org/officeDocument/2006/relationships/hyperlink" Target="https://www.clalbit.co.il/canaf/" TargetMode="External"/><Relationship Id="rId32" Type="http://schemas.openxmlformats.org/officeDocument/2006/relationships/hyperlink" Target="http://www.nano-di.com/" TargetMode="External"/><Relationship Id="rId37" Type="http://schemas.openxmlformats.org/officeDocument/2006/relationships/hyperlink" Target="http://fresh-start.co.il/" TargetMode="External"/><Relationship Id="rId40" Type="http://schemas.openxmlformats.org/officeDocument/2006/relationships/hyperlink" Target="https://il.linkedin.com/company/fourier-optics-ar" TargetMode="External"/><Relationship Id="rId45" Type="http://schemas.openxmlformats.org/officeDocument/2006/relationships/hyperlink" Target="http://www.irpsystems.com/" TargetMode="External"/><Relationship Id="rId53" Type="http://schemas.openxmlformats.org/officeDocument/2006/relationships/hyperlink" Target="http://www.topivision.com/" TargetMode="External"/><Relationship Id="rId5" Type="http://schemas.openxmlformats.org/officeDocument/2006/relationships/hyperlink" Target="https://in.bgu.ac.il/en/bgn/" TargetMode="External"/><Relationship Id="rId10" Type="http://schemas.openxmlformats.org/officeDocument/2006/relationships/hyperlink" Target="http://www.elbitsystems.com/" TargetMode="External"/><Relationship Id="rId19" Type="http://schemas.openxmlformats.org/officeDocument/2006/relationships/hyperlink" Target="http://www.rahaf.org.il/" TargetMode="External"/><Relationship Id="rId31" Type="http://schemas.openxmlformats.org/officeDocument/2006/relationships/hyperlink" Target="http://www.navigicom.com/" TargetMode="External"/><Relationship Id="rId44" Type="http://schemas.openxmlformats.org/officeDocument/2006/relationships/hyperlink" Target="https://www.promise.bio/" TargetMode="External"/><Relationship Id="rId52" Type="http://schemas.openxmlformats.org/officeDocument/2006/relationships/hyperlink" Target="https://ardena-labs.com/" TargetMode="External"/><Relationship Id="rId4" Type="http://schemas.openxmlformats.org/officeDocument/2006/relationships/hyperlink" Target="https://sites.google.com/tiki100.com/tiki100/home" TargetMode="External"/><Relationship Id="rId9" Type="http://schemas.openxmlformats.org/officeDocument/2006/relationships/hyperlink" Target="https://iconiq.co.il/en" TargetMode="External"/><Relationship Id="rId14" Type="http://schemas.openxmlformats.org/officeDocument/2006/relationships/hyperlink" Target="http://www.genopore.com/" TargetMode="External"/><Relationship Id="rId22" Type="http://schemas.openxmlformats.org/officeDocument/2006/relationships/hyperlink" Target="http://www.yissum.co.il/" TargetMode="External"/><Relationship Id="rId27" Type="http://schemas.openxmlformats.org/officeDocument/2006/relationships/hyperlink" Target="http://www.madait.co.il/" TargetMode="External"/><Relationship Id="rId30" Type="http://schemas.openxmlformats.org/officeDocument/2006/relationships/hyperlink" Target="http://www.mellanox.com/" TargetMode="External"/><Relationship Id="rId35" Type="http://schemas.openxmlformats.org/officeDocument/2006/relationships/hyperlink" Target="https://sentient-robotics.ai/" TargetMode="External"/><Relationship Id="rId43" Type="http://schemas.openxmlformats.org/officeDocument/2006/relationships/hyperlink" Target="https://www.protai.bio/" TargetMode="External"/><Relationship Id="rId48" Type="http://schemas.openxmlformats.org/officeDocument/2006/relationships/hyperlink" Target="https://rhenium.co.il/" TargetMode="External"/><Relationship Id="rId8" Type="http://schemas.openxmlformats.org/officeDocument/2006/relationships/hyperlink" Target="https://www.insignito.com/" TargetMode="External"/><Relationship Id="rId51" Type="http://schemas.openxmlformats.org/officeDocument/2006/relationships/hyperlink" Target="https://www.biotization.com/" TargetMode="External"/><Relationship Id="rId3" Type="http://schemas.openxmlformats.org/officeDocument/2006/relationships/hyperlink" Target="https://www.themaverickai.com/" TargetMode="External"/><Relationship Id="rId12" Type="http://schemas.openxmlformats.org/officeDocument/2006/relationships/hyperlink" Target="http://www.exocure-therapeutics.com/" TargetMode="External"/><Relationship Id="rId17" Type="http://schemas.openxmlformats.org/officeDocument/2006/relationships/hyperlink" Target="http://www.hydrox.earth/" TargetMode="External"/><Relationship Id="rId25" Type="http://schemas.openxmlformats.org/officeDocument/2006/relationships/hyperlink" Target="http://carmel-ltd.haifa.ac.il/" TargetMode="External"/><Relationship Id="rId33" Type="http://schemas.openxmlformats.org/officeDocument/2006/relationships/hyperlink" Target="https://nectintx.com/" TargetMode="External"/><Relationship Id="rId38" Type="http://schemas.openxmlformats.org/officeDocument/2006/relationships/hyperlink" Target="http://www.ceragon.com/" TargetMode="External"/><Relationship Id="rId46" Type="http://schemas.openxmlformats.org/officeDocument/2006/relationships/hyperlink" Target="http://www.quantum-art.tech/" TargetMode="External"/><Relationship Id="rId20" Type="http://schemas.openxmlformats.org/officeDocument/2006/relationships/hyperlink" Target="https://www.tissuedynamics.com/" TargetMode="External"/><Relationship Id="rId41" Type="http://schemas.openxmlformats.org/officeDocument/2006/relationships/hyperlink" Target="https://www.pylonmedical.com/" TargetMode="External"/><Relationship Id="rId54" Type="http://schemas.openxmlformats.org/officeDocument/2006/relationships/table" Target="../tables/table2.xml"/><Relationship Id="rId1" Type="http://schemas.openxmlformats.org/officeDocument/2006/relationships/hyperlink" Target="https://www.donkit.ai/" TargetMode="External"/><Relationship Id="rId6" Type="http://schemas.openxmlformats.org/officeDocument/2006/relationships/hyperlink" Target="http://www.orbotech.com/" TargetMode="External"/><Relationship Id="rId15" Type="http://schemas.openxmlformats.org/officeDocument/2006/relationships/hyperlink" Target="http://www.gilat.com/" TargetMode="External"/><Relationship Id="rId23" Type="http://schemas.openxmlformats.org/officeDocument/2006/relationships/hyperlink" Target="https://www.easx.co.il/en/" TargetMode="External"/><Relationship Id="rId28" Type="http://schemas.openxmlformats.org/officeDocument/2006/relationships/hyperlink" Target="http://www.technion.ac.il/" TargetMode="External"/><Relationship Id="rId36" Type="http://schemas.openxmlformats.org/officeDocument/2006/relationships/hyperlink" Target="https://sensica.com/" TargetMode="External"/><Relationship Id="rId49" Type="http://schemas.openxmlformats.org/officeDocument/2006/relationships/hyperlink" Target="https://technology-transfer.sheba.co.il/About-U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eemmiari@yahoo.com" TargetMode="External"/><Relationship Id="rId13" Type="http://schemas.openxmlformats.org/officeDocument/2006/relationships/hyperlink" Target="mailto:kerenriabr@gmail.com" TargetMode="External"/><Relationship Id="rId18" Type="http://schemas.openxmlformats.org/officeDocument/2006/relationships/hyperlink" Target="mailto:hagit.alon@gmail.com" TargetMode="External"/><Relationship Id="rId3" Type="http://schemas.openxmlformats.org/officeDocument/2006/relationships/hyperlink" Target="mailto:ziv@alvox.co.il" TargetMode="External"/><Relationship Id="rId21" Type="http://schemas.openxmlformats.org/officeDocument/2006/relationships/hyperlink" Target="mailto:rbalicer@clalit.org.il" TargetMode="External"/><Relationship Id="rId7" Type="http://schemas.openxmlformats.org/officeDocument/2006/relationships/hyperlink" Target="mailto:hilik@l2xlabs.com" TargetMode="External"/><Relationship Id="rId12" Type="http://schemas.openxmlformats.org/officeDocument/2006/relationships/hyperlink" Target="mailto:nizar@ngt3vc.com" TargetMode="External"/><Relationship Id="rId17" Type="http://schemas.openxmlformats.org/officeDocument/2006/relationships/hyperlink" Target="mailto:anwarrayan67@gmail.com" TargetMode="External"/><Relationship Id="rId2" Type="http://schemas.openxmlformats.org/officeDocument/2006/relationships/hyperlink" Target="mailto:nevo.bd@gmail.com" TargetMode="External"/><Relationship Id="rId16" Type="http://schemas.openxmlformats.org/officeDocument/2006/relationships/hyperlink" Target="mailto:yaron@formicrobotics.com" TargetMode="External"/><Relationship Id="rId20" Type="http://schemas.openxmlformats.org/officeDocument/2006/relationships/hyperlink" Target="mailto:ronen.nakash@birad.biz" TargetMode="External"/><Relationship Id="rId1" Type="http://schemas.openxmlformats.org/officeDocument/2006/relationships/hyperlink" Target="mailto:Daya@taryag-group.com" TargetMode="External"/><Relationship Id="rId6" Type="http://schemas.openxmlformats.org/officeDocument/2006/relationships/hyperlink" Target="mailto:segeva@tiki100.com" TargetMode="External"/><Relationship Id="rId11" Type="http://schemas.openxmlformats.org/officeDocument/2006/relationships/hyperlink" Target="mailto:karinael@sce.ac.il" TargetMode="External"/><Relationship Id="rId5" Type="http://schemas.openxmlformats.org/officeDocument/2006/relationships/hyperlink" Target="mailto:talelazar@siopt.ai" TargetMode="External"/><Relationship Id="rId15" Type="http://schemas.openxmlformats.org/officeDocument/2006/relationships/hyperlink" Target="mailto:barakazmon@gmail.com" TargetMode="External"/><Relationship Id="rId10" Type="http://schemas.openxmlformats.org/officeDocument/2006/relationships/hyperlink" Target="mailto:adi@birad.biz" TargetMode="External"/><Relationship Id="rId19" Type="http://schemas.openxmlformats.org/officeDocument/2006/relationships/hyperlink" Target="mailto:kfirb@sce.ac.il" TargetMode="External"/><Relationship Id="rId4" Type="http://schemas.openxmlformats.org/officeDocument/2006/relationships/hyperlink" Target="mailto:pninit@biotization.com" TargetMode="External"/><Relationship Id="rId9" Type="http://schemas.openxmlformats.org/officeDocument/2006/relationships/hyperlink" Target="mailto:yarons@bduk-tx.com" TargetMode="External"/><Relationship Id="rId14" Type="http://schemas.openxmlformats.org/officeDocument/2006/relationships/hyperlink" Target="mailto:tsmax@live.com" TargetMode="External"/><Relationship Id="rId22"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hyperlink" Target="mailto:rbalicer@clalit.org.il" TargetMode="External"/><Relationship Id="rId3" Type="http://schemas.openxmlformats.org/officeDocument/2006/relationships/hyperlink" Target="mailto:maya@innoafrica.org" TargetMode="External"/><Relationship Id="rId7" Type="http://schemas.openxmlformats.org/officeDocument/2006/relationships/hyperlink" Target="mailto:yigal@genopore.com" TargetMode="External"/><Relationship Id="rId2" Type="http://schemas.openxmlformats.org/officeDocument/2006/relationships/hyperlink" Target="mailto:info@norterra.co.il" TargetMode="External"/><Relationship Id="rId1" Type="http://schemas.openxmlformats.org/officeDocument/2006/relationships/hyperlink" Target="mailto:uriel@norterra.co.il" TargetMode="External"/><Relationship Id="rId6" Type="http://schemas.openxmlformats.org/officeDocument/2006/relationships/hyperlink" Target="mailto:Daya@taryag-group.com" TargetMode="External"/><Relationship Id="rId5" Type="http://schemas.openxmlformats.org/officeDocument/2006/relationships/hyperlink" Target="mailto:Daya@taryag-group.com" TargetMode="External"/><Relationship Id="rId4" Type="http://schemas.openxmlformats.org/officeDocument/2006/relationships/hyperlink" Target="mailto:nickyl@mor.org.il" TargetMode="External"/><Relationship Id="rId9"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zoomScale="160" zoomScaleNormal="160" workbookViewId="0"/>
  </sheetViews>
  <sheetFormatPr baseColWidth="10" defaultColWidth="8.6640625" defaultRowHeight="15" customHeight="1"/>
  <cols>
    <col min="1" max="1" width="10.83203125" bestFit="1" customWidth="1"/>
    <col min="2" max="2" width="12.1640625" bestFit="1" customWidth="1"/>
    <col min="3" max="3" width="12" bestFit="1" customWidth="1"/>
    <col min="4" max="4" width="7.5" bestFit="1" customWidth="1"/>
    <col min="5" max="5" width="22.33203125" bestFit="1" customWidth="1"/>
    <col min="6" max="6" width="7.5" bestFit="1" customWidth="1"/>
    <col min="7" max="7" width="19.33203125" bestFit="1" customWidth="1"/>
    <col min="8" max="8" width="12" bestFit="1" customWidth="1"/>
    <col min="9" max="9" width="20" bestFit="1" customWidth="1"/>
    <col min="10" max="10" width="5.5" bestFit="1" customWidth="1"/>
  </cols>
  <sheetData>
    <row r="1" spans="1:11">
      <c r="A1" t="s">
        <v>0</v>
      </c>
      <c r="B1" t="s">
        <v>1</v>
      </c>
      <c r="C1" t="s">
        <v>2</v>
      </c>
      <c r="D1" t="s">
        <v>3</v>
      </c>
      <c r="E1" t="s">
        <v>4</v>
      </c>
      <c r="F1" t="s">
        <v>5</v>
      </c>
      <c r="G1" t="s">
        <v>6</v>
      </c>
      <c r="H1" t="s">
        <v>7</v>
      </c>
      <c r="I1" t="s">
        <v>8</v>
      </c>
    </row>
    <row r="2" spans="1:11">
      <c r="A2" t="s">
        <v>9</v>
      </c>
      <c r="B2" t="s">
        <v>10</v>
      </c>
      <c r="C2" t="s">
        <v>11</v>
      </c>
      <c r="D2" s="34" t="s">
        <v>2873</v>
      </c>
      <c r="E2" t="s">
        <v>2804</v>
      </c>
      <c r="F2" t="s">
        <v>7</v>
      </c>
    </row>
    <row r="3" spans="1:11">
      <c r="A3" s="1" t="s">
        <v>12</v>
      </c>
      <c r="B3" t="s">
        <v>13</v>
      </c>
      <c r="C3" s="1" t="s">
        <v>14</v>
      </c>
      <c r="D3" t="s">
        <v>15</v>
      </c>
      <c r="E3" t="s">
        <v>11</v>
      </c>
      <c r="F3" t="s">
        <v>16</v>
      </c>
      <c r="G3" t="s">
        <v>17</v>
      </c>
      <c r="H3" t="s">
        <v>18</v>
      </c>
      <c r="I3" t="s">
        <v>19</v>
      </c>
      <c r="J3" s="34" t="s">
        <v>2873</v>
      </c>
      <c r="K3" t="s">
        <v>7</v>
      </c>
    </row>
    <row r="4" spans="1:11" ht="15" customHeight="1">
      <c r="A4" t="s">
        <v>2824</v>
      </c>
      <c r="B4" t="s">
        <v>2825</v>
      </c>
      <c r="C4" t="s">
        <v>2826</v>
      </c>
      <c r="D4" t="s">
        <v>2827</v>
      </c>
      <c r="E4" t="s">
        <v>2831</v>
      </c>
      <c r="F4" t="s">
        <v>2928</v>
      </c>
      <c r="G4" t="s">
        <v>2828</v>
      </c>
      <c r="H4" t="s">
        <v>7</v>
      </c>
    </row>
  </sheetData>
  <dataValidations count="1">
    <dataValidation type="list" allowBlank="1" sqref="D2 J3" xr:uid="{1D49D509-18E6-5A47-915B-B26ED04024D3}">
      <formula1>SourceList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87C0-A335-5B44-B190-C97238D8A922}">
  <sheetPr>
    <tabColor theme="9"/>
  </sheetPr>
  <dimension ref="A1:M7"/>
  <sheetViews>
    <sheetView zoomScale="141" workbookViewId="0">
      <selection activeCell="C24" sqref="C24"/>
    </sheetView>
  </sheetViews>
  <sheetFormatPr baseColWidth="10" defaultColWidth="11" defaultRowHeight="15"/>
  <cols>
    <col min="1" max="1" width="4.5" bestFit="1" customWidth="1"/>
    <col min="2" max="2" width="11" bestFit="1" customWidth="1"/>
    <col min="3" max="3" width="20.5" bestFit="1" customWidth="1"/>
    <col min="4" max="4" width="13.1640625" bestFit="1" customWidth="1"/>
    <col min="5" max="5" width="18.33203125" bestFit="1" customWidth="1"/>
    <col min="6" max="6" width="7" bestFit="1" customWidth="1"/>
    <col min="7" max="7" width="29.6640625" bestFit="1" customWidth="1"/>
    <col min="8" max="8" width="8.33203125" style="22" bestFit="1" customWidth="1"/>
    <col min="9" max="9" width="11.5" bestFit="1" customWidth="1"/>
    <col min="10" max="11" width="15" bestFit="1" customWidth="1"/>
    <col min="12" max="12" width="13" bestFit="1" customWidth="1"/>
    <col min="13" max="13" width="12" bestFit="1" customWidth="1"/>
  </cols>
  <sheetData>
    <row r="1" spans="1:13" ht="34">
      <c r="A1" s="71" t="s">
        <v>2823</v>
      </c>
      <c r="B1" s="71"/>
      <c r="C1" s="71"/>
      <c r="D1" s="71"/>
      <c r="E1" s="71"/>
      <c r="F1" s="71"/>
      <c r="G1" s="71"/>
      <c r="H1" s="71"/>
      <c r="I1" s="71"/>
      <c r="J1" s="71"/>
      <c r="K1" s="71"/>
      <c r="L1" s="71"/>
      <c r="M1" s="71"/>
    </row>
    <row r="2" spans="1:13">
      <c r="A2" s="70" t="s">
        <v>2822</v>
      </c>
      <c r="B2" s="70"/>
      <c r="C2" s="70"/>
      <c r="D2" s="70"/>
      <c r="E2" s="70"/>
      <c r="F2" s="70"/>
      <c r="G2" s="70"/>
      <c r="H2" s="70"/>
      <c r="I2" s="70"/>
      <c r="J2" s="70"/>
      <c r="K2" s="70"/>
      <c r="L2" s="70"/>
      <c r="M2" s="70"/>
    </row>
    <row r="3" spans="1:13" s="27" customFormat="1">
      <c r="A3" s="28" t="s">
        <v>20</v>
      </c>
      <c r="B3" s="23" t="s">
        <v>2095</v>
      </c>
      <c r="C3" s="24" t="s">
        <v>2096</v>
      </c>
      <c r="D3" s="24" t="s">
        <v>2097</v>
      </c>
      <c r="E3" s="25" t="s">
        <v>721</v>
      </c>
      <c r="F3" s="25" t="s">
        <v>2098</v>
      </c>
      <c r="G3" s="24" t="s">
        <v>2099</v>
      </c>
      <c r="H3" s="24" t="s">
        <v>2100</v>
      </c>
      <c r="I3" s="26" t="s">
        <v>2101</v>
      </c>
      <c r="J3" s="24" t="s">
        <v>2102</v>
      </c>
      <c r="K3" s="24" t="s">
        <v>2812</v>
      </c>
      <c r="L3" s="28" t="s">
        <v>2820</v>
      </c>
      <c r="M3" s="28" t="s">
        <v>2821</v>
      </c>
    </row>
    <row r="4" spans="1:13">
      <c r="A4" s="30">
        <f>IF(tblOutreachLog_1[[#This Row],[Date]]&lt;&gt;0,ROW()-3,"")</f>
        <v>1</v>
      </c>
      <c r="B4" s="22">
        <v>46096</v>
      </c>
      <c r="C4" t="s">
        <v>2809</v>
      </c>
      <c r="D4" t="s">
        <v>2816</v>
      </c>
      <c r="E4" t="s">
        <v>351</v>
      </c>
      <c r="F4" t="s">
        <v>9</v>
      </c>
      <c r="G4" t="s">
        <v>2803</v>
      </c>
      <c r="H4" t="s">
        <v>2105</v>
      </c>
      <c r="I4" s="22">
        <v>46096</v>
      </c>
      <c r="J4" t="s">
        <v>2807</v>
      </c>
      <c r="K4" t="s">
        <v>2817</v>
      </c>
      <c r="L4" s="29">
        <f ca="1">TODAY()-tblOutreachLog_1[[#This Row],[Date]]</f>
        <v>31</v>
      </c>
      <c r="M4" s="29">
        <f ca="1">tblOutreachLog_1[[#This Row],[Next Action]]-TODAY()</f>
        <v>-31</v>
      </c>
    </row>
    <row r="5" spans="1:13">
      <c r="A5" s="30">
        <f>IF(tblOutreachLog_1[[#This Row],[Date]]&lt;&gt;0,ROW()-3,"")</f>
        <v>2</v>
      </c>
      <c r="B5" s="22">
        <v>46096</v>
      </c>
      <c r="C5" t="s">
        <v>2043</v>
      </c>
      <c r="D5" t="s">
        <v>2815</v>
      </c>
      <c r="E5" t="s">
        <v>2805</v>
      </c>
      <c r="F5" t="s">
        <v>9</v>
      </c>
      <c r="G5" t="s">
        <v>2803</v>
      </c>
      <c r="H5" t="s">
        <v>2105</v>
      </c>
      <c r="I5" s="22">
        <v>46098</v>
      </c>
      <c r="J5" t="s">
        <v>2804</v>
      </c>
      <c r="K5" t="s">
        <v>2819</v>
      </c>
      <c r="L5" s="29">
        <f ca="1">TODAY()-tblOutreachLog_1[[#This Row],[Date]]</f>
        <v>31</v>
      </c>
      <c r="M5" s="29">
        <f ca="1">tblOutreachLog_1[[#This Row],[Next Action]]-TODAY()</f>
        <v>-29</v>
      </c>
    </row>
    <row r="6" spans="1:13">
      <c r="A6" s="30">
        <f>IF(tblOutreachLog_1[[#This Row],[Date]]&lt;&gt;0,ROW()-3,"")</f>
        <v>3</v>
      </c>
      <c r="B6" s="22">
        <v>46096</v>
      </c>
      <c r="C6" t="s">
        <v>1412</v>
      </c>
      <c r="D6" t="s">
        <v>2813</v>
      </c>
      <c r="E6" t="s">
        <v>422</v>
      </c>
      <c r="F6" t="s">
        <v>9</v>
      </c>
      <c r="G6" t="s">
        <v>2806</v>
      </c>
      <c r="H6" t="s">
        <v>2105</v>
      </c>
      <c r="I6" s="22">
        <v>46099</v>
      </c>
      <c r="J6" t="s">
        <v>2807</v>
      </c>
      <c r="K6" t="s">
        <v>2817</v>
      </c>
      <c r="L6" s="29">
        <f ca="1">TODAY()-tblOutreachLog_1[[#This Row],[Date]]</f>
        <v>31</v>
      </c>
      <c r="M6" s="29">
        <f ca="1">tblOutreachLog_1[[#This Row],[Next Action]]-TODAY()</f>
        <v>-28</v>
      </c>
    </row>
    <row r="7" spans="1:13">
      <c r="A7" s="30">
        <f>IF(tblOutreachLog_1[[#This Row],[Date]]&lt;&gt;0,ROW()-3,"")</f>
        <v>4</v>
      </c>
      <c r="B7" s="22">
        <v>46096</v>
      </c>
      <c r="C7" t="s">
        <v>1497</v>
      </c>
      <c r="D7" t="s">
        <v>2814</v>
      </c>
      <c r="E7" t="s">
        <v>2134</v>
      </c>
      <c r="F7" t="s">
        <v>9</v>
      </c>
      <c r="G7" t="s">
        <v>2808</v>
      </c>
      <c r="H7" t="s">
        <v>2105</v>
      </c>
      <c r="I7" s="22">
        <v>46099</v>
      </c>
      <c r="J7" t="s">
        <v>2807</v>
      </c>
      <c r="K7" t="s">
        <v>2817</v>
      </c>
      <c r="L7" s="29">
        <f ca="1">TODAY()-tblOutreachLog_1[[#This Row],[Date]]</f>
        <v>31</v>
      </c>
      <c r="M7" s="29">
        <f ca="1">tblOutreachLog_1[[#This Row],[Next Action]]-TODAY()</f>
        <v>-28</v>
      </c>
    </row>
  </sheetData>
  <mergeCells count="2">
    <mergeCell ref="A2:M2"/>
    <mergeCell ref="A1:M1"/>
  </mergeCells>
  <conditionalFormatting sqref="M4:M7">
    <cfRule type="cellIs" dxfId="4" priority="1" operator="lessThan">
      <formula>0</formula>
    </cfRule>
    <cfRule type="cellIs" dxfId="3" priority="2" operator="lessThanOrEqual">
      <formula>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2F4D"/>
  </sheetPr>
  <dimension ref="A1:K526"/>
  <sheetViews>
    <sheetView zoomScaleNormal="100" workbookViewId="0">
      <pane xSplit="1" ySplit="1" topLeftCell="B185" activePane="bottomRight" state="frozen"/>
      <selection pane="topRight" activeCell="B1" sqref="B1"/>
      <selection pane="bottomLeft" activeCell="A2" sqref="A2"/>
      <selection pane="bottomRight" activeCell="I229" sqref="I229"/>
    </sheetView>
  </sheetViews>
  <sheetFormatPr baseColWidth="10" defaultColWidth="8.6640625" defaultRowHeight="15" customHeight="1"/>
  <cols>
    <col min="1" max="1" width="5" style="43" customWidth="1"/>
    <col min="2" max="2" width="34" style="3" customWidth="1"/>
    <col min="3" max="3" width="24" style="3" customWidth="1"/>
    <col min="4" max="4" width="18" style="44" customWidth="1"/>
    <col min="5" max="5" width="28" style="3" customWidth="1"/>
    <col min="6" max="6" width="9.83203125" style="3" bestFit="1" customWidth="1"/>
    <col min="7" max="7" width="38" style="3" customWidth="1"/>
    <col min="8" max="8" width="22" style="3" customWidth="1"/>
    <col min="9" max="9" width="38" style="3" customWidth="1"/>
    <col min="10" max="10" width="14" style="3" customWidth="1"/>
    <col min="11" max="11" width="13" style="3" customWidth="1"/>
    <col min="12" max="16384" width="8.6640625" style="3"/>
  </cols>
  <sheetData>
    <row r="1" spans="1:11" ht="21.75" customHeight="1">
      <c r="A1" s="8" t="s">
        <v>20</v>
      </c>
      <c r="B1" s="8" t="s">
        <v>21</v>
      </c>
      <c r="C1" s="8" t="s">
        <v>22</v>
      </c>
      <c r="D1" s="8" t="s">
        <v>23</v>
      </c>
      <c r="E1" s="8" t="s">
        <v>16</v>
      </c>
      <c r="F1" s="8" t="s">
        <v>2098</v>
      </c>
      <c r="G1" s="8" t="s">
        <v>24</v>
      </c>
      <c r="H1" s="8" t="s">
        <v>25</v>
      </c>
      <c r="I1" s="8" t="s">
        <v>26</v>
      </c>
      <c r="J1" s="4" t="s">
        <v>27</v>
      </c>
      <c r="K1" s="4" t="s">
        <v>28</v>
      </c>
    </row>
    <row r="2" spans="1:11">
      <c r="A2" s="9">
        <f>IF(tblCompanies[[#This Row],[Company Name]]&lt;&gt;0,ROW()-1,"")</f>
        <v>1</v>
      </c>
      <c r="B2" s="10" t="s">
        <v>310</v>
      </c>
      <c r="C2" s="10"/>
      <c r="D2" s="10" t="s">
        <v>13</v>
      </c>
      <c r="E2" s="10" t="s">
        <v>311</v>
      </c>
      <c r="F2" s="10" t="s">
        <v>2824</v>
      </c>
      <c r="G2" s="10"/>
      <c r="H2" s="10"/>
      <c r="I2" s="10" t="s">
        <v>312</v>
      </c>
      <c r="J2" s="7">
        <f>IFERROR(LOOKUP(2,1/('Outreach Log'!$E$2:$E$9998=B2),'Outreach Log'!$B$2:$B$9998),"")</f>
        <v>46084</v>
      </c>
      <c r="K2" s="5">
        <f>COUNTIF('Outreach Log'!$E:$E,B2)</f>
        <v>1</v>
      </c>
    </row>
    <row r="3" spans="1:11">
      <c r="A3" s="9">
        <f>IF(tblCompanies[[#This Row],[Company Name]]&lt;&gt;0,ROW()-1,"")</f>
        <v>2</v>
      </c>
      <c r="B3" s="10" t="s">
        <v>171</v>
      </c>
      <c r="C3" s="10"/>
      <c r="D3" s="10" t="s">
        <v>13</v>
      </c>
      <c r="E3" s="10" t="s">
        <v>172</v>
      </c>
      <c r="F3" s="10" t="s">
        <v>2824</v>
      </c>
      <c r="G3" s="10"/>
      <c r="H3" s="10"/>
      <c r="I3" s="10" t="s">
        <v>173</v>
      </c>
      <c r="J3" s="7">
        <f>IFERROR(LOOKUP(2,1/('Outreach Log'!$E$2:$E$9998=B3),'Outreach Log'!$B$2:$B$9998),"")</f>
        <v>46084</v>
      </c>
      <c r="K3" s="5">
        <f>COUNTIF('Outreach Log'!$E:$E,B3)</f>
        <v>1</v>
      </c>
    </row>
    <row r="4" spans="1:11">
      <c r="A4" s="9">
        <f>IF(tblCompanies[[#This Row],[Company Name]]&lt;&gt;0,ROW()-1,"")</f>
        <v>3</v>
      </c>
      <c r="B4" s="10" t="s">
        <v>606</v>
      </c>
      <c r="C4" s="10"/>
      <c r="D4" s="10" t="s">
        <v>13</v>
      </c>
      <c r="E4" s="10" t="s">
        <v>607</v>
      </c>
      <c r="F4" s="10" t="s">
        <v>2824</v>
      </c>
      <c r="G4" s="10"/>
      <c r="H4" s="10"/>
      <c r="I4" s="10" t="s">
        <v>608</v>
      </c>
      <c r="J4" s="7">
        <f>IFERROR(LOOKUP(2,1/('Outreach Log'!$E$2:$E$9998=B4),'Outreach Log'!$B$2:$B$9998),"")</f>
        <v>46084</v>
      </c>
      <c r="K4" s="5">
        <f>COUNTIF('Outreach Log'!$E:$E,B4)</f>
        <v>1</v>
      </c>
    </row>
    <row r="5" spans="1:11">
      <c r="A5" s="9">
        <f>IF(tblCompanies[[#This Row],[Company Name]]&lt;&gt;0,ROW()-1,"")</f>
        <v>4</v>
      </c>
      <c r="B5" s="10" t="s">
        <v>111</v>
      </c>
      <c r="C5" s="10"/>
      <c r="D5" s="10" t="s">
        <v>13</v>
      </c>
      <c r="E5" s="10" t="s">
        <v>112</v>
      </c>
      <c r="F5" s="10" t="s">
        <v>2824</v>
      </c>
      <c r="G5" s="10"/>
      <c r="H5" s="10"/>
      <c r="I5" s="10" t="s">
        <v>2470</v>
      </c>
      <c r="J5" s="7">
        <f>IFERROR(LOOKUP(2,1/('Outreach Log'!$E$2:$E$9998=B5),'Outreach Log'!$B$2:$B$9998),"")</f>
        <v>46084</v>
      </c>
      <c r="K5" s="5">
        <f>COUNTIF('Outreach Log'!$E:$E,B5)</f>
        <v>1</v>
      </c>
    </row>
    <row r="6" spans="1:11">
      <c r="A6" s="9">
        <f>IF(tblCompanies[[#This Row],[Company Name]]&lt;&gt;0,ROW()-1,"")</f>
        <v>5</v>
      </c>
      <c r="B6" s="10" t="s">
        <v>540</v>
      </c>
      <c r="C6" s="10"/>
      <c r="D6" s="10" t="s">
        <v>13</v>
      </c>
      <c r="E6" s="10" t="s">
        <v>541</v>
      </c>
      <c r="F6" s="10" t="s">
        <v>2824</v>
      </c>
      <c r="G6" s="10"/>
      <c r="H6" s="10"/>
      <c r="I6" s="10" t="s">
        <v>542</v>
      </c>
      <c r="J6" s="7">
        <f>IFERROR(LOOKUP(2,1/('Outreach Log'!$E$2:$E$9998=B6),'Outreach Log'!$B$2:$B$9998),"")</f>
        <v>46084</v>
      </c>
      <c r="K6" s="5">
        <f>COUNTIF('Outreach Log'!$E:$E,B6)</f>
        <v>1</v>
      </c>
    </row>
    <row r="7" spans="1:11">
      <c r="A7" s="9">
        <f>IF(tblCompanies[[#This Row],[Company Name]]&lt;&gt;0,ROW()-1,"")</f>
        <v>6</v>
      </c>
      <c r="B7" s="10" t="s">
        <v>414</v>
      </c>
      <c r="C7" s="10"/>
      <c r="D7" s="10" t="s">
        <v>13</v>
      </c>
      <c r="E7" s="10" t="s">
        <v>415</v>
      </c>
      <c r="F7" s="10" t="s">
        <v>2824</v>
      </c>
      <c r="G7" s="10"/>
      <c r="H7" s="10"/>
      <c r="I7" s="10" t="s">
        <v>2494</v>
      </c>
      <c r="J7" s="7">
        <f>IFERROR(LOOKUP(2,1/('Outreach Log'!$E$2:$E$9998=B7),'Outreach Log'!$B$2:$B$9998),"")</f>
        <v>46084</v>
      </c>
      <c r="K7" s="5">
        <f>COUNTIF('Outreach Log'!$E:$E,B7)</f>
        <v>1</v>
      </c>
    </row>
    <row r="8" spans="1:11">
      <c r="A8" s="9">
        <f>IF(tblCompanies[[#This Row],[Company Name]]&lt;&gt;0,ROW()-1,"")</f>
        <v>7</v>
      </c>
      <c r="B8" s="10" t="s">
        <v>109</v>
      </c>
      <c r="C8" s="10"/>
      <c r="D8" s="10" t="s">
        <v>13</v>
      </c>
      <c r="E8" s="10" t="s">
        <v>110</v>
      </c>
      <c r="F8" s="10" t="s">
        <v>2824</v>
      </c>
      <c r="G8" s="10"/>
      <c r="H8" s="10"/>
      <c r="I8" s="10" t="s">
        <v>2469</v>
      </c>
      <c r="J8" s="7">
        <f>IFERROR(LOOKUP(2,1/('Outreach Log'!$E$2:$E$9998=B8),'Outreach Log'!$B$2:$B$9998),"")</f>
        <v>46084</v>
      </c>
      <c r="K8" s="5">
        <f>COUNTIF('Outreach Log'!$E:$E,B8)</f>
        <v>1</v>
      </c>
    </row>
    <row r="9" spans="1:11">
      <c r="A9" s="9">
        <f>IF(tblCompanies[[#This Row],[Company Name]]&lt;&gt;0,ROW()-1,"")</f>
        <v>8</v>
      </c>
      <c r="B9" s="10" t="s">
        <v>553</v>
      </c>
      <c r="C9" s="10"/>
      <c r="D9" s="10" t="s">
        <v>13</v>
      </c>
      <c r="E9" s="10" t="s">
        <v>554</v>
      </c>
      <c r="F9" s="10" t="s">
        <v>2824</v>
      </c>
      <c r="G9" s="10"/>
      <c r="H9" s="10"/>
      <c r="I9" s="10" t="s">
        <v>2499</v>
      </c>
      <c r="J9" s="7">
        <f>IFERROR(LOOKUP(2,1/('Outreach Log'!$E$2:$E$9998=B9),'Outreach Log'!$B$2:$B$9998),"")</f>
        <v>46084</v>
      </c>
      <c r="K9" s="5">
        <f>COUNTIF('Outreach Log'!$E:$E,B9)</f>
        <v>1</v>
      </c>
    </row>
    <row r="10" spans="1:11">
      <c r="A10" s="9">
        <f>IF(tblCompanies[[#This Row],[Company Name]]&lt;&gt;0,ROW()-1,"")</f>
        <v>9</v>
      </c>
      <c r="B10" s="10" t="s">
        <v>148</v>
      </c>
      <c r="C10" s="10"/>
      <c r="D10" s="10" t="s">
        <v>13</v>
      </c>
      <c r="E10" s="10" t="s">
        <v>149</v>
      </c>
      <c r="F10" s="10" t="s">
        <v>2824</v>
      </c>
      <c r="G10" s="10"/>
      <c r="H10" s="10"/>
      <c r="I10" s="10" t="s">
        <v>150</v>
      </c>
      <c r="J10" s="7">
        <f>IFERROR(LOOKUP(2,1/('Outreach Log'!$E$2:$E$9998=B10),'Outreach Log'!$B$2:$B$9998),"")</f>
        <v>46084</v>
      </c>
      <c r="K10" s="5">
        <f>COUNTIF('Outreach Log'!$E:$E,B10)</f>
        <v>1</v>
      </c>
    </row>
    <row r="11" spans="1:11">
      <c r="A11" s="9">
        <f>IF(tblCompanies[[#This Row],[Company Name]]&lt;&gt;0,ROW()-1,"")</f>
        <v>10</v>
      </c>
      <c r="B11" s="10" t="s">
        <v>636</v>
      </c>
      <c r="C11" s="10" t="s">
        <v>3</v>
      </c>
      <c r="D11" s="10" t="s">
        <v>13</v>
      </c>
      <c r="E11" s="10" t="s">
        <v>637</v>
      </c>
      <c r="F11" s="10" t="s">
        <v>2824</v>
      </c>
      <c r="G11" s="10" t="s">
        <v>46</v>
      </c>
      <c r="H11" s="10"/>
      <c r="I11" s="10" t="s">
        <v>2527</v>
      </c>
      <c r="J11" s="7">
        <f>IFERROR(LOOKUP(2,1/('Outreach Log'!$E$2:$E$9998=B11),'Outreach Log'!$B$2:$B$9998),"")</f>
        <v>46084</v>
      </c>
      <c r="K11" s="5">
        <f>COUNTIF('Outreach Log'!$E:$E,B11)</f>
        <v>1</v>
      </c>
    </row>
    <row r="12" spans="1:11">
      <c r="A12" s="9">
        <f>IF(tblCompanies[[#This Row],[Company Name]]&lt;&gt;0,ROW()-1,"")</f>
        <v>11</v>
      </c>
      <c r="B12" s="10" t="s">
        <v>470</v>
      </c>
      <c r="C12" s="10" t="s">
        <v>1</v>
      </c>
      <c r="D12" s="10" t="s">
        <v>13</v>
      </c>
      <c r="E12" s="10" t="s">
        <v>471</v>
      </c>
      <c r="F12" s="10" t="s">
        <v>2824</v>
      </c>
      <c r="G12" s="10" t="s">
        <v>2777</v>
      </c>
      <c r="H12" s="10"/>
      <c r="I12" s="10" t="s">
        <v>2787</v>
      </c>
      <c r="J12" s="7">
        <f>IFERROR(LOOKUP(2,1/('Outreach Log'!$E$2:$E$9998=B12),'Outreach Log'!$B$2:$B$9998),"")</f>
        <v>46084</v>
      </c>
      <c r="K12" s="5">
        <f>COUNTIF('Outreach Log'!$E:$E,B12)</f>
        <v>1</v>
      </c>
    </row>
    <row r="13" spans="1:11">
      <c r="A13" s="9">
        <f>IF(tblCompanies[[#This Row],[Company Name]]&lt;&gt;0,ROW()-1,"")</f>
        <v>12</v>
      </c>
      <c r="B13" s="10" t="s">
        <v>293</v>
      </c>
      <c r="C13" s="10"/>
      <c r="D13" s="10" t="s">
        <v>13</v>
      </c>
      <c r="E13" s="10" t="s">
        <v>294</v>
      </c>
      <c r="F13" s="10" t="s">
        <v>2824</v>
      </c>
      <c r="G13" s="10"/>
      <c r="H13" s="10"/>
      <c r="I13" s="10" t="s">
        <v>2482</v>
      </c>
      <c r="J13" s="7">
        <f>IFERROR(LOOKUP(2,1/('Outreach Log'!$E$2:$E$9998=B13),'Outreach Log'!$B$2:$B$9998),"")</f>
        <v>46084</v>
      </c>
      <c r="K13" s="5">
        <f>COUNTIF('Outreach Log'!$E:$E,B13)</f>
        <v>1</v>
      </c>
    </row>
    <row r="14" spans="1:11">
      <c r="A14" s="9">
        <f>IF(tblCompanies[[#This Row],[Company Name]]&lt;&gt;0,ROW()-1,"")</f>
        <v>13</v>
      </c>
      <c r="B14" s="10" t="s">
        <v>244</v>
      </c>
      <c r="C14" s="10"/>
      <c r="D14" s="10" t="s">
        <v>13</v>
      </c>
      <c r="E14" s="10" t="s">
        <v>245</v>
      </c>
      <c r="F14" s="10" t="s">
        <v>2824</v>
      </c>
      <c r="G14" s="10"/>
      <c r="H14" s="10"/>
      <c r="I14" s="10" t="s">
        <v>2477</v>
      </c>
      <c r="J14" s="7">
        <f>IFERROR(LOOKUP(2,1/('Outreach Log'!$E$2:$E$9998=B14),'Outreach Log'!$B$2:$B$9998),"")</f>
        <v>46084</v>
      </c>
      <c r="K14" s="5">
        <f>COUNTIF('Outreach Log'!$E:$E,B14)</f>
        <v>1</v>
      </c>
    </row>
    <row r="15" spans="1:11">
      <c r="A15" s="9">
        <f>IF(tblCompanies[[#This Row],[Company Name]]&lt;&gt;0,ROW()-1,"")</f>
        <v>14</v>
      </c>
      <c r="B15" s="10" t="s">
        <v>178</v>
      </c>
      <c r="C15" s="10"/>
      <c r="D15" s="10" t="s">
        <v>13</v>
      </c>
      <c r="E15" s="10" t="s">
        <v>179</v>
      </c>
      <c r="F15" s="10" t="s">
        <v>2824</v>
      </c>
      <c r="G15" s="10"/>
      <c r="H15" s="10"/>
      <c r="I15" s="10" t="s">
        <v>2475</v>
      </c>
      <c r="J15" s="7">
        <f>IFERROR(LOOKUP(2,1/('Outreach Log'!$E$2:$E$9998=B15),'Outreach Log'!$B$2:$B$9998),"")</f>
        <v>46084</v>
      </c>
      <c r="K15" s="5">
        <f>COUNTIF('Outreach Log'!$E:$E,B15)</f>
        <v>1</v>
      </c>
    </row>
    <row r="16" spans="1:11">
      <c r="A16" s="9">
        <f>IF(tblCompanies[[#This Row],[Company Name]]&lt;&gt;0,ROW()-1,"")</f>
        <v>15</v>
      </c>
      <c r="B16" s="10" t="s">
        <v>584</v>
      </c>
      <c r="C16" s="10"/>
      <c r="D16" s="10" t="s">
        <v>13</v>
      </c>
      <c r="E16" s="10" t="s">
        <v>585</v>
      </c>
      <c r="F16" s="10" t="s">
        <v>2824</v>
      </c>
      <c r="G16" s="10"/>
      <c r="H16" s="10"/>
      <c r="I16" s="10" t="s">
        <v>586</v>
      </c>
      <c r="J16" s="7">
        <f>IFERROR(LOOKUP(2,1/('Outreach Log'!$E$2:$E$9998=B16),'Outreach Log'!$B$2:$B$9998),"")</f>
        <v>46084</v>
      </c>
      <c r="K16" s="5">
        <f>COUNTIF('Outreach Log'!$E:$E,B16)</f>
        <v>1</v>
      </c>
    </row>
    <row r="17" spans="1:11">
      <c r="A17" s="9">
        <f>IF(tblCompanies[[#This Row],[Company Name]]&lt;&gt;0,ROW()-1,"")</f>
        <v>16</v>
      </c>
      <c r="B17" s="10" t="s">
        <v>266</v>
      </c>
      <c r="C17" s="10"/>
      <c r="D17" s="10" t="s">
        <v>13</v>
      </c>
      <c r="E17" s="10" t="s">
        <v>267</v>
      </c>
      <c r="F17" s="10" t="s">
        <v>2824</v>
      </c>
      <c r="G17" s="10"/>
      <c r="H17" s="10"/>
      <c r="I17" s="10" t="s">
        <v>2481</v>
      </c>
      <c r="J17" s="7">
        <f>IFERROR(LOOKUP(2,1/('Outreach Log'!$E$2:$E$9998=B17),'Outreach Log'!$B$2:$B$9998),"")</f>
        <v>46084</v>
      </c>
      <c r="K17" s="5">
        <f>COUNTIF('Outreach Log'!$E:$E,B17)</f>
        <v>1</v>
      </c>
    </row>
    <row r="18" spans="1:11">
      <c r="A18" s="9">
        <f>IF(tblCompanies[[#This Row],[Company Name]]&lt;&gt;0,ROW()-1,"")</f>
        <v>17</v>
      </c>
      <c r="B18" s="10" t="s">
        <v>157</v>
      </c>
      <c r="C18" s="10"/>
      <c r="D18" s="10" t="s">
        <v>13</v>
      </c>
      <c r="E18" s="10" t="s">
        <v>158</v>
      </c>
      <c r="F18" s="10" t="s">
        <v>2824</v>
      </c>
      <c r="G18" s="10"/>
      <c r="H18" s="10"/>
      <c r="I18" s="10" t="s">
        <v>30</v>
      </c>
      <c r="J18" s="7">
        <f>IFERROR(LOOKUP(2,1/('Outreach Log'!$E$2:$E$9998=B18),'Outreach Log'!$B$2:$B$9998),"")</f>
        <v>46084</v>
      </c>
      <c r="K18" s="5">
        <f>COUNTIF('Outreach Log'!$E:$E,B18)</f>
        <v>1</v>
      </c>
    </row>
    <row r="19" spans="1:11">
      <c r="A19" s="9">
        <f>IF(tblCompanies[[#This Row],[Company Name]]&lt;&gt;0,ROW()-1,"")</f>
        <v>18</v>
      </c>
      <c r="B19" s="10" t="s">
        <v>563</v>
      </c>
      <c r="C19" s="10"/>
      <c r="D19" s="10" t="s">
        <v>13</v>
      </c>
      <c r="E19" s="10" t="s">
        <v>564</v>
      </c>
      <c r="F19" s="10" t="s">
        <v>2824</v>
      </c>
      <c r="G19" s="10"/>
      <c r="H19" s="10"/>
      <c r="I19" s="10" t="s">
        <v>2502</v>
      </c>
      <c r="J19" s="7">
        <f>IFERROR(LOOKUP(2,1/('Outreach Log'!$E$2:$E$9998=B19),'Outreach Log'!$B$2:$B$9998),"")</f>
        <v>46084</v>
      </c>
      <c r="K19" s="5">
        <f>COUNTIF('Outreach Log'!$E:$E,B19)</f>
        <v>1</v>
      </c>
    </row>
    <row r="20" spans="1:11">
      <c r="A20" s="9">
        <f>IF(tblCompanies[[#This Row],[Company Name]]&lt;&gt;0,ROW()-1,"")</f>
        <v>19</v>
      </c>
      <c r="B20" s="10" t="s">
        <v>274</v>
      </c>
      <c r="C20" s="10" t="s">
        <v>6</v>
      </c>
      <c r="D20" s="10" t="s">
        <v>13</v>
      </c>
      <c r="E20" s="10" t="s">
        <v>275</v>
      </c>
      <c r="F20" s="10" t="s">
        <v>2824</v>
      </c>
      <c r="G20" s="10" t="s">
        <v>46</v>
      </c>
      <c r="H20" s="10"/>
      <c r="I20" s="10" t="s">
        <v>2513</v>
      </c>
      <c r="J20" s="7">
        <f>IFERROR(LOOKUP(2,1/('Outreach Log'!$E$2:$E$9998=B20),'Outreach Log'!$B$2:$B$9998),"")</f>
        <v>46084</v>
      </c>
      <c r="K20" s="5">
        <f>COUNTIF('Outreach Log'!$E:$E,B20)</f>
        <v>1</v>
      </c>
    </row>
    <row r="21" spans="1:11">
      <c r="A21" s="9">
        <f>IF(tblCompanies[[#This Row],[Company Name]]&lt;&gt;0,ROW()-1,"")</f>
        <v>20</v>
      </c>
      <c r="B21" s="10" t="s">
        <v>203</v>
      </c>
      <c r="C21" s="10"/>
      <c r="D21" s="10" t="s">
        <v>13</v>
      </c>
      <c r="E21" s="10" t="s">
        <v>90</v>
      </c>
      <c r="F21" s="10" t="s">
        <v>2824</v>
      </c>
      <c r="G21" s="10"/>
      <c r="H21" s="10"/>
      <c r="I21" s="10" t="s">
        <v>91</v>
      </c>
      <c r="J21" s="7">
        <f>IFERROR(LOOKUP(2,1/('Outreach Log'!$E$2:$E$9998=B21),'Outreach Log'!$B$2:$B$9998),"")</f>
        <v>46084</v>
      </c>
      <c r="K21" s="5">
        <f>COUNTIF('Outreach Log'!$E:$E,B21)</f>
        <v>1</v>
      </c>
    </row>
    <row r="22" spans="1:11">
      <c r="A22" s="9">
        <f>IF(tblCompanies[[#This Row],[Company Name]]&lt;&gt;0,ROW()-1,"")</f>
        <v>21</v>
      </c>
      <c r="B22" s="10" t="s">
        <v>497</v>
      </c>
      <c r="C22" s="10" t="s">
        <v>0</v>
      </c>
      <c r="D22" s="10" t="s">
        <v>13</v>
      </c>
      <c r="E22" s="10" t="s">
        <v>498</v>
      </c>
      <c r="F22" s="10" t="s">
        <v>2824</v>
      </c>
      <c r="G22" s="10" t="s">
        <v>2756</v>
      </c>
      <c r="H22" s="10"/>
      <c r="I22" s="10" t="s">
        <v>499</v>
      </c>
      <c r="J22" s="7">
        <f>IFERROR(LOOKUP(2,1/('Outreach Log'!$E$2:$E$9998=B22),'Outreach Log'!$B$2:$B$9998),"")</f>
        <v>46084</v>
      </c>
      <c r="K22" s="5">
        <f>COUNTIF('Outreach Log'!$E:$E,B22)</f>
        <v>1</v>
      </c>
    </row>
    <row r="23" spans="1:11">
      <c r="A23" s="9">
        <f>IF(tblCompanies[[#This Row],[Company Name]]&lt;&gt;0,ROW()-1,"")</f>
        <v>22</v>
      </c>
      <c r="B23" s="10" t="s">
        <v>134</v>
      </c>
      <c r="C23" s="10"/>
      <c r="D23" s="10" t="s">
        <v>13</v>
      </c>
      <c r="E23" s="10" t="s">
        <v>135</v>
      </c>
      <c r="F23" s="10" t="s">
        <v>2824</v>
      </c>
      <c r="G23" s="10"/>
      <c r="H23" s="10"/>
      <c r="I23" s="10" t="s">
        <v>2801</v>
      </c>
      <c r="J23" s="7">
        <f>IFERROR(LOOKUP(2,1/('Outreach Log'!$E$2:$E$9998=B23),'Outreach Log'!$B$2:$B$9998),"")</f>
        <v>46084</v>
      </c>
      <c r="K23" s="5">
        <f>COUNTIF('Outreach Log'!$E:$E,B23)</f>
        <v>1</v>
      </c>
    </row>
    <row r="24" spans="1:11">
      <c r="A24" s="9">
        <f>IF(tblCompanies[[#This Row],[Company Name]]&lt;&gt;0,ROW()-1,"")</f>
        <v>23</v>
      </c>
      <c r="B24" s="10" t="s">
        <v>220</v>
      </c>
      <c r="C24" s="10"/>
      <c r="D24" s="10" t="s">
        <v>13</v>
      </c>
      <c r="E24" s="10" t="s">
        <v>221</v>
      </c>
      <c r="F24" s="10" t="s">
        <v>2824</v>
      </c>
      <c r="G24" s="10"/>
      <c r="H24" s="10"/>
      <c r="I24" s="10" t="s">
        <v>222</v>
      </c>
      <c r="J24" s="7">
        <f>IFERROR(LOOKUP(2,1/('Outreach Log'!$E$2:$E$9998=B24),'Outreach Log'!$B$2:$B$9998),"")</f>
        <v>46084</v>
      </c>
      <c r="K24" s="5">
        <f>COUNTIF('Outreach Log'!$E:$E,B24)</f>
        <v>1</v>
      </c>
    </row>
    <row r="25" spans="1:11">
      <c r="A25" s="9">
        <f>IF(tblCompanies[[#This Row],[Company Name]]&lt;&gt;0,ROW()-1,"")</f>
        <v>24</v>
      </c>
      <c r="B25" s="10" t="s">
        <v>317</v>
      </c>
      <c r="C25" s="10"/>
      <c r="D25" s="10" t="s">
        <v>14</v>
      </c>
      <c r="E25" s="10" t="s">
        <v>318</v>
      </c>
      <c r="F25" s="10" t="s">
        <v>2824</v>
      </c>
      <c r="G25" s="10"/>
      <c r="H25" s="10" t="s">
        <v>52</v>
      </c>
      <c r="I25" s="10" t="s">
        <v>2427</v>
      </c>
      <c r="J25" s="7" t="str">
        <f>IFERROR(LOOKUP(2,1/('Outreach Log'!$E$2:$E$9998=B25),'Outreach Log'!$B$2:$B$9998),"")</f>
        <v/>
      </c>
      <c r="K25" s="5">
        <f>COUNTIF('Outreach Log'!$E:$E,B25)</f>
        <v>0</v>
      </c>
    </row>
    <row r="26" spans="1:11">
      <c r="A26" s="9">
        <f>IF(tblCompanies[[#This Row],[Company Name]]&lt;&gt;0,ROW()-1,"")</f>
        <v>25</v>
      </c>
      <c r="B26" s="10" t="s">
        <v>257</v>
      </c>
      <c r="C26" s="10"/>
      <c r="D26" s="10" t="s">
        <v>14</v>
      </c>
      <c r="E26" s="10" t="s">
        <v>258</v>
      </c>
      <c r="F26" s="10" t="s">
        <v>2824</v>
      </c>
      <c r="G26" s="10"/>
      <c r="H26" s="10" t="s">
        <v>52</v>
      </c>
      <c r="I26" s="10" t="s">
        <v>2479</v>
      </c>
      <c r="J26" s="7" t="str">
        <f>IFERROR(LOOKUP(2,1/('Outreach Log'!$E$2:$E$9998=B26),'Outreach Log'!$B$2:$B$9998),"")</f>
        <v/>
      </c>
      <c r="K26" s="5">
        <f>COUNTIF('Outreach Log'!$E:$E,B26)</f>
        <v>0</v>
      </c>
    </row>
    <row r="27" spans="1:11">
      <c r="A27" s="9">
        <f>IF(tblCompanies[[#This Row],[Company Name]]&lt;&gt;0,ROW()-1,"")</f>
        <v>26</v>
      </c>
      <c r="B27" s="10" t="s">
        <v>2106</v>
      </c>
      <c r="C27" s="10"/>
      <c r="D27" s="10" t="s">
        <v>14</v>
      </c>
      <c r="E27" s="10" t="s">
        <v>320</v>
      </c>
      <c r="F27" s="10" t="s">
        <v>2824</v>
      </c>
      <c r="G27" s="10" t="s">
        <v>321</v>
      </c>
      <c r="H27" s="10" t="s">
        <v>52</v>
      </c>
      <c r="I27" s="10" t="s">
        <v>2536</v>
      </c>
      <c r="J27" s="7">
        <f>IFERROR(LOOKUP(2,1/('Outreach Log'!$E$2:$E$9998=B27),'Outreach Log'!$B$2:$B$9998),"")</f>
        <v>46093</v>
      </c>
      <c r="K27" s="5">
        <f>COUNTIF('Outreach Log'!$E:$E,B27)</f>
        <v>2</v>
      </c>
    </row>
    <row r="28" spans="1:11">
      <c r="A28" s="9">
        <f>IF(tblCompanies[[#This Row],[Company Name]]&lt;&gt;0,ROW()-1,"")</f>
        <v>27</v>
      </c>
      <c r="B28" s="10" t="s">
        <v>2107</v>
      </c>
      <c r="C28" s="10"/>
      <c r="D28" s="10" t="s">
        <v>14</v>
      </c>
      <c r="E28" s="10" t="s">
        <v>337</v>
      </c>
      <c r="F28" s="10" t="s">
        <v>2824</v>
      </c>
      <c r="G28" s="10"/>
      <c r="H28" s="10" t="s">
        <v>338</v>
      </c>
      <c r="I28" s="10" t="s">
        <v>2429</v>
      </c>
      <c r="J28" s="7">
        <f>IFERROR(LOOKUP(2,1/('Outreach Log'!$E$2:$E$9998=B28),'Outreach Log'!$B$2:$B$9998),"")</f>
        <v>46093</v>
      </c>
      <c r="K28" s="5">
        <f>COUNTIF('Outreach Log'!$E:$E,B28)</f>
        <v>4</v>
      </c>
    </row>
    <row r="29" spans="1:11">
      <c r="A29" s="9">
        <f>IF(tblCompanies[[#This Row],[Company Name]]&lt;&gt;0,ROW()-1,"")</f>
        <v>28</v>
      </c>
      <c r="B29" s="10" t="s">
        <v>2108</v>
      </c>
      <c r="C29" s="10"/>
      <c r="D29" s="10" t="s">
        <v>14</v>
      </c>
      <c r="E29" s="10" t="s">
        <v>147</v>
      </c>
      <c r="F29" s="10" t="s">
        <v>2824</v>
      </c>
      <c r="G29" s="10"/>
      <c r="H29" s="10" t="s">
        <v>37</v>
      </c>
      <c r="I29" s="10" t="s">
        <v>2473</v>
      </c>
      <c r="J29" s="7">
        <f>IFERROR(LOOKUP(2,1/('Outreach Log'!$E$2:$E$9998=B29),'Outreach Log'!$B$2:$B$9998),"")</f>
        <v>46093</v>
      </c>
      <c r="K29" s="5">
        <f>COUNTIF('Outreach Log'!$E:$E,B29)</f>
        <v>1</v>
      </c>
    </row>
    <row r="30" spans="1:11">
      <c r="A30" s="9">
        <f>IF(tblCompanies[[#This Row],[Company Name]]&lt;&gt;0,ROW()-1,"")</f>
        <v>29</v>
      </c>
      <c r="B30" s="10" t="s">
        <v>188</v>
      </c>
      <c r="C30" s="10" t="s">
        <v>4</v>
      </c>
      <c r="D30" s="10" t="s">
        <v>2171</v>
      </c>
      <c r="E30" s="10" t="s">
        <v>189</v>
      </c>
      <c r="F30" s="10" t="s">
        <v>2824</v>
      </c>
      <c r="G30" s="10" t="s">
        <v>138</v>
      </c>
      <c r="H30" s="10" t="s">
        <v>37</v>
      </c>
      <c r="I30" s="10" t="s">
        <v>190</v>
      </c>
      <c r="J30" s="7">
        <f>IFERROR(LOOKUP(2,1/('Outreach Log'!$E$2:$E$9998=B30),'Outreach Log'!$B$2:$B$9998),"")</f>
        <v>46126</v>
      </c>
      <c r="K30" s="5">
        <f>COUNTIF('Outreach Log'!$E:$E,B30)</f>
        <v>3</v>
      </c>
    </row>
    <row r="31" spans="1:11">
      <c r="A31" s="9">
        <f>IF(tblCompanies[[#This Row],[Company Name]]&lt;&gt;0,ROW()-1,"")</f>
        <v>30</v>
      </c>
      <c r="B31" s="10" t="s">
        <v>2109</v>
      </c>
      <c r="C31" s="10"/>
      <c r="D31" s="10" t="s">
        <v>14</v>
      </c>
      <c r="E31" s="10" t="s">
        <v>533</v>
      </c>
      <c r="F31" s="10" t="s">
        <v>2824</v>
      </c>
      <c r="G31" s="10"/>
      <c r="H31" s="10" t="s">
        <v>100</v>
      </c>
      <c r="I31" s="10" t="s">
        <v>2430</v>
      </c>
      <c r="J31" s="7">
        <f>IFERROR(LOOKUP(2,1/('Outreach Log'!$E$2:$E$9998=B31),'Outreach Log'!$B$2:$B$9998),"")</f>
        <v>46093</v>
      </c>
      <c r="K31" s="5">
        <f>COUNTIF('Outreach Log'!$E:$E,B31)</f>
        <v>3</v>
      </c>
    </row>
    <row r="32" spans="1:11">
      <c r="A32" s="9">
        <f>IF(tblCompanies[[#This Row],[Company Name]]&lt;&gt;0,ROW()-1,"")</f>
        <v>31</v>
      </c>
      <c r="B32" s="10" t="s">
        <v>2110</v>
      </c>
      <c r="C32" s="10"/>
      <c r="D32" s="10" t="s">
        <v>14</v>
      </c>
      <c r="E32" s="10" t="s">
        <v>67</v>
      </c>
      <c r="F32" s="10" t="s">
        <v>2824</v>
      </c>
      <c r="G32" s="10" t="s">
        <v>2696</v>
      </c>
      <c r="H32" s="10" t="s">
        <v>68</v>
      </c>
      <c r="I32" s="10" t="s">
        <v>2697</v>
      </c>
      <c r="J32" s="7">
        <f>IFERROR(LOOKUP(2,1/('Outreach Log'!$E$2:$E$9998=B32),'Outreach Log'!$B$2:$B$9998),"")</f>
        <v>46093</v>
      </c>
      <c r="K32" s="5">
        <f>COUNTIF('Outreach Log'!$E:$E,B32)</f>
        <v>3</v>
      </c>
    </row>
    <row r="33" spans="1:11">
      <c r="A33" s="9">
        <f>IF(tblCompanies[[#This Row],[Company Name]]&lt;&gt;0,ROW()-1,"")</f>
        <v>32</v>
      </c>
      <c r="B33" s="10" t="s">
        <v>327</v>
      </c>
      <c r="C33" s="10"/>
      <c r="D33" s="10" t="s">
        <v>14</v>
      </c>
      <c r="E33" s="10" t="s">
        <v>328</v>
      </c>
      <c r="F33" s="10" t="s">
        <v>2824</v>
      </c>
      <c r="G33" s="10" t="s">
        <v>138</v>
      </c>
      <c r="H33" s="10" t="s">
        <v>52</v>
      </c>
      <c r="I33" s="10" t="s">
        <v>329</v>
      </c>
      <c r="J33" s="7">
        <f>IFERROR(LOOKUP(2,1/('Outreach Log'!$E$2:$E$9998=B33),'Outreach Log'!$B$2:$B$9998),"")</f>
        <v>46093</v>
      </c>
      <c r="K33" s="5">
        <f>COUNTIF('Outreach Log'!$E:$E,B33)</f>
        <v>2</v>
      </c>
    </row>
    <row r="34" spans="1:11">
      <c r="A34" s="9">
        <f>IF(tblCompanies[[#This Row],[Company Name]]&lt;&gt;0,ROW()-1,"")</f>
        <v>33</v>
      </c>
      <c r="B34" s="10" t="s">
        <v>2111</v>
      </c>
      <c r="C34" s="10" t="s">
        <v>4</v>
      </c>
      <c r="D34" s="10" t="s">
        <v>2171</v>
      </c>
      <c r="E34" s="10" t="s">
        <v>194</v>
      </c>
      <c r="F34" s="10" t="s">
        <v>2824</v>
      </c>
      <c r="G34" s="10" t="s">
        <v>2731</v>
      </c>
      <c r="H34" s="10" t="s">
        <v>143</v>
      </c>
      <c r="I34" s="10" t="s">
        <v>195</v>
      </c>
      <c r="J34" s="7">
        <f>IFERROR(LOOKUP(2,1/('Outreach Log'!$E$2:$E$9998=B34),'Outreach Log'!$B$2:$B$9998),"")</f>
        <v>46093</v>
      </c>
      <c r="K34" s="5">
        <f>COUNTIF('Outreach Log'!$E:$E,B34)</f>
        <v>3</v>
      </c>
    </row>
    <row r="35" spans="1:11">
      <c r="A35" s="9">
        <f>IF(tblCompanies[[#This Row],[Company Name]]&lt;&gt;0,ROW()-1,"")</f>
        <v>34</v>
      </c>
      <c r="B35" s="10" t="s">
        <v>521</v>
      </c>
      <c r="C35" s="10"/>
      <c r="D35" s="10" t="s">
        <v>14</v>
      </c>
      <c r="E35" s="10" t="s">
        <v>522</v>
      </c>
      <c r="F35" s="10" t="s">
        <v>2824</v>
      </c>
      <c r="G35" s="10" t="s">
        <v>2563</v>
      </c>
      <c r="H35" s="10" t="s">
        <v>37</v>
      </c>
      <c r="I35" s="10" t="s">
        <v>2568</v>
      </c>
      <c r="J35" s="7">
        <f>IFERROR(LOOKUP(2,1/('Outreach Log'!$E$2:$E$9998=B35),'Outreach Log'!$B$2:$B$9998),"")</f>
        <v>46126</v>
      </c>
      <c r="K35" s="5">
        <f>COUNTIF('Outreach Log'!$E:$E,B35)</f>
        <v>2</v>
      </c>
    </row>
    <row r="36" spans="1:11">
      <c r="A36" s="9">
        <f>IF(tblCompanies[[#This Row],[Company Name]]&lt;&gt;0,ROW()-1,"")</f>
        <v>35</v>
      </c>
      <c r="B36" s="10" t="s">
        <v>2112</v>
      </c>
      <c r="C36" s="10"/>
      <c r="D36" s="10" t="s">
        <v>14</v>
      </c>
      <c r="E36" s="10" t="s">
        <v>313</v>
      </c>
      <c r="F36" s="10" t="s">
        <v>2824</v>
      </c>
      <c r="G36" s="10" t="s">
        <v>2664</v>
      </c>
      <c r="H36" s="10" t="s">
        <v>314</v>
      </c>
      <c r="I36" s="10" t="s">
        <v>2674</v>
      </c>
      <c r="J36" s="7">
        <f>IFERROR(LOOKUP(2,1/('Outreach Log'!$E$2:$E$9998=B36),'Outreach Log'!$B$2:$B$9998),"")</f>
        <v>46093</v>
      </c>
      <c r="K36" s="5">
        <f>COUNTIF('Outreach Log'!$E:$E,B36)</f>
        <v>2</v>
      </c>
    </row>
    <row r="37" spans="1:11">
      <c r="A37" s="9">
        <f>IF(tblCompanies[[#This Row],[Company Name]]&lt;&gt;0,ROW()-1,"")</f>
        <v>36</v>
      </c>
      <c r="B37" s="10" t="s">
        <v>2113</v>
      </c>
      <c r="C37" s="10"/>
      <c r="D37" s="10" t="s">
        <v>14</v>
      </c>
      <c r="E37" s="10" t="s">
        <v>104</v>
      </c>
      <c r="F37" s="10" t="s">
        <v>2824</v>
      </c>
      <c r="G37" s="10"/>
      <c r="H37" s="10" t="s">
        <v>100</v>
      </c>
      <c r="I37" s="10" t="s">
        <v>2432</v>
      </c>
      <c r="J37" s="7">
        <f>IFERROR(LOOKUP(2,1/('Outreach Log'!$E$2:$E$9998=B37),'Outreach Log'!$B$2:$B$9998),"")</f>
        <v>46093</v>
      </c>
      <c r="K37" s="5">
        <f>COUNTIF('Outreach Log'!$E:$E,B37)</f>
        <v>4</v>
      </c>
    </row>
    <row r="38" spans="1:11">
      <c r="A38" s="9">
        <f>IF(tblCompanies[[#This Row],[Company Name]]&lt;&gt;0,ROW()-1,"")</f>
        <v>37</v>
      </c>
      <c r="B38" s="10" t="s">
        <v>2114</v>
      </c>
      <c r="C38" s="10"/>
      <c r="D38" s="10" t="s">
        <v>14</v>
      </c>
      <c r="E38" s="10" t="s">
        <v>65</v>
      </c>
      <c r="F38" s="10" t="s">
        <v>2824</v>
      </c>
      <c r="G38" s="10" t="s">
        <v>2664</v>
      </c>
      <c r="H38" s="10" t="s">
        <v>37</v>
      </c>
      <c r="I38" s="10" t="s">
        <v>66</v>
      </c>
      <c r="J38" s="7">
        <f>IFERROR(LOOKUP(2,1/('Outreach Log'!$E$2:$E$9998=B38),'Outreach Log'!$B$2:$B$9998),"")</f>
        <v>46126</v>
      </c>
      <c r="K38" s="5">
        <f>COUNTIF('Outreach Log'!$E:$E,B38)</f>
        <v>3</v>
      </c>
    </row>
    <row r="39" spans="1:11">
      <c r="A39" s="9">
        <f>IF(tblCompanies[[#This Row],[Company Name]]&lt;&gt;0,ROW()-1,"")</f>
        <v>38</v>
      </c>
      <c r="B39" s="10" t="s">
        <v>2115</v>
      </c>
      <c r="C39" s="10"/>
      <c r="D39" s="10" t="s">
        <v>14</v>
      </c>
      <c r="E39" s="10" t="s">
        <v>315</v>
      </c>
      <c r="F39" s="10" t="s">
        <v>2824</v>
      </c>
      <c r="G39" s="10"/>
      <c r="H39" s="10" t="s">
        <v>176</v>
      </c>
      <c r="I39" s="10" t="s">
        <v>2434</v>
      </c>
      <c r="J39" s="7">
        <f>IFERROR(LOOKUP(2,1/('Outreach Log'!$E$2:$E$9998=B39),'Outreach Log'!$B$2:$B$9998),"")</f>
        <v>46093</v>
      </c>
      <c r="K39" s="5">
        <f>COUNTIF('Outreach Log'!$E:$E,B39)</f>
        <v>3</v>
      </c>
    </row>
    <row r="40" spans="1:11">
      <c r="A40" s="9">
        <f>IF(tblCompanies[[#This Row],[Company Name]]&lt;&gt;0,ROW()-1,"")</f>
        <v>39</v>
      </c>
      <c r="B40" s="10" t="s">
        <v>2116</v>
      </c>
      <c r="C40" s="10"/>
      <c r="D40" s="10" t="s">
        <v>14</v>
      </c>
      <c r="E40" s="10" t="s">
        <v>316</v>
      </c>
      <c r="F40" s="10" t="s">
        <v>2824</v>
      </c>
      <c r="G40" s="10" t="s">
        <v>46</v>
      </c>
      <c r="H40" s="10" t="s">
        <v>52</v>
      </c>
      <c r="I40" s="10" t="s">
        <v>2116</v>
      </c>
      <c r="J40" s="7">
        <f>IFERROR(LOOKUP(2,1/('Outreach Log'!$E$2:$E$9998=B40),'Outreach Log'!$B$2:$B$9998),"")</f>
        <v>46093</v>
      </c>
      <c r="K40" s="5">
        <f>COUNTIF('Outreach Log'!$E:$E,B40)</f>
        <v>4</v>
      </c>
    </row>
    <row r="41" spans="1:11">
      <c r="A41" s="9">
        <f>IF(tblCompanies[[#This Row],[Company Name]]&lt;&gt;0,ROW()-1,"")</f>
        <v>40</v>
      </c>
      <c r="B41" s="10" t="s">
        <v>508</v>
      </c>
      <c r="C41" s="10" t="s">
        <v>2</v>
      </c>
      <c r="D41" s="10" t="s">
        <v>2171</v>
      </c>
      <c r="E41" s="10" t="s">
        <v>509</v>
      </c>
      <c r="F41" s="10" t="s">
        <v>2824</v>
      </c>
      <c r="G41" s="10" t="s">
        <v>46</v>
      </c>
      <c r="H41" s="10" t="s">
        <v>52</v>
      </c>
      <c r="I41" s="10" t="s">
        <v>2523</v>
      </c>
      <c r="J41" s="7">
        <f>IFERROR(LOOKUP(2,1/('Outreach Log'!$E$2:$E$9998=B41),'Outreach Log'!$B$2:$B$9998),"")</f>
        <v>46093</v>
      </c>
      <c r="K41" s="5">
        <f>COUNTIF('Outreach Log'!$E:$E,B41)</f>
        <v>1</v>
      </c>
    </row>
    <row r="42" spans="1:11">
      <c r="A42" s="9">
        <f>IF(tblCompanies[[#This Row],[Company Name]]&lt;&gt;0,ROW()-1,"")</f>
        <v>41</v>
      </c>
      <c r="B42" s="10" t="s">
        <v>2117</v>
      </c>
      <c r="C42" s="10"/>
      <c r="D42" s="10" t="s">
        <v>14</v>
      </c>
      <c r="E42" s="10" t="s">
        <v>319</v>
      </c>
      <c r="F42" s="10" t="s">
        <v>2824</v>
      </c>
      <c r="G42" s="10" t="s">
        <v>2664</v>
      </c>
      <c r="H42" s="10" t="s">
        <v>88</v>
      </c>
      <c r="I42" s="10" t="s">
        <v>2675</v>
      </c>
      <c r="J42" s="7">
        <f>IFERROR(LOOKUP(2,1/('Outreach Log'!$E$2:$E$9998=B42),'Outreach Log'!$B$2:$B$9998),"")</f>
        <v>46126</v>
      </c>
      <c r="K42" s="5">
        <f>COUNTIF('Outreach Log'!$E:$E,B42)</f>
        <v>2</v>
      </c>
    </row>
    <row r="43" spans="1:11">
      <c r="A43" s="9">
        <f>IF(tblCompanies[[#This Row],[Company Name]]&lt;&gt;0,ROW()-1,"")</f>
        <v>42</v>
      </c>
      <c r="B43" s="10" t="s">
        <v>2204</v>
      </c>
      <c r="C43" s="10"/>
      <c r="D43" s="10" t="s">
        <v>14</v>
      </c>
      <c r="E43" s="10" t="s">
        <v>118</v>
      </c>
      <c r="F43" s="10" t="s">
        <v>2824</v>
      </c>
      <c r="G43" s="10" t="s">
        <v>2696</v>
      </c>
      <c r="H43" s="10" t="s">
        <v>100</v>
      </c>
      <c r="I43" s="10" t="s">
        <v>2437</v>
      </c>
      <c r="J43" s="7">
        <f>IFERROR(LOOKUP(2,1/('Outreach Log'!$E$2:$E$9998=B43),'Outreach Log'!$B$2:$B$9998),"")</f>
        <v>46126</v>
      </c>
      <c r="K43" s="5">
        <f>COUNTIF('Outreach Log'!$E:$E,B43)</f>
        <v>5</v>
      </c>
    </row>
    <row r="44" spans="1:11">
      <c r="A44" s="9">
        <f>IF(tblCompanies[[#This Row],[Company Name]]&lt;&gt;0,ROW()-1,"")</f>
        <v>43</v>
      </c>
      <c r="B44" s="10" t="s">
        <v>2119</v>
      </c>
      <c r="C44" s="10"/>
      <c r="D44" s="10" t="s">
        <v>14</v>
      </c>
      <c r="E44" s="10" t="s">
        <v>159</v>
      </c>
      <c r="F44" s="10" t="s">
        <v>2824</v>
      </c>
      <c r="G44" s="10"/>
      <c r="H44" s="10" t="s">
        <v>143</v>
      </c>
      <c r="I44" s="10" t="s">
        <v>2438</v>
      </c>
      <c r="J44" s="7">
        <f>IFERROR(LOOKUP(2,1/('Outreach Log'!$E$2:$E$9998=B44),'Outreach Log'!$B$2:$B$9998),"")</f>
        <v>46093</v>
      </c>
      <c r="K44" s="5">
        <f>COUNTIF('Outreach Log'!$E:$E,B44)</f>
        <v>2</v>
      </c>
    </row>
    <row r="45" spans="1:11">
      <c r="A45" s="9">
        <f>IF(tblCompanies[[#This Row],[Company Name]]&lt;&gt;0,ROW()-1,"")</f>
        <v>44</v>
      </c>
      <c r="B45" s="10" t="s">
        <v>2120</v>
      </c>
      <c r="C45" s="10"/>
      <c r="D45" s="10" t="s">
        <v>14</v>
      </c>
      <c r="E45" s="10" t="s">
        <v>322</v>
      </c>
      <c r="F45" s="10" t="s">
        <v>2824</v>
      </c>
      <c r="G45" s="10" t="s">
        <v>2563</v>
      </c>
      <c r="H45" s="10" t="s">
        <v>52</v>
      </c>
      <c r="I45" s="10" t="s">
        <v>2566</v>
      </c>
      <c r="J45" s="7">
        <f>IFERROR(LOOKUP(2,1/('Outreach Log'!$E$2:$E$9998=B45),'Outreach Log'!$B$2:$B$9998),"")</f>
        <v>46093</v>
      </c>
      <c r="K45" s="5">
        <f>COUNTIF('Outreach Log'!$E:$E,B45)</f>
        <v>3</v>
      </c>
    </row>
    <row r="46" spans="1:11">
      <c r="A46" s="9">
        <f>IF(tblCompanies[[#This Row],[Company Name]]&lt;&gt;0,ROW()-1,"")</f>
        <v>45</v>
      </c>
      <c r="B46" s="10" t="s">
        <v>2121</v>
      </c>
      <c r="C46" s="10"/>
      <c r="D46" s="10" t="s">
        <v>14</v>
      </c>
      <c r="E46" s="10" t="s">
        <v>353</v>
      </c>
      <c r="F46" s="10" t="s">
        <v>2824</v>
      </c>
      <c r="G46" s="10" t="s">
        <v>354</v>
      </c>
      <c r="H46" s="10" t="s">
        <v>344</v>
      </c>
      <c r="I46" s="10" t="s">
        <v>205</v>
      </c>
      <c r="J46" s="7">
        <f>IFERROR(LOOKUP(2,1/('Outreach Log'!$E$2:$E$9998=B46),'Outreach Log'!$B$2:$B$9998),"")</f>
        <v>46093</v>
      </c>
      <c r="K46" s="5">
        <f>COUNTIF('Outreach Log'!$E:$E,B46)</f>
        <v>3</v>
      </c>
    </row>
    <row r="47" spans="1:11">
      <c r="A47" s="9">
        <f>IF(tblCompanies[[#This Row],[Company Name]]&lt;&gt;0,ROW()-1,"")</f>
        <v>46</v>
      </c>
      <c r="B47" s="10" t="s">
        <v>2122</v>
      </c>
      <c r="C47" s="10"/>
      <c r="D47" s="10" t="s">
        <v>14</v>
      </c>
      <c r="E47" s="10" t="s">
        <v>164</v>
      </c>
      <c r="F47" s="10" t="s">
        <v>2824</v>
      </c>
      <c r="G47" s="10"/>
      <c r="H47" s="10" t="s">
        <v>52</v>
      </c>
      <c r="I47" s="10" t="s">
        <v>2474</v>
      </c>
      <c r="J47" s="7">
        <f>IFERROR(LOOKUP(2,1/('Outreach Log'!$E$2:$E$9998=B47),'Outreach Log'!$B$2:$B$9998),"")</f>
        <v>46093</v>
      </c>
      <c r="K47" s="5">
        <f>COUNTIF('Outreach Log'!$E:$E,B47)</f>
        <v>1</v>
      </c>
    </row>
    <row r="48" spans="1:11">
      <c r="A48" s="9">
        <f>IF(tblCompanies[[#This Row],[Company Name]]&lt;&gt;0,ROW()-1,"")</f>
        <v>47</v>
      </c>
      <c r="B48" s="10" t="s">
        <v>2123</v>
      </c>
      <c r="C48" s="10"/>
      <c r="D48" s="10" t="s">
        <v>14</v>
      </c>
      <c r="E48" s="10" t="s">
        <v>323</v>
      </c>
      <c r="F48" s="10" t="s">
        <v>2824</v>
      </c>
      <c r="G48" s="10" t="s">
        <v>138</v>
      </c>
      <c r="H48" s="10" t="s">
        <v>52</v>
      </c>
      <c r="I48" s="10" t="s">
        <v>2737</v>
      </c>
      <c r="J48" s="7">
        <f>IFERROR(LOOKUP(2,1/('Outreach Log'!$E$2:$E$9998=B48),'Outreach Log'!$B$2:$B$9998),"")</f>
        <v>46093</v>
      </c>
      <c r="K48" s="5">
        <f>COUNTIF('Outreach Log'!$E:$E,B48)</f>
        <v>1</v>
      </c>
    </row>
    <row r="49" spans="1:11">
      <c r="A49" s="9">
        <f>IF(tblCompanies[[#This Row],[Company Name]]&lt;&gt;0,ROW()-1,"")</f>
        <v>48</v>
      </c>
      <c r="B49" s="10" t="s">
        <v>2124</v>
      </c>
      <c r="C49" s="10"/>
      <c r="D49" s="10" t="s">
        <v>14</v>
      </c>
      <c r="E49" s="10" t="s">
        <v>99</v>
      </c>
      <c r="F49" s="10" t="s">
        <v>2824</v>
      </c>
      <c r="G49" s="10"/>
      <c r="H49" s="10" t="s">
        <v>100</v>
      </c>
      <c r="I49" s="10" t="s">
        <v>101</v>
      </c>
      <c r="J49" s="7">
        <f>IFERROR(LOOKUP(2,1/('Outreach Log'!$E$2:$E$9998=B49),'Outreach Log'!$B$2:$B$9998),"")</f>
        <v>46093</v>
      </c>
      <c r="K49" s="5">
        <f>COUNTIF('Outreach Log'!$E:$E,B49)</f>
        <v>2</v>
      </c>
    </row>
    <row r="50" spans="1:11">
      <c r="A50" s="9">
        <f>IF(tblCompanies[[#This Row],[Company Name]]&lt;&gt;0,ROW()-1,"")</f>
        <v>49</v>
      </c>
      <c r="B50" s="10" t="s">
        <v>2125</v>
      </c>
      <c r="C50" s="10"/>
      <c r="D50" s="10" t="s">
        <v>14</v>
      </c>
      <c r="E50" s="10" t="s">
        <v>408</v>
      </c>
      <c r="F50" s="10" t="s">
        <v>2824</v>
      </c>
      <c r="G50" s="10"/>
      <c r="H50" s="10" t="s">
        <v>37</v>
      </c>
      <c r="I50" s="10" t="s">
        <v>2493</v>
      </c>
      <c r="J50" s="7">
        <f>IFERROR(LOOKUP(2,1/('Outreach Log'!$E$2:$E$9998=B50),'Outreach Log'!$B$2:$B$9998),"")</f>
        <v>46093</v>
      </c>
      <c r="K50" s="5">
        <f>COUNTIF('Outreach Log'!$E:$E,B50)</f>
        <v>1</v>
      </c>
    </row>
    <row r="51" spans="1:11">
      <c r="A51" s="9">
        <f>IF(tblCompanies[[#This Row],[Company Name]]&lt;&gt;0,ROW()-1,"")</f>
        <v>50</v>
      </c>
      <c r="B51" s="10" t="s">
        <v>2126</v>
      </c>
      <c r="C51" s="10"/>
      <c r="D51" s="10" t="s">
        <v>14</v>
      </c>
      <c r="E51" s="10" t="s">
        <v>87</v>
      </c>
      <c r="F51" s="10" t="s">
        <v>2824</v>
      </c>
      <c r="G51" s="10"/>
      <c r="H51" s="10" t="s">
        <v>88</v>
      </c>
      <c r="I51" s="10" t="s">
        <v>2440</v>
      </c>
      <c r="J51" s="7">
        <f>IFERROR(LOOKUP(2,1/('Outreach Log'!$E$2:$E$9998=B51),'Outreach Log'!$B$2:$B$9998),"")</f>
        <v>46093</v>
      </c>
      <c r="K51" s="5">
        <f>COUNTIF('Outreach Log'!$E:$E,B51)</f>
        <v>3</v>
      </c>
    </row>
    <row r="52" spans="1:11">
      <c r="A52" s="9">
        <f>IF(tblCompanies[[#This Row],[Company Name]]&lt;&gt;0,ROW()-1,"")</f>
        <v>51</v>
      </c>
      <c r="B52" s="10" t="s">
        <v>360</v>
      </c>
      <c r="C52" s="10"/>
      <c r="D52" s="10" t="s">
        <v>14</v>
      </c>
      <c r="E52" s="10" t="s">
        <v>361</v>
      </c>
      <c r="F52" s="10" t="s">
        <v>2824</v>
      </c>
      <c r="G52" s="10"/>
      <c r="H52" s="10" t="s">
        <v>52</v>
      </c>
      <c r="I52" s="10" t="s">
        <v>2441</v>
      </c>
      <c r="J52" s="7">
        <f>IFERROR(LOOKUP(2,1/('Outreach Log'!$E$2:$E$9998=B52),'Outreach Log'!$B$2:$B$9998),"")</f>
        <v>46093</v>
      </c>
      <c r="K52" s="5">
        <f>COUNTIF('Outreach Log'!$E:$E,B52)</f>
        <v>2</v>
      </c>
    </row>
    <row r="53" spans="1:11">
      <c r="A53" s="9">
        <f>IF(tblCompanies[[#This Row],[Company Name]]&lt;&gt;0,ROW()-1,"")</f>
        <v>52</v>
      </c>
      <c r="B53" s="10" t="s">
        <v>2127</v>
      </c>
      <c r="C53" s="10"/>
      <c r="D53" s="10" t="s">
        <v>14</v>
      </c>
      <c r="E53" s="10" t="s">
        <v>359</v>
      </c>
      <c r="F53" s="10" t="s">
        <v>2824</v>
      </c>
      <c r="G53" s="10"/>
      <c r="H53" s="10" t="s">
        <v>143</v>
      </c>
      <c r="I53" s="10" t="s">
        <v>2442</v>
      </c>
      <c r="J53" s="7">
        <f>IFERROR(LOOKUP(2,1/('Outreach Log'!$E$2:$E$9998=B53),'Outreach Log'!$B$2:$B$9998),"")</f>
        <v>46093</v>
      </c>
      <c r="K53" s="5">
        <f>COUNTIF('Outreach Log'!$E:$E,B53)</f>
        <v>3</v>
      </c>
    </row>
    <row r="54" spans="1:11">
      <c r="A54" s="9">
        <f>IF(tblCompanies[[#This Row],[Company Name]]&lt;&gt;0,ROW()-1,"")</f>
        <v>53</v>
      </c>
      <c r="B54" s="10" t="s">
        <v>141</v>
      </c>
      <c r="C54" s="10"/>
      <c r="D54" s="10" t="s">
        <v>14</v>
      </c>
      <c r="E54" s="10" t="s">
        <v>142</v>
      </c>
      <c r="F54" s="10" t="s">
        <v>2824</v>
      </c>
      <c r="G54" s="10"/>
      <c r="H54" s="10" t="s">
        <v>143</v>
      </c>
      <c r="I54" s="10" t="s">
        <v>2472</v>
      </c>
      <c r="J54" s="7">
        <f>IFERROR(LOOKUP(2,1/('Outreach Log'!$E$2:$E$9998=B54),'Outreach Log'!$B$2:$B$9998),"")</f>
        <v>46093</v>
      </c>
      <c r="K54" s="5">
        <f>COUNTIF('Outreach Log'!$E:$E,B54)</f>
        <v>1</v>
      </c>
    </row>
    <row r="55" spans="1:11">
      <c r="A55" s="9">
        <f>IF(tblCompanies[[#This Row],[Company Name]]&lt;&gt;0,ROW()-1,"")</f>
        <v>54</v>
      </c>
      <c r="B55" s="10" t="s">
        <v>2128</v>
      </c>
      <c r="C55" s="10"/>
      <c r="D55" s="10" t="s">
        <v>14</v>
      </c>
      <c r="E55" s="10" t="s">
        <v>196</v>
      </c>
      <c r="F55" s="10" t="s">
        <v>2824</v>
      </c>
      <c r="G55" s="10" t="s">
        <v>2797</v>
      </c>
      <c r="H55" s="10" t="s">
        <v>143</v>
      </c>
      <c r="I55" s="10" t="s">
        <v>197</v>
      </c>
      <c r="J55" s="7">
        <f>IFERROR(LOOKUP(2,1/('Outreach Log'!$E$2:$E$9998=B55),'Outreach Log'!$B$2:$B$9998),"")</f>
        <v>46093</v>
      </c>
      <c r="K55" s="5">
        <f>COUNTIF('Outreach Log'!$E:$E,B55)</f>
        <v>1</v>
      </c>
    </row>
    <row r="56" spans="1:11">
      <c r="A56" s="9">
        <f>IF(tblCompanies[[#This Row],[Company Name]]&lt;&gt;0,ROW()-1,"")</f>
        <v>55</v>
      </c>
      <c r="B56" s="10" t="s">
        <v>308</v>
      </c>
      <c r="C56" s="10"/>
      <c r="D56" s="10" t="s">
        <v>14</v>
      </c>
      <c r="E56" s="10" t="s">
        <v>309</v>
      </c>
      <c r="F56" s="10" t="s">
        <v>2824</v>
      </c>
      <c r="G56" s="10"/>
      <c r="H56" s="10" t="s">
        <v>52</v>
      </c>
      <c r="I56" s="10" t="s">
        <v>2444</v>
      </c>
      <c r="J56" s="7">
        <f>IFERROR(LOOKUP(2,1/('Outreach Log'!$E$2:$E$9998=B56),'Outreach Log'!$B$2:$B$9998),"")</f>
        <v>46093</v>
      </c>
      <c r="K56" s="5">
        <f>COUNTIF('Outreach Log'!$E:$E,B56)</f>
        <v>2</v>
      </c>
    </row>
    <row r="57" spans="1:11">
      <c r="A57" s="9">
        <f>IF(tblCompanies[[#This Row],[Company Name]]&lt;&gt;0,ROW()-1,"")</f>
        <v>56</v>
      </c>
      <c r="B57" s="10" t="s">
        <v>2129</v>
      </c>
      <c r="C57" s="10"/>
      <c r="D57" s="10" t="s">
        <v>14</v>
      </c>
      <c r="E57" s="10" t="s">
        <v>446</v>
      </c>
      <c r="F57" s="10" t="s">
        <v>2824</v>
      </c>
      <c r="G57" s="10"/>
      <c r="H57" s="10" t="s">
        <v>52</v>
      </c>
      <c r="I57" s="10" t="s">
        <v>2445</v>
      </c>
      <c r="J57" s="7">
        <f>IFERROR(LOOKUP(2,1/('Outreach Log'!$E$2:$E$9998=B57),'Outreach Log'!$B$2:$B$9998),"")</f>
        <v>46093</v>
      </c>
      <c r="K57" s="5">
        <f>COUNTIF('Outreach Log'!$E:$E,B57)</f>
        <v>2</v>
      </c>
    </row>
    <row r="58" spans="1:11">
      <c r="A58" s="9">
        <f>IF(tblCompanies[[#This Row],[Company Name]]&lt;&gt;0,ROW()-1,"")</f>
        <v>57</v>
      </c>
      <c r="B58" s="10" t="s">
        <v>2130</v>
      </c>
      <c r="C58" s="10"/>
      <c r="D58" s="10" t="s">
        <v>14</v>
      </c>
      <c r="E58" s="10" t="s">
        <v>153</v>
      </c>
      <c r="F58" s="10" t="s">
        <v>2824</v>
      </c>
      <c r="G58" s="10"/>
      <c r="H58" s="10" t="s">
        <v>79</v>
      </c>
      <c r="I58" s="10" t="s">
        <v>2446</v>
      </c>
      <c r="J58" s="7">
        <f>IFERROR(LOOKUP(2,1/('Outreach Log'!$E$2:$E$9998=B58),'Outreach Log'!$B$2:$B$9998),"")</f>
        <v>46093</v>
      </c>
      <c r="K58" s="5">
        <f>COUNTIF('Outreach Log'!$E:$E,B58)</f>
        <v>3</v>
      </c>
    </row>
    <row r="59" spans="1:11">
      <c r="A59" s="9">
        <f>IF(tblCompanies[[#This Row],[Company Name]]&lt;&gt;0,ROW()-1,"")</f>
        <v>58</v>
      </c>
      <c r="B59" s="10" t="s">
        <v>2131</v>
      </c>
      <c r="C59" s="10"/>
      <c r="D59" s="10" t="s">
        <v>14</v>
      </c>
      <c r="E59" s="10" t="s">
        <v>598</v>
      </c>
      <c r="F59" s="10" t="s">
        <v>2824</v>
      </c>
      <c r="G59" s="10"/>
      <c r="H59" s="10" t="s">
        <v>100</v>
      </c>
      <c r="I59" s="10" t="s">
        <v>2447</v>
      </c>
      <c r="J59" s="7" t="str">
        <f>IFERROR(LOOKUP(2,1/('Outreach Log'!$E$2:$E$9998=B59),'Outreach Log'!$B$2:$B$9998),"")</f>
        <v/>
      </c>
      <c r="K59" s="5">
        <f>COUNTIF('Outreach Log'!$E:$E,B59)</f>
        <v>0</v>
      </c>
    </row>
    <row r="60" spans="1:11">
      <c r="A60" s="9">
        <f>IF(tblCompanies[[#This Row],[Company Name]]&lt;&gt;0,ROW()-1,"")</f>
        <v>59</v>
      </c>
      <c r="B60" s="10" t="s">
        <v>2132</v>
      </c>
      <c r="C60" s="10"/>
      <c r="D60" s="10" t="s">
        <v>14</v>
      </c>
      <c r="E60" s="10" t="s">
        <v>562</v>
      </c>
      <c r="F60" s="10" t="s">
        <v>2824</v>
      </c>
      <c r="G60" s="10"/>
      <c r="H60" s="10" t="s">
        <v>100</v>
      </c>
      <c r="I60" s="10" t="s">
        <v>2501</v>
      </c>
      <c r="J60" s="7">
        <f>IFERROR(LOOKUP(2,1/('Outreach Log'!$E$2:$E$9998=B60),'Outreach Log'!$B$2:$B$9998),"")</f>
        <v>46093</v>
      </c>
      <c r="K60" s="5">
        <f>COUNTIF('Outreach Log'!$E:$E,B60)</f>
        <v>1</v>
      </c>
    </row>
    <row r="61" spans="1:11">
      <c r="A61" s="9">
        <f>IF(tblCompanies[[#This Row],[Company Name]]&lt;&gt;0,ROW()-1,"")</f>
        <v>60</v>
      </c>
      <c r="B61" s="10" t="s">
        <v>2133</v>
      </c>
      <c r="C61" s="10"/>
      <c r="D61" s="10" t="s">
        <v>14</v>
      </c>
      <c r="E61" s="10" t="s">
        <v>568</v>
      </c>
      <c r="F61" s="10" t="s">
        <v>2824</v>
      </c>
      <c r="G61" s="10"/>
      <c r="H61" s="10" t="s">
        <v>52</v>
      </c>
      <c r="I61" s="10" t="s">
        <v>2448</v>
      </c>
      <c r="J61" s="7">
        <f>IFERROR(LOOKUP(2,1/('Outreach Log'!$E$2:$E$9998=B61),'Outreach Log'!$B$2:$B$9998),"")</f>
        <v>46093</v>
      </c>
      <c r="K61" s="5">
        <f>COUNTIF('Outreach Log'!$E:$E,B61)</f>
        <v>1</v>
      </c>
    </row>
    <row r="62" spans="1:11">
      <c r="A62" s="9">
        <f>IF(tblCompanies[[#This Row],[Company Name]]&lt;&gt;0,ROW()-1,"")</f>
        <v>61</v>
      </c>
      <c r="B62" s="10" t="s">
        <v>2135</v>
      </c>
      <c r="C62" s="10" t="s">
        <v>4</v>
      </c>
      <c r="D62" s="10" t="s">
        <v>2171</v>
      </c>
      <c r="E62" s="10" t="s">
        <v>427</v>
      </c>
      <c r="F62" s="10" t="s">
        <v>2824</v>
      </c>
      <c r="G62" s="10" t="s">
        <v>2696</v>
      </c>
      <c r="H62" s="10" t="s">
        <v>100</v>
      </c>
      <c r="I62" s="10" t="s">
        <v>428</v>
      </c>
      <c r="J62" s="7">
        <f>IFERROR(LOOKUP(2,1/('Outreach Log'!$E$2:$E$9998=B62),'Outreach Log'!$B$2:$B$9998),"")</f>
        <v>46126</v>
      </c>
      <c r="K62" s="5">
        <f>COUNTIF('Outreach Log'!$E:$E,B62)</f>
        <v>3</v>
      </c>
    </row>
    <row r="63" spans="1:11">
      <c r="A63" s="9">
        <f>IF(tblCompanies[[#This Row],[Company Name]]&lt;&gt;0,ROW()-1,"")</f>
        <v>62</v>
      </c>
      <c r="B63" s="10" t="s">
        <v>2136</v>
      </c>
      <c r="C63" s="10" t="s">
        <v>4</v>
      </c>
      <c r="D63" s="10" t="s">
        <v>2171</v>
      </c>
      <c r="E63" s="10" t="s">
        <v>139</v>
      </c>
      <c r="F63" s="10" t="s">
        <v>2824</v>
      </c>
      <c r="G63" s="10" t="s">
        <v>2696</v>
      </c>
      <c r="H63" s="10" t="s">
        <v>52</v>
      </c>
      <c r="I63" s="10" t="s">
        <v>2699</v>
      </c>
      <c r="J63" s="7">
        <f>IFERROR(LOOKUP(2,1/('Outreach Log'!$E$2:$E$9998=B63),'Outreach Log'!$B$2:$B$9998),"")</f>
        <v>46093</v>
      </c>
      <c r="K63" s="5">
        <f>COUNTIF('Outreach Log'!$E:$E,B63)</f>
        <v>3</v>
      </c>
    </row>
    <row r="64" spans="1:11">
      <c r="A64" s="9">
        <f>IF(tblCompanies[[#This Row],[Company Name]]&lt;&gt;0,ROW()-1,"")</f>
        <v>63</v>
      </c>
      <c r="B64" s="10" t="s">
        <v>2137</v>
      </c>
      <c r="C64" s="10"/>
      <c r="D64" s="10" t="s">
        <v>14</v>
      </c>
      <c r="E64" s="10" t="s">
        <v>333</v>
      </c>
      <c r="F64" s="10" t="s">
        <v>2824</v>
      </c>
      <c r="G64" s="10" t="s">
        <v>334</v>
      </c>
      <c r="H64" s="10" t="s">
        <v>335</v>
      </c>
      <c r="I64" s="10" t="s">
        <v>2733</v>
      </c>
      <c r="J64" s="7">
        <f>IFERROR(LOOKUP(2,1/('Outreach Log'!$E$2:$E$9998=B64),'Outreach Log'!$B$2:$B$9998),"")</f>
        <v>46126</v>
      </c>
      <c r="K64" s="5">
        <f>COUNTIF('Outreach Log'!$E:$E,B64)</f>
        <v>4</v>
      </c>
    </row>
    <row r="65" spans="1:11">
      <c r="A65" s="9">
        <f>IF(tblCompanies[[#This Row],[Company Name]]&lt;&gt;0,ROW()-1,"")</f>
        <v>64</v>
      </c>
      <c r="B65" s="10" t="s">
        <v>2138</v>
      </c>
      <c r="C65" s="10"/>
      <c r="D65" s="10" t="s">
        <v>14</v>
      </c>
      <c r="E65" s="10" t="s">
        <v>115</v>
      </c>
      <c r="F65" s="10" t="s">
        <v>2824</v>
      </c>
      <c r="G65" s="10" t="s">
        <v>2563</v>
      </c>
      <c r="H65" s="10" t="s">
        <v>37</v>
      </c>
      <c r="I65" s="10" t="s">
        <v>2564</v>
      </c>
      <c r="J65" s="7">
        <f>IFERROR(LOOKUP(2,1/('Outreach Log'!$E$2:$E$9998=B65),'Outreach Log'!$B$2:$B$9998),"")</f>
        <v>46126</v>
      </c>
      <c r="K65" s="5">
        <f>COUNTIF('Outreach Log'!$E:$E,B65)</f>
        <v>4</v>
      </c>
    </row>
    <row r="66" spans="1:11">
      <c r="A66" s="9">
        <f>IF(tblCompanies[[#This Row],[Company Name]]&lt;&gt;0,ROW()-1,"")</f>
        <v>65</v>
      </c>
      <c r="B66" s="10" t="s">
        <v>620</v>
      </c>
      <c r="C66" s="10"/>
      <c r="D66" s="10" t="s">
        <v>14</v>
      </c>
      <c r="E66" s="10" t="s">
        <v>621</v>
      </c>
      <c r="F66" s="10" t="s">
        <v>2824</v>
      </c>
      <c r="G66" s="10"/>
      <c r="H66" s="10" t="s">
        <v>52</v>
      </c>
      <c r="I66" s="10" t="s">
        <v>2449</v>
      </c>
      <c r="J66" s="7">
        <f>IFERROR(LOOKUP(2,1/('Outreach Log'!$E$2:$E$9998=B66),'Outreach Log'!$B$2:$B$9998),"")</f>
        <v>46093</v>
      </c>
      <c r="K66" s="5">
        <f>COUNTIF('Outreach Log'!$E:$E,B66)</f>
        <v>2</v>
      </c>
    </row>
    <row r="67" spans="1:11">
      <c r="A67" s="9">
        <f>IF(tblCompanies[[#This Row],[Company Name]]&lt;&gt;0,ROW()-1,"")</f>
        <v>66</v>
      </c>
      <c r="B67" s="10" t="s">
        <v>2139</v>
      </c>
      <c r="C67" s="10" t="s">
        <v>4</v>
      </c>
      <c r="D67" s="10" t="s">
        <v>2171</v>
      </c>
      <c r="E67" s="10" t="s">
        <v>51</v>
      </c>
      <c r="F67" s="10" t="s">
        <v>2824</v>
      </c>
      <c r="G67" s="10" t="s">
        <v>2563</v>
      </c>
      <c r="H67" s="10" t="s">
        <v>52</v>
      </c>
      <c r="I67" s="10" t="s">
        <v>53</v>
      </c>
      <c r="J67" s="7">
        <f>IFERROR(LOOKUP(2,1/('Outreach Log'!$E$2:$E$9998=B67),'Outreach Log'!$B$2:$B$9998),"")</f>
        <v>46126</v>
      </c>
      <c r="K67" s="5">
        <f>COUNTIF('Outreach Log'!$E:$E,B67)</f>
        <v>4</v>
      </c>
    </row>
    <row r="68" spans="1:11">
      <c r="A68" s="9">
        <f>IF(tblCompanies[[#This Row],[Company Name]]&lt;&gt;0,ROW()-1,"")</f>
        <v>67</v>
      </c>
      <c r="B68" s="10" t="s">
        <v>2140</v>
      </c>
      <c r="C68" s="10"/>
      <c r="D68" s="10" t="s">
        <v>14</v>
      </c>
      <c r="E68" s="10" t="s">
        <v>324</v>
      </c>
      <c r="F68" s="10" t="s">
        <v>2824</v>
      </c>
      <c r="G68" s="10" t="s">
        <v>2563</v>
      </c>
      <c r="H68" s="10" t="s">
        <v>325</v>
      </c>
      <c r="I68" s="10" t="s">
        <v>2567</v>
      </c>
      <c r="J68" s="7">
        <f>IFERROR(LOOKUP(2,1/('Outreach Log'!$E$2:$E$9998=B68),'Outreach Log'!$B$2:$B$9998),"")</f>
        <v>46126</v>
      </c>
      <c r="K68" s="5">
        <f>COUNTIF('Outreach Log'!$E:$E,B68)</f>
        <v>2</v>
      </c>
    </row>
    <row r="69" spans="1:11">
      <c r="A69" s="9">
        <f>IF(tblCompanies[[#This Row],[Company Name]]&lt;&gt;0,ROW()-1,"")</f>
        <v>68</v>
      </c>
      <c r="B69" s="10" t="s">
        <v>2141</v>
      </c>
      <c r="C69" s="10"/>
      <c r="D69" s="10" t="s">
        <v>14</v>
      </c>
      <c r="E69" s="10" t="s">
        <v>268</v>
      </c>
      <c r="F69" s="10" t="s">
        <v>2824</v>
      </c>
      <c r="G69" s="10"/>
      <c r="H69" s="10" t="s">
        <v>83</v>
      </c>
      <c r="I69" s="10" t="s">
        <v>2450</v>
      </c>
      <c r="J69" s="7">
        <f>IFERROR(LOOKUP(2,1/('Outreach Log'!$E$2:$E$9998=B69),'Outreach Log'!$B$2:$B$9998),"")</f>
        <v>46093</v>
      </c>
      <c r="K69" s="5">
        <f>COUNTIF('Outreach Log'!$E:$E,B69)</f>
        <v>3</v>
      </c>
    </row>
    <row r="70" spans="1:11">
      <c r="A70" s="9">
        <f>IF(tblCompanies[[#This Row],[Company Name]]&lt;&gt;0,ROW()-1,"")</f>
        <v>69</v>
      </c>
      <c r="B70" s="10" t="s">
        <v>2142</v>
      </c>
      <c r="C70" s="10" t="s">
        <v>6</v>
      </c>
      <c r="D70" s="10" t="s">
        <v>2171</v>
      </c>
      <c r="E70" s="10" t="s">
        <v>76</v>
      </c>
      <c r="F70" s="10" t="s">
        <v>2824</v>
      </c>
      <c r="G70" s="10" t="s">
        <v>2547</v>
      </c>
      <c r="H70" s="10" t="s">
        <v>77</v>
      </c>
      <c r="I70" s="10" t="s">
        <v>2548</v>
      </c>
      <c r="J70" s="7">
        <f>IFERROR(LOOKUP(2,1/('Outreach Log'!$E$2:$E$9998=B70),'Outreach Log'!$B$2:$B$9998),"")</f>
        <v>46093</v>
      </c>
      <c r="K70" s="5">
        <f>COUNTIF('Outreach Log'!$E:$E,B70)</f>
        <v>2</v>
      </c>
    </row>
    <row r="71" spans="1:11">
      <c r="A71" s="9">
        <f>IF(tblCompanies[[#This Row],[Company Name]]&lt;&gt;0,ROW()-1,"")</f>
        <v>70</v>
      </c>
      <c r="B71" s="10" t="s">
        <v>2143</v>
      </c>
      <c r="C71" s="10"/>
      <c r="D71" s="10" t="s">
        <v>14</v>
      </c>
      <c r="E71" s="10" t="s">
        <v>70</v>
      </c>
      <c r="F71" s="10" t="s">
        <v>2824</v>
      </c>
      <c r="G71" s="10"/>
      <c r="H71" s="10" t="s">
        <v>71</v>
      </c>
      <c r="I71" s="10" t="s">
        <v>2452</v>
      </c>
      <c r="J71" s="7">
        <f>IFERROR(LOOKUP(2,1/('Outreach Log'!$E$2:$E$9998=B71),'Outreach Log'!$B$2:$B$9998),"")</f>
        <v>46093</v>
      </c>
      <c r="K71" s="5">
        <f>COUNTIF('Outreach Log'!$E:$E,B71)</f>
        <v>3</v>
      </c>
    </row>
    <row r="72" spans="1:11">
      <c r="A72" s="9">
        <f>IF(tblCompanies[[#This Row],[Company Name]]&lt;&gt;0,ROW()-1,"")</f>
        <v>71</v>
      </c>
      <c r="B72" s="10" t="s">
        <v>2144</v>
      </c>
      <c r="C72" s="10"/>
      <c r="D72" s="10" t="s">
        <v>14</v>
      </c>
      <c r="E72" s="10" t="s">
        <v>420</v>
      </c>
      <c r="F72" s="10" t="s">
        <v>2824</v>
      </c>
      <c r="G72" s="10"/>
      <c r="H72" s="10" t="s">
        <v>77</v>
      </c>
      <c r="I72" s="10" t="s">
        <v>2453</v>
      </c>
      <c r="J72" s="7">
        <f>IFERROR(LOOKUP(2,1/('Outreach Log'!$E$2:$E$9998=B72),'Outreach Log'!$B$2:$B$9998),"")</f>
        <v>46093</v>
      </c>
      <c r="K72" s="5">
        <f>COUNTIF('Outreach Log'!$E:$E,B72)</f>
        <v>3</v>
      </c>
    </row>
    <row r="73" spans="1:11">
      <c r="A73" s="9">
        <f>IF(tblCompanies[[#This Row],[Company Name]]&lt;&gt;0,ROW()-1,"")</f>
        <v>72</v>
      </c>
      <c r="B73" s="10" t="s">
        <v>2145</v>
      </c>
      <c r="C73" s="10"/>
      <c r="D73" s="10" t="s">
        <v>14</v>
      </c>
      <c r="E73" s="10" t="s">
        <v>350</v>
      </c>
      <c r="F73" s="10" t="s">
        <v>2824</v>
      </c>
      <c r="G73" s="10"/>
      <c r="H73" s="10" t="s">
        <v>52</v>
      </c>
      <c r="I73" s="10" t="s">
        <v>2489</v>
      </c>
      <c r="J73" s="7" t="str">
        <f>IFERROR(LOOKUP(2,1/('Outreach Log'!$E$2:$E$9998=B73),'Outreach Log'!$B$2:$B$9998),"")</f>
        <v/>
      </c>
      <c r="K73" s="5">
        <f>COUNTIF('Outreach Log'!$E:$E,B73)</f>
        <v>0</v>
      </c>
    </row>
    <row r="74" spans="1:11">
      <c r="A74" s="9">
        <f>IF(tblCompanies[[#This Row],[Company Name]]&lt;&gt;0,ROW()-1,"")</f>
        <v>73</v>
      </c>
      <c r="B74" s="10" t="s">
        <v>2146</v>
      </c>
      <c r="C74" s="10"/>
      <c r="D74" s="10" t="s">
        <v>14</v>
      </c>
      <c r="E74" s="10" t="s">
        <v>677</v>
      </c>
      <c r="F74" s="10" t="s">
        <v>2824</v>
      </c>
      <c r="G74" s="10"/>
      <c r="H74" s="10" t="s">
        <v>186</v>
      </c>
      <c r="I74" s="10" t="s">
        <v>2455</v>
      </c>
      <c r="J74" s="7">
        <f>IFERROR(LOOKUP(2,1/('Outreach Log'!$E$2:$E$9998=B74),'Outreach Log'!$B$2:$B$9998),"")</f>
        <v>46093</v>
      </c>
      <c r="K74" s="5">
        <f>COUNTIF('Outreach Log'!$E:$E,B74)</f>
        <v>3</v>
      </c>
    </row>
    <row r="75" spans="1:11">
      <c r="A75" s="9">
        <f>IF(tblCompanies[[#This Row],[Company Name]]&lt;&gt;0,ROW()-1,"")</f>
        <v>74</v>
      </c>
      <c r="B75" s="10" t="s">
        <v>2147</v>
      </c>
      <c r="C75" s="10"/>
      <c r="D75" s="10" t="s">
        <v>14</v>
      </c>
      <c r="E75" s="10" t="s">
        <v>513</v>
      </c>
      <c r="F75" s="10" t="s">
        <v>2824</v>
      </c>
      <c r="G75" s="10"/>
      <c r="H75" s="10" t="s">
        <v>52</v>
      </c>
      <c r="I75" s="10" t="s">
        <v>2456</v>
      </c>
      <c r="J75" s="7">
        <f>IFERROR(LOOKUP(2,1/('Outreach Log'!$E$2:$E$9998=B75),'Outreach Log'!$B$2:$B$9998),"")</f>
        <v>46093</v>
      </c>
      <c r="K75" s="5">
        <f>COUNTIF('Outreach Log'!$E:$E,B75)</f>
        <v>2</v>
      </c>
    </row>
    <row r="76" spans="1:11">
      <c r="A76" s="43">
        <f>IF(tblCompanies[[#This Row],[Company Name]]&lt;&gt;0,ROW()-1,"")</f>
        <v>75</v>
      </c>
      <c r="B76" s="3" t="s">
        <v>503</v>
      </c>
      <c r="D76" s="44" t="s">
        <v>3000</v>
      </c>
      <c r="E76" s="45" t="s">
        <v>3136</v>
      </c>
      <c r="F76" s="10" t="s">
        <v>2824</v>
      </c>
      <c r="G76" s="39"/>
      <c r="H76" s="3" t="s">
        <v>88</v>
      </c>
      <c r="I76" s="42" t="s">
        <v>3137</v>
      </c>
      <c r="J76" s="7">
        <f>IFERROR(LOOKUP(2,1/('Outreach Log'!$E$2:$E$9998=B76),'Outreach Log'!$B$2:$B$9998),"")</f>
        <v>46093</v>
      </c>
      <c r="K76" s="5">
        <f>COUNTIF('Outreach Log'!$E:$E,B76)</f>
        <v>2</v>
      </c>
    </row>
    <row r="77" spans="1:11">
      <c r="A77" s="9">
        <f>IF(tblCompanies[[#This Row],[Company Name]]&lt;&gt;0,ROW()-1,"")</f>
        <v>76</v>
      </c>
      <c r="B77" s="10" t="s">
        <v>2148</v>
      </c>
      <c r="C77" s="10"/>
      <c r="D77" s="10" t="s">
        <v>14</v>
      </c>
      <c r="E77" s="10" t="s">
        <v>347</v>
      </c>
      <c r="F77" s="10" t="s">
        <v>2824</v>
      </c>
      <c r="G77" s="10"/>
      <c r="H77" s="10" t="s">
        <v>83</v>
      </c>
      <c r="I77" s="10" t="s">
        <v>2457</v>
      </c>
      <c r="J77" s="7">
        <f>IFERROR(LOOKUP(2,1/('Outreach Log'!$E$2:$E$9998=B77),'Outreach Log'!$B$2:$B$9998),"")</f>
        <v>46093</v>
      </c>
      <c r="K77" s="5">
        <f>COUNTIF('Outreach Log'!$E:$E,B77)</f>
        <v>4</v>
      </c>
    </row>
    <row r="78" spans="1:11">
      <c r="A78" s="9">
        <f>IF(tblCompanies[[#This Row],[Company Name]]&lt;&gt;0,ROW()-1,"")</f>
        <v>77</v>
      </c>
      <c r="B78" s="10" t="s">
        <v>2149</v>
      </c>
      <c r="C78" s="10"/>
      <c r="D78" s="10" t="s">
        <v>14</v>
      </c>
      <c r="E78" s="10" t="s">
        <v>185</v>
      </c>
      <c r="F78" s="10" t="s">
        <v>2824</v>
      </c>
      <c r="G78" s="10"/>
      <c r="H78" s="10" t="s">
        <v>186</v>
      </c>
      <c r="I78" s="10" t="s">
        <v>2458</v>
      </c>
      <c r="J78" s="7">
        <f>IFERROR(LOOKUP(2,1/('Outreach Log'!$E$2:$E$9998=B78),'Outreach Log'!$B$2:$B$9998),"")</f>
        <v>46093</v>
      </c>
      <c r="K78" s="5">
        <f>COUNTIF('Outreach Log'!$E:$E,B78)</f>
        <v>3</v>
      </c>
    </row>
    <row r="79" spans="1:11">
      <c r="A79" s="9">
        <f>IF(tblCompanies[[#This Row],[Company Name]]&lt;&gt;0,ROW()-1,"")</f>
        <v>78</v>
      </c>
      <c r="B79" s="10" t="s">
        <v>330</v>
      </c>
      <c r="C79" s="10"/>
      <c r="D79" s="10" t="s">
        <v>14</v>
      </c>
      <c r="E79" s="10" t="s">
        <v>331</v>
      </c>
      <c r="F79" s="10" t="s">
        <v>2824</v>
      </c>
      <c r="G79" s="10"/>
      <c r="H79" s="10" t="s">
        <v>37</v>
      </c>
      <c r="I79" s="10" t="s">
        <v>2484</v>
      </c>
      <c r="J79" s="7">
        <f>IFERROR(LOOKUP(2,1/('Outreach Log'!$E$2:$E$9998=B79),'Outreach Log'!$B$2:$B$9998),"")</f>
        <v>46093</v>
      </c>
      <c r="K79" s="5">
        <f>COUNTIF('Outreach Log'!$E:$E,B79)</f>
        <v>1</v>
      </c>
    </row>
    <row r="80" spans="1:11">
      <c r="A80" s="9">
        <f>IF(tblCompanies[[#This Row],[Company Name]]&lt;&gt;0,ROW()-1,"")</f>
        <v>79</v>
      </c>
      <c r="B80" s="10" t="s">
        <v>2150</v>
      </c>
      <c r="C80" s="10"/>
      <c r="D80" s="10" t="s">
        <v>14</v>
      </c>
      <c r="E80" s="10" t="s">
        <v>82</v>
      </c>
      <c r="F80" s="10" t="s">
        <v>2824</v>
      </c>
      <c r="G80" s="10"/>
      <c r="H80" s="10" t="s">
        <v>83</v>
      </c>
      <c r="I80" s="10" t="s">
        <v>2459</v>
      </c>
      <c r="J80" s="7">
        <f>IFERROR(LOOKUP(2,1/('Outreach Log'!$E$2:$E$9998=B80),'Outreach Log'!$B$2:$B$9998),"")</f>
        <v>46093</v>
      </c>
      <c r="K80" s="5">
        <f>COUNTIF('Outreach Log'!$E:$E,B80)</f>
        <v>3</v>
      </c>
    </row>
    <row r="81" spans="1:11">
      <c r="A81" s="9">
        <f>IF(tblCompanies[[#This Row],[Company Name]]&lt;&gt;0,ROW()-1,"")</f>
        <v>80</v>
      </c>
      <c r="B81" s="10" t="s">
        <v>2151</v>
      </c>
      <c r="C81" s="10"/>
      <c r="D81" s="10" t="s">
        <v>14</v>
      </c>
      <c r="E81" s="10" t="s">
        <v>237</v>
      </c>
      <c r="F81" s="10" t="s">
        <v>2824</v>
      </c>
      <c r="G81" s="10" t="s">
        <v>2645</v>
      </c>
      <c r="H81" s="10" t="s">
        <v>52</v>
      </c>
      <c r="I81" s="10" t="s">
        <v>2646</v>
      </c>
      <c r="J81" s="7">
        <f>IFERROR(LOOKUP(2,1/('Outreach Log'!$E$2:$E$9998=B81),'Outreach Log'!$B$2:$B$9998),"")</f>
        <v>46126</v>
      </c>
      <c r="K81" s="5">
        <f>COUNTIF('Outreach Log'!$E:$E,B81)</f>
        <v>4</v>
      </c>
    </row>
    <row r="82" spans="1:11">
      <c r="A82" s="9">
        <f>IF(tblCompanies[[#This Row],[Company Name]]&lt;&gt;0,ROW()-1,"")</f>
        <v>81</v>
      </c>
      <c r="B82" s="10" t="s">
        <v>2152</v>
      </c>
      <c r="C82" s="10"/>
      <c r="D82" s="10" t="s">
        <v>14</v>
      </c>
      <c r="E82" s="10" t="s">
        <v>326</v>
      </c>
      <c r="F82" s="10" t="s">
        <v>2824</v>
      </c>
      <c r="G82" s="10"/>
      <c r="H82" s="10" t="s">
        <v>52</v>
      </c>
      <c r="I82" s="10" t="s">
        <v>2483</v>
      </c>
      <c r="J82" s="7">
        <f>IFERROR(LOOKUP(2,1/('Outreach Log'!$E$2:$E$9998=B82),'Outreach Log'!$B$2:$B$9998),"")</f>
        <v>46093</v>
      </c>
      <c r="K82" s="5">
        <f>COUNTIF('Outreach Log'!$E:$E,B82)</f>
        <v>1</v>
      </c>
    </row>
    <row r="83" spans="1:11">
      <c r="A83" s="9">
        <f>IF(tblCompanies[[#This Row],[Company Name]]&lt;&gt;0,ROW()-1,"")</f>
        <v>82</v>
      </c>
      <c r="B83" s="10" t="s">
        <v>2153</v>
      </c>
      <c r="C83" s="10"/>
      <c r="D83" s="10" t="s">
        <v>14</v>
      </c>
      <c r="E83" s="10" t="s">
        <v>341</v>
      </c>
      <c r="F83" s="10" t="s">
        <v>2824</v>
      </c>
      <c r="G83" s="10"/>
      <c r="H83" s="10" t="s">
        <v>52</v>
      </c>
      <c r="I83" s="10" t="s">
        <v>2486</v>
      </c>
      <c r="J83" s="7">
        <f>IFERROR(LOOKUP(2,1/('Outreach Log'!$E$2:$E$9998=B83),'Outreach Log'!$B$2:$B$9998),"")</f>
        <v>46093</v>
      </c>
      <c r="K83" s="5">
        <f>COUNTIF('Outreach Log'!$E:$E,B83)</f>
        <v>1</v>
      </c>
    </row>
    <row r="84" spans="1:11">
      <c r="A84" s="9">
        <f>IF(tblCompanies[[#This Row],[Company Name]]&lt;&gt;0,ROW()-1,"")</f>
        <v>83</v>
      </c>
      <c r="B84" s="10" t="s">
        <v>2154</v>
      </c>
      <c r="C84" s="10"/>
      <c r="D84" s="10" t="s">
        <v>14</v>
      </c>
      <c r="E84" s="10" t="s">
        <v>342</v>
      </c>
      <c r="F84" s="10" t="s">
        <v>2824</v>
      </c>
      <c r="G84" s="10"/>
      <c r="H84" s="10" t="s">
        <v>83</v>
      </c>
      <c r="I84" s="10" t="s">
        <v>2487</v>
      </c>
      <c r="J84" s="7">
        <f>IFERROR(LOOKUP(2,1/('Outreach Log'!$E$2:$E$9998=B84),'Outreach Log'!$B$2:$B$9998),"")</f>
        <v>46093</v>
      </c>
      <c r="K84" s="5">
        <f>COUNTIF('Outreach Log'!$E:$E,B84)</f>
        <v>1</v>
      </c>
    </row>
    <row r="85" spans="1:11">
      <c r="A85" s="9">
        <f>IF(tblCompanies[[#This Row],[Company Name]]&lt;&gt;0,ROW()-1,"")</f>
        <v>84</v>
      </c>
      <c r="B85" s="10" t="s">
        <v>2155</v>
      </c>
      <c r="C85" s="10"/>
      <c r="D85" s="10" t="s">
        <v>14</v>
      </c>
      <c r="E85" s="10" t="s">
        <v>340</v>
      </c>
      <c r="F85" s="10" t="s">
        <v>2824</v>
      </c>
      <c r="G85" s="10"/>
      <c r="H85" s="10" t="s">
        <v>83</v>
      </c>
      <c r="I85" s="10" t="s">
        <v>2485</v>
      </c>
      <c r="J85" s="7">
        <f>IFERROR(LOOKUP(2,1/('Outreach Log'!$E$2:$E$9998=B85),'Outreach Log'!$B$2:$B$9998),"")</f>
        <v>46093</v>
      </c>
      <c r="K85" s="5">
        <f>COUNTIF('Outreach Log'!$E:$E,B85)</f>
        <v>1</v>
      </c>
    </row>
    <row r="86" spans="1:11">
      <c r="A86" s="9">
        <f>IF(tblCompanies[[#This Row],[Company Name]]&lt;&gt;0,ROW()-1,"")</f>
        <v>85</v>
      </c>
      <c r="B86" s="10" t="s">
        <v>366</v>
      </c>
      <c r="C86" s="10"/>
      <c r="D86" s="10" t="s">
        <v>14</v>
      </c>
      <c r="E86" s="10" t="s">
        <v>367</v>
      </c>
      <c r="F86" s="10" t="s">
        <v>2824</v>
      </c>
      <c r="G86" s="10" t="s">
        <v>2777</v>
      </c>
      <c r="H86" s="10" t="s">
        <v>176</v>
      </c>
      <c r="I86" s="10" t="s">
        <v>2784</v>
      </c>
      <c r="J86" s="7">
        <f>IFERROR(LOOKUP(2,1/('Outreach Log'!$E$2:$E$9998=B86),'Outreach Log'!$B$2:$B$9998),"")</f>
        <v>46126</v>
      </c>
      <c r="K86" s="5">
        <f>COUNTIF('Outreach Log'!$E:$E,B86)</f>
        <v>2</v>
      </c>
    </row>
    <row r="87" spans="1:11">
      <c r="A87" s="9">
        <f>IF(tblCompanies[[#This Row],[Company Name]]&lt;&gt;0,ROW()-1,"")</f>
        <v>86</v>
      </c>
      <c r="B87" s="10" t="s">
        <v>2156</v>
      </c>
      <c r="C87" s="10"/>
      <c r="D87" s="10" t="s">
        <v>14</v>
      </c>
      <c r="E87" s="10" t="s">
        <v>339</v>
      </c>
      <c r="F87" s="10" t="s">
        <v>2824</v>
      </c>
      <c r="G87" s="10" t="s">
        <v>2664</v>
      </c>
      <c r="H87" s="10" t="s">
        <v>186</v>
      </c>
      <c r="I87" s="10" t="s">
        <v>2676</v>
      </c>
      <c r="J87" s="7">
        <f>IFERROR(LOOKUP(2,1/('Outreach Log'!$E$2:$E$9998=B87),'Outreach Log'!$B$2:$B$9998),"")</f>
        <v>46093</v>
      </c>
      <c r="K87" s="5">
        <f>COUNTIF('Outreach Log'!$E:$E,B87)</f>
        <v>2</v>
      </c>
    </row>
    <row r="88" spans="1:11">
      <c r="A88" s="9">
        <f>IF(tblCompanies[[#This Row],[Company Name]]&lt;&gt;0,ROW()-1,"")</f>
        <v>87</v>
      </c>
      <c r="B88" s="10" t="s">
        <v>2157</v>
      </c>
      <c r="C88" s="10"/>
      <c r="D88" s="10" t="s">
        <v>14</v>
      </c>
      <c r="E88" s="10" t="s">
        <v>175</v>
      </c>
      <c r="F88" s="10" t="s">
        <v>2824</v>
      </c>
      <c r="G88" s="10" t="s">
        <v>46</v>
      </c>
      <c r="H88" s="10" t="s">
        <v>176</v>
      </c>
      <c r="I88" s="10" t="s">
        <v>177</v>
      </c>
      <c r="J88" s="7">
        <f>IFERROR(LOOKUP(2,1/('Outreach Log'!$E$2:$E$9998=B88),'Outreach Log'!$B$2:$B$9998),"")</f>
        <v>46093</v>
      </c>
      <c r="K88" s="5">
        <f>COUNTIF('Outreach Log'!$E:$E,B88)</f>
        <v>3</v>
      </c>
    </row>
    <row r="89" spans="1:11">
      <c r="A89" s="9">
        <f>IF(tblCompanies[[#This Row],[Company Name]]&lt;&gt;0,ROW()-1,"")</f>
        <v>88</v>
      </c>
      <c r="B89" s="10" t="s">
        <v>2158</v>
      </c>
      <c r="C89" s="10"/>
      <c r="D89" s="10" t="s">
        <v>14</v>
      </c>
      <c r="E89" s="10" t="s">
        <v>407</v>
      </c>
      <c r="F89" s="10" t="s">
        <v>2824</v>
      </c>
      <c r="G89" s="10"/>
      <c r="H89" s="10" t="s">
        <v>52</v>
      </c>
      <c r="I89" s="10" t="s">
        <v>2460</v>
      </c>
      <c r="J89" s="7">
        <f>IFERROR(LOOKUP(2,1/('Outreach Log'!$E$2:$E$9998=B89),'Outreach Log'!$B$2:$B$9998),"")</f>
        <v>46093</v>
      </c>
      <c r="K89" s="5">
        <f>COUNTIF('Outreach Log'!$E:$E,B89)</f>
        <v>3</v>
      </c>
    </row>
    <row r="90" spans="1:11">
      <c r="A90" s="9">
        <f>IF(tblCompanies[[#This Row],[Company Name]]&lt;&gt;0,ROW()-1,"")</f>
        <v>89</v>
      </c>
      <c r="B90" s="10" t="s">
        <v>2271</v>
      </c>
      <c r="C90" s="10"/>
      <c r="D90" s="10" t="s">
        <v>14</v>
      </c>
      <c r="E90" s="10" t="s">
        <v>332</v>
      </c>
      <c r="F90" s="10" t="s">
        <v>2824</v>
      </c>
      <c r="G90" s="10"/>
      <c r="H90" s="10" t="s">
        <v>52</v>
      </c>
      <c r="I90" s="10" t="s">
        <v>2461</v>
      </c>
      <c r="J90" s="7">
        <f>IFERROR(LOOKUP(2,1/('Outreach Log'!$E$2:$E$9998=B90),'Outreach Log'!$B$2:$B$9998),"")</f>
        <v>46093</v>
      </c>
      <c r="K90" s="5">
        <f>COUNTIF('Outreach Log'!$E:$E,B90)</f>
        <v>2</v>
      </c>
    </row>
    <row r="91" spans="1:11">
      <c r="A91" s="9">
        <f>IF(tblCompanies[[#This Row],[Company Name]]&lt;&gt;0,ROW()-1,"")</f>
        <v>90</v>
      </c>
      <c r="B91" s="10" t="s">
        <v>2159</v>
      </c>
      <c r="C91" s="10"/>
      <c r="D91" s="10" t="s">
        <v>14</v>
      </c>
      <c r="E91" s="10" t="s">
        <v>343</v>
      </c>
      <c r="F91" s="10" t="s">
        <v>2824</v>
      </c>
      <c r="G91" s="10"/>
      <c r="H91" s="10" t="s">
        <v>344</v>
      </c>
      <c r="I91" s="10" t="s">
        <v>2462</v>
      </c>
      <c r="J91" s="7">
        <f>IFERROR(LOOKUP(2,1/('Outreach Log'!$E$2:$E$9998=B91),'Outreach Log'!$B$2:$B$9998),"")</f>
        <v>46093</v>
      </c>
      <c r="K91" s="5">
        <f>COUNTIF('Outreach Log'!$E:$E,B91)</f>
        <v>3</v>
      </c>
    </row>
    <row r="92" spans="1:11">
      <c r="A92" s="9">
        <f>IF(tblCompanies[[#This Row],[Company Name]]&lt;&gt;0,ROW()-1,"")</f>
        <v>91</v>
      </c>
      <c r="B92" s="10" t="s">
        <v>2160</v>
      </c>
      <c r="C92" s="10"/>
      <c r="D92" s="10" t="s">
        <v>14</v>
      </c>
      <c r="E92" s="10" t="s">
        <v>474</v>
      </c>
      <c r="F92" s="10" t="s">
        <v>2824</v>
      </c>
      <c r="G92" s="10"/>
      <c r="H92" s="10" t="s">
        <v>71</v>
      </c>
      <c r="I92" s="10" t="s">
        <v>2463</v>
      </c>
      <c r="J92" s="7">
        <f>IFERROR(LOOKUP(2,1/('Outreach Log'!$E$2:$E$9998=B92),'Outreach Log'!$B$2:$B$9998),"")</f>
        <v>46093</v>
      </c>
      <c r="K92" s="5">
        <f>COUNTIF('Outreach Log'!$E:$E,B92)</f>
        <v>6</v>
      </c>
    </row>
    <row r="93" spans="1:11">
      <c r="A93" s="9">
        <f>IF(tblCompanies[[#This Row],[Company Name]]&lt;&gt;0,ROW()-1,"")</f>
        <v>92</v>
      </c>
      <c r="B93" s="10" t="s">
        <v>484</v>
      </c>
      <c r="C93" s="10"/>
      <c r="D93" s="10" t="s">
        <v>14</v>
      </c>
      <c r="E93" s="10" t="s">
        <v>485</v>
      </c>
      <c r="F93" s="10" t="s">
        <v>2824</v>
      </c>
      <c r="G93" s="10"/>
      <c r="H93" s="10" t="s">
        <v>344</v>
      </c>
      <c r="I93" s="10" t="s">
        <v>2464</v>
      </c>
      <c r="J93" s="7">
        <f>IFERROR(LOOKUP(2,1/('Outreach Log'!$E$2:$E$9998=B93),'Outreach Log'!$B$2:$B$9998),"")</f>
        <v>46093</v>
      </c>
      <c r="K93" s="5">
        <f>COUNTIF('Outreach Log'!$E:$E,B93)</f>
        <v>2</v>
      </c>
    </row>
    <row r="94" spans="1:11">
      <c r="A94" s="9">
        <f>IF(tblCompanies[[#This Row],[Company Name]]&lt;&gt;0,ROW()-1,"")</f>
        <v>93</v>
      </c>
      <c r="B94" s="10" t="s">
        <v>2162</v>
      </c>
      <c r="C94" s="10"/>
      <c r="D94" s="10" t="s">
        <v>14</v>
      </c>
      <c r="E94" s="10" t="s">
        <v>345</v>
      </c>
      <c r="F94" s="10" t="s">
        <v>2824</v>
      </c>
      <c r="G94" s="10"/>
      <c r="H94" s="10" t="s">
        <v>346</v>
      </c>
      <c r="I94" s="10" t="s">
        <v>2465</v>
      </c>
      <c r="J94" s="7">
        <f>IFERROR(LOOKUP(2,1/('Outreach Log'!$E$2:$E$9998=B94),'Outreach Log'!$B$2:$B$9998),"")</f>
        <v>46093</v>
      </c>
      <c r="K94" s="5">
        <f>COUNTIF('Outreach Log'!$E:$E,B94)</f>
        <v>2</v>
      </c>
    </row>
    <row r="95" spans="1:11">
      <c r="A95" s="9">
        <f>IF(tblCompanies[[#This Row],[Company Name]]&lt;&gt;0,ROW()-1,"")</f>
        <v>94</v>
      </c>
      <c r="B95" s="10" t="s">
        <v>2163</v>
      </c>
      <c r="C95" s="10"/>
      <c r="D95" s="10" t="s">
        <v>14</v>
      </c>
      <c r="E95" s="10" t="s">
        <v>78</v>
      </c>
      <c r="F95" s="10" t="s">
        <v>2824</v>
      </c>
      <c r="G95" s="10"/>
      <c r="H95" s="10" t="s">
        <v>79</v>
      </c>
      <c r="I95" s="10" t="s">
        <v>2466</v>
      </c>
      <c r="J95" s="7">
        <f>IFERROR(LOOKUP(2,1/('Outreach Log'!$E$2:$E$9998=B95),'Outreach Log'!$B$2:$B$9998),"")</f>
        <v>46093</v>
      </c>
      <c r="K95" s="5">
        <f>COUNTIF('Outreach Log'!$E:$E,B95)</f>
        <v>3</v>
      </c>
    </row>
    <row r="96" spans="1:11">
      <c r="A96" s="9">
        <f>IF(tblCompanies[[#This Row],[Company Name]]&lt;&gt;0,ROW()-1,"")</f>
        <v>95</v>
      </c>
      <c r="B96" s="10" t="s">
        <v>2164</v>
      </c>
      <c r="C96" s="10"/>
      <c r="D96" s="10" t="s">
        <v>14</v>
      </c>
      <c r="E96" s="10" t="s">
        <v>663</v>
      </c>
      <c r="F96" s="10" t="s">
        <v>2824</v>
      </c>
      <c r="G96" s="10"/>
      <c r="H96" s="10" t="s">
        <v>325</v>
      </c>
      <c r="I96" s="10" t="s">
        <v>2467</v>
      </c>
      <c r="J96" s="7">
        <f>IFERROR(LOOKUP(2,1/('Outreach Log'!$E$2:$E$9998=B96),'Outreach Log'!$B$2:$B$9998),"")</f>
        <v>46093</v>
      </c>
      <c r="K96" s="5">
        <f>COUNTIF('Outreach Log'!$E:$E,B96)</f>
        <v>2</v>
      </c>
    </row>
    <row r="97" spans="1:11">
      <c r="A97" s="9">
        <f>IF(tblCompanies[[#This Row],[Company Name]]&lt;&gt;0,ROW()-1,"")</f>
        <v>96</v>
      </c>
      <c r="B97" s="10" t="s">
        <v>2165</v>
      </c>
      <c r="C97" s="10"/>
      <c r="D97" s="10" t="s">
        <v>14</v>
      </c>
      <c r="E97" s="10" t="s">
        <v>349</v>
      </c>
      <c r="F97" s="10" t="s">
        <v>2824</v>
      </c>
      <c r="G97" s="10"/>
      <c r="H97" s="10" t="s">
        <v>52</v>
      </c>
      <c r="I97" s="10" t="s">
        <v>2488</v>
      </c>
      <c r="J97" s="7">
        <f>IFERROR(LOOKUP(2,1/('Outreach Log'!$E$2:$E$9998=B97),'Outreach Log'!$B$2:$B$9998),"")</f>
        <v>46093</v>
      </c>
      <c r="K97" s="5">
        <f>COUNTIF('Outreach Log'!$E:$E,B97)</f>
        <v>1</v>
      </c>
    </row>
    <row r="98" spans="1:11">
      <c r="A98" s="9">
        <f>IF(tblCompanies[[#This Row],[Company Name]]&lt;&gt;0,ROW()-1,"")</f>
        <v>97</v>
      </c>
      <c r="B98" s="10" t="s">
        <v>2166</v>
      </c>
      <c r="C98" s="10"/>
      <c r="D98" s="10" t="s">
        <v>14</v>
      </c>
      <c r="E98" s="10" t="s">
        <v>488</v>
      </c>
      <c r="F98" s="10" t="s">
        <v>2824</v>
      </c>
      <c r="G98" s="10" t="s">
        <v>2685</v>
      </c>
      <c r="H98" s="10" t="s">
        <v>83</v>
      </c>
      <c r="I98" s="10" t="s">
        <v>2688</v>
      </c>
      <c r="J98" s="7">
        <f>IFERROR(LOOKUP(2,1/('Outreach Log'!$E$2:$E$9998=B98),'Outreach Log'!$B$2:$B$9998),"")</f>
        <v>46093</v>
      </c>
      <c r="K98" s="5">
        <f>COUNTIF('Outreach Log'!$E:$E,B98)</f>
        <v>3</v>
      </c>
    </row>
    <row r="99" spans="1:11">
      <c r="A99" s="9">
        <f>IF(tblCompanies[[#This Row],[Company Name]]&lt;&gt;0,ROW()-1,"")</f>
        <v>98</v>
      </c>
      <c r="B99" s="10" t="s">
        <v>650</v>
      </c>
      <c r="C99" s="10"/>
      <c r="D99" s="10" t="s">
        <v>14</v>
      </c>
      <c r="E99" s="10" t="s">
        <v>651</v>
      </c>
      <c r="F99" s="10" t="s">
        <v>2824</v>
      </c>
      <c r="G99" s="10"/>
      <c r="H99" s="10" t="s">
        <v>88</v>
      </c>
      <c r="I99" s="10" t="s">
        <v>2504</v>
      </c>
      <c r="J99" s="7">
        <f>IFERROR(LOOKUP(2,1/('Outreach Log'!$E$2:$E$9998=B99),'Outreach Log'!$B$2:$B$9998),"")</f>
        <v>46093</v>
      </c>
      <c r="K99" s="5">
        <f>COUNTIF('Outreach Log'!$E:$E,B99)</f>
        <v>1</v>
      </c>
    </row>
    <row r="100" spans="1:11">
      <c r="A100" s="9">
        <f>IF(tblCompanies[[#This Row],[Company Name]]&lt;&gt;0,ROW()-1,"")</f>
        <v>99</v>
      </c>
      <c r="B100" s="10" t="s">
        <v>2167</v>
      </c>
      <c r="C100" s="10" t="s">
        <v>6</v>
      </c>
      <c r="D100" s="10" t="s">
        <v>2171</v>
      </c>
      <c r="E100" s="10" t="s">
        <v>233</v>
      </c>
      <c r="F100" s="10" t="s">
        <v>2824</v>
      </c>
      <c r="G100" s="10" t="s">
        <v>2664</v>
      </c>
      <c r="H100" s="10" t="s">
        <v>83</v>
      </c>
      <c r="I100" s="10" t="s">
        <v>2670</v>
      </c>
      <c r="J100" s="7">
        <f>IFERROR(LOOKUP(2,1/('Outreach Log'!$E$2:$E$9998=B100),'Outreach Log'!$B$2:$B$9998),"")</f>
        <v>46093</v>
      </c>
      <c r="K100" s="5">
        <f>COUNTIF('Outreach Log'!$E:$E,B100)</f>
        <v>1</v>
      </c>
    </row>
    <row r="101" spans="1:11">
      <c r="A101" s="9">
        <f>IF(tblCompanies[[#This Row],[Company Name]]&lt;&gt;0,ROW()-1,"")</f>
        <v>100</v>
      </c>
      <c r="B101" s="10" t="s">
        <v>355</v>
      </c>
      <c r="C101" s="10"/>
      <c r="D101" s="10" t="s">
        <v>14</v>
      </c>
      <c r="E101" s="10" t="s">
        <v>356</v>
      </c>
      <c r="F101" s="10" t="s">
        <v>2824</v>
      </c>
      <c r="G101" s="10"/>
      <c r="H101" s="10" t="s">
        <v>357</v>
      </c>
      <c r="I101" s="10" t="s">
        <v>2491</v>
      </c>
      <c r="J101" s="7">
        <f>IFERROR(LOOKUP(2,1/('Outreach Log'!$E$2:$E$9998=B101),'Outreach Log'!$B$2:$B$9998),"")</f>
        <v>46093</v>
      </c>
      <c r="K101" s="5">
        <f>COUNTIF('Outreach Log'!$E:$E,B101)</f>
        <v>2</v>
      </c>
    </row>
    <row r="102" spans="1:11">
      <c r="A102" s="9">
        <f>IF(tblCompanies[[#This Row],[Company Name]]&lt;&gt;0,ROW()-1,"")</f>
        <v>101</v>
      </c>
      <c r="B102" s="10" t="s">
        <v>2168</v>
      </c>
      <c r="C102" s="10"/>
      <c r="D102" s="10" t="s">
        <v>14</v>
      </c>
      <c r="E102" s="10" t="s">
        <v>282</v>
      </c>
      <c r="F102" s="10" t="s">
        <v>2824</v>
      </c>
      <c r="G102" s="10"/>
      <c r="H102" s="10" t="s">
        <v>283</v>
      </c>
      <c r="I102" s="10" t="s">
        <v>2468</v>
      </c>
      <c r="J102" s="7">
        <f>IFERROR(LOOKUP(2,1/('Outreach Log'!$E$2:$E$9998=B102),'Outreach Log'!$B$2:$B$9998),"")</f>
        <v>46093</v>
      </c>
      <c r="K102" s="5">
        <f>COUNTIF('Outreach Log'!$E:$E,B102)</f>
        <v>4</v>
      </c>
    </row>
    <row r="103" spans="1:11">
      <c r="A103" s="9">
        <f>IF(tblCompanies[[#This Row],[Company Name]]&lt;&gt;0,ROW()-1,"")</f>
        <v>102</v>
      </c>
      <c r="B103" s="10" t="s">
        <v>422</v>
      </c>
      <c r="C103" s="10"/>
      <c r="D103" s="10" t="s">
        <v>14</v>
      </c>
      <c r="E103" s="10" t="s">
        <v>423</v>
      </c>
      <c r="F103" s="10" t="s">
        <v>2824</v>
      </c>
      <c r="G103" s="10"/>
      <c r="H103" s="10" t="s">
        <v>283</v>
      </c>
      <c r="I103" s="10" t="s">
        <v>2428</v>
      </c>
      <c r="J103" s="7">
        <f>IFERROR(LOOKUP(2,1/('Outreach Log'!$E$2:$E$9998=B103),'Outreach Log'!$B$2:$B$9998),"")</f>
        <v>46096</v>
      </c>
      <c r="K103" s="5">
        <f>COUNTIF('Outreach Log'!$E:$E,B103)</f>
        <v>3</v>
      </c>
    </row>
    <row r="104" spans="1:11">
      <c r="A104" s="9">
        <f>IF(tblCompanies[[#This Row],[Company Name]]&lt;&gt;0,ROW()-1,"")</f>
        <v>103</v>
      </c>
      <c r="B104" s="10" t="s">
        <v>2134</v>
      </c>
      <c r="C104" s="10"/>
      <c r="D104" s="10" t="s">
        <v>14</v>
      </c>
      <c r="E104" s="10" t="s">
        <v>427</v>
      </c>
      <c r="F104" s="10" t="s">
        <v>2824</v>
      </c>
      <c r="G104" s="10"/>
      <c r="H104" s="10" t="s">
        <v>100</v>
      </c>
      <c r="I104" s="10" t="s">
        <v>2495</v>
      </c>
      <c r="J104" s="7">
        <f>IFERROR(LOOKUP(2,1/('Outreach Log'!$E$2:$E$9998=B104),'Outreach Log'!$B$2:$B$9998),"")</f>
        <v>46096</v>
      </c>
      <c r="K104" s="5">
        <f>COUNTIF('Outreach Log'!$E:$E,B104)</f>
        <v>2</v>
      </c>
    </row>
    <row r="105" spans="1:11">
      <c r="A105" s="9">
        <f>IF(tblCompanies[[#This Row],[Company Name]]&lt;&gt;0,ROW()-1,"")</f>
        <v>104</v>
      </c>
      <c r="B105" s="10" t="s">
        <v>2805</v>
      </c>
      <c r="C105" s="10"/>
      <c r="D105" s="10" t="s">
        <v>14</v>
      </c>
      <c r="E105" s="10" t="s">
        <v>336</v>
      </c>
      <c r="F105" s="10" t="s">
        <v>2824</v>
      </c>
      <c r="G105" s="10"/>
      <c r="H105" s="10" t="s">
        <v>52</v>
      </c>
      <c r="I105" s="10" t="s">
        <v>2454</v>
      </c>
      <c r="J105" s="7">
        <f>IFERROR(LOOKUP(2,1/('Outreach Log'!$E$2:$E$9998=B105),'Outreach Log'!$B$2:$B$9998),"")</f>
        <v>46098</v>
      </c>
      <c r="K105" s="5">
        <f>COUNTIF('Outreach Log'!$E:$E,B105)</f>
        <v>4</v>
      </c>
    </row>
    <row r="106" spans="1:11">
      <c r="A106" s="9">
        <f>IF(tblCompanies[[#This Row],[Company Name]]&lt;&gt;0,ROW()-1,"")</f>
        <v>105</v>
      </c>
      <c r="B106" s="10" t="s">
        <v>351</v>
      </c>
      <c r="C106" s="10"/>
      <c r="D106" s="10" t="s">
        <v>14</v>
      </c>
      <c r="E106" s="10" t="s">
        <v>352</v>
      </c>
      <c r="F106" s="10" t="s">
        <v>2824</v>
      </c>
      <c r="G106" s="10"/>
      <c r="H106" s="10" t="s">
        <v>100</v>
      </c>
      <c r="I106" s="10" t="s">
        <v>2490</v>
      </c>
      <c r="J106" s="7">
        <f>IFERROR(LOOKUP(2,1/('Outreach Log'!$E$2:$E$9998=B106),'Outreach Log'!$B$2:$B$9998),"")</f>
        <v>46096</v>
      </c>
      <c r="K106" s="5">
        <f>COUNTIF('Outreach Log'!$E:$E,B106)</f>
        <v>3</v>
      </c>
    </row>
    <row r="107" spans="1:11">
      <c r="A107" s="9">
        <f>IF(tblCompanies[[#This Row],[Company Name]]&lt;&gt;0,ROW()-1,"")</f>
        <v>106</v>
      </c>
      <c r="B107" s="10" t="s">
        <v>2999</v>
      </c>
      <c r="C107" s="10"/>
      <c r="D107" s="10" t="s">
        <v>14</v>
      </c>
      <c r="E107" s="10" t="s">
        <v>394</v>
      </c>
      <c r="F107" s="10" t="s">
        <v>2824</v>
      </c>
      <c r="G107" s="10" t="s">
        <v>2696</v>
      </c>
      <c r="H107" s="10" t="s">
        <v>52</v>
      </c>
      <c r="I107" s="10" t="s">
        <v>2701</v>
      </c>
      <c r="J107" s="7">
        <f>IFERROR(LOOKUP(2,1/('Outreach Log'!$E$2:$E$9998=B107),'Outreach Log'!$B$2:$B$9998),"")</f>
        <v>46104</v>
      </c>
      <c r="K107" s="5">
        <f>COUNTIF('Outreach Log'!$E:$E,B107)</f>
        <v>5</v>
      </c>
    </row>
    <row r="108" spans="1:11">
      <c r="A108" s="43">
        <f>IF(tblCompanies[[#This Row],[Company Name]]&lt;&gt;0,ROW()-1,"")</f>
        <v>107</v>
      </c>
      <c r="B108" s="3" t="s">
        <v>3001</v>
      </c>
      <c r="D108" s="44" t="s">
        <v>3000</v>
      </c>
      <c r="E108" s="46" t="s">
        <v>3002</v>
      </c>
      <c r="F108" s="10" t="s">
        <v>2824</v>
      </c>
      <c r="G108" s="40"/>
      <c r="H108" s="3" t="s">
        <v>3003</v>
      </c>
      <c r="I108" s="42" t="s">
        <v>3004</v>
      </c>
      <c r="J108" s="7">
        <f>IFERROR(LOOKUP(2,1/('Outreach Log'!$E$2:$E$9998=B108),'Outreach Log'!$B$2:$B$9998),"")</f>
        <v>46104</v>
      </c>
      <c r="K108" s="5">
        <f>COUNTIF('Outreach Log'!$E:$E,B108)</f>
        <v>1</v>
      </c>
    </row>
    <row r="109" spans="1:11">
      <c r="A109" s="43">
        <f>IF(tblCompanies[[#This Row],[Company Name]]&lt;&gt;0,ROW()-1,"")</f>
        <v>108</v>
      </c>
      <c r="B109" s="3" t="s">
        <v>3008</v>
      </c>
      <c r="D109" s="44" t="s">
        <v>3000</v>
      </c>
      <c r="E109" s="45" t="s">
        <v>3009</v>
      </c>
      <c r="F109" s="10" t="s">
        <v>2824</v>
      </c>
      <c r="G109" s="39"/>
      <c r="H109" s="3" t="s">
        <v>186</v>
      </c>
      <c r="I109" s="42" t="s">
        <v>3010</v>
      </c>
      <c r="J109" s="7">
        <f>IFERROR(LOOKUP(2,1/('Outreach Log'!$E$2:$E$9998=B109),'Outreach Log'!$B$2:$B$9998),"")</f>
        <v>46104</v>
      </c>
      <c r="K109" s="5">
        <f>COUNTIF('Outreach Log'!$E:$E,B109)</f>
        <v>2</v>
      </c>
    </row>
    <row r="110" spans="1:11">
      <c r="A110" s="43">
        <f>IF(tblCompanies[[#This Row],[Company Name]]&lt;&gt;0,ROW()-1,"")</f>
        <v>109</v>
      </c>
      <c r="B110" s="3" t="s">
        <v>3014</v>
      </c>
      <c r="D110" s="44" t="s">
        <v>3000</v>
      </c>
      <c r="E110" s="15" t="s">
        <v>3015</v>
      </c>
      <c r="F110" s="10" t="s">
        <v>2824</v>
      </c>
      <c r="H110" s="3" t="s">
        <v>3003</v>
      </c>
      <c r="I110" s="42" t="s">
        <v>3016</v>
      </c>
      <c r="J110" s="7">
        <f>IFERROR(LOOKUP(2,1/('Outreach Log'!$E$2:$E$9998=B110),'Outreach Log'!$B$2:$B$9998),"")</f>
        <v>46104</v>
      </c>
      <c r="K110" s="5">
        <f>COUNTIF('Outreach Log'!$E:$E,B110)</f>
        <v>1</v>
      </c>
    </row>
    <row r="111" spans="1:11">
      <c r="A111" s="43">
        <f>IF(tblCompanies[[#This Row],[Company Name]]&lt;&gt;0,ROW()-1,"")</f>
        <v>110</v>
      </c>
      <c r="B111" s="3" t="s">
        <v>3017</v>
      </c>
      <c r="D111" s="44" t="s">
        <v>3000</v>
      </c>
      <c r="E111" s="45" t="s">
        <v>3018</v>
      </c>
      <c r="F111" s="10" t="s">
        <v>2824</v>
      </c>
      <c r="G111" s="39"/>
      <c r="H111" s="3" t="s">
        <v>100</v>
      </c>
      <c r="I111" s="42" t="s">
        <v>3019</v>
      </c>
      <c r="J111" s="7">
        <f>IFERROR(LOOKUP(2,1/('Outreach Log'!$E$2:$E$9998=B111),'Outreach Log'!$B$2:$B$9998),"")</f>
        <v>46104</v>
      </c>
      <c r="K111" s="5">
        <f>COUNTIF('Outreach Log'!$E:$E,B111)</f>
        <v>1</v>
      </c>
    </row>
    <row r="112" spans="1:11">
      <c r="A112" s="43">
        <f>IF(tblCompanies[[#This Row],[Company Name]]&lt;&gt;0,ROW()-1,"")</f>
        <v>111</v>
      </c>
      <c r="B112" s="3" t="s">
        <v>3020</v>
      </c>
      <c r="D112" s="44" t="s">
        <v>3000</v>
      </c>
      <c r="E112" s="45" t="s">
        <v>3021</v>
      </c>
      <c r="F112" s="10" t="s">
        <v>2824</v>
      </c>
      <c r="G112" s="39"/>
      <c r="H112" s="3" t="s">
        <v>37</v>
      </c>
      <c r="I112" s="42" t="s">
        <v>3022</v>
      </c>
      <c r="J112" s="7" t="str">
        <f>IFERROR(LOOKUP(2,1/('Outreach Log'!$E$2:$E$9998=B112),'Outreach Log'!$B$2:$B$9998),"")</f>
        <v/>
      </c>
      <c r="K112" s="5">
        <f>COUNTIF('Outreach Log'!$E:$E,B112)</f>
        <v>0</v>
      </c>
    </row>
    <row r="113" spans="1:11">
      <c r="A113" s="43">
        <f>IF(tblCompanies[[#This Row],[Company Name]]&lt;&gt;0,ROW()-1,"")</f>
        <v>112</v>
      </c>
      <c r="B113" s="3" t="s">
        <v>3028</v>
      </c>
      <c r="D113" s="44" t="s">
        <v>3000</v>
      </c>
      <c r="E113" s="45" t="s">
        <v>533</v>
      </c>
      <c r="F113" s="10" t="s">
        <v>2824</v>
      </c>
      <c r="G113" s="39"/>
      <c r="H113" s="3" t="s">
        <v>3029</v>
      </c>
      <c r="I113" s="42" t="s">
        <v>3030</v>
      </c>
      <c r="J113" s="7">
        <f>IFERROR(LOOKUP(2,1/('Outreach Log'!$E$2:$E$9998=B113),'Outreach Log'!$B$2:$B$9998),"")</f>
        <v>46104</v>
      </c>
      <c r="K113" s="5">
        <f>COUNTIF('Outreach Log'!$E:$E,B113)</f>
        <v>2</v>
      </c>
    </row>
    <row r="114" spans="1:11">
      <c r="A114" s="43">
        <f>IF(tblCompanies[[#This Row],[Company Name]]&lt;&gt;0,ROW()-1,"")</f>
        <v>113</v>
      </c>
      <c r="B114" s="3" t="s">
        <v>3031</v>
      </c>
      <c r="D114" s="44" t="s">
        <v>3000</v>
      </c>
      <c r="E114" s="45" t="s">
        <v>3032</v>
      </c>
      <c r="F114" s="10" t="s">
        <v>2824</v>
      </c>
      <c r="G114" s="39"/>
      <c r="H114" s="3" t="s">
        <v>344</v>
      </c>
      <c r="I114" s="42" t="s">
        <v>3033</v>
      </c>
      <c r="J114" s="7">
        <f>IFERROR(LOOKUP(2,1/('Outreach Log'!$E$2:$E$9998=B114),'Outreach Log'!$B$2:$B$9998),"")</f>
        <v>46104</v>
      </c>
      <c r="K114" s="5">
        <f>COUNTIF('Outreach Log'!$E:$E,B114)</f>
        <v>1</v>
      </c>
    </row>
    <row r="115" spans="1:11">
      <c r="A115" s="43">
        <f>IF(tblCompanies[[#This Row],[Company Name]]&lt;&gt;0,ROW()-1,"")</f>
        <v>114</v>
      </c>
      <c r="B115" s="3" t="s">
        <v>3037</v>
      </c>
      <c r="D115" s="44" t="s">
        <v>3000</v>
      </c>
      <c r="E115" s="15" t="s">
        <v>3038</v>
      </c>
      <c r="F115" s="10" t="s">
        <v>2824</v>
      </c>
      <c r="H115" s="3" t="s">
        <v>3003</v>
      </c>
      <c r="I115" s="42" t="s">
        <v>3039</v>
      </c>
      <c r="J115" s="7">
        <f>IFERROR(LOOKUP(2,1/('Outreach Log'!$E$2:$E$9998=B115),'Outreach Log'!$B$2:$B$9998),"")</f>
        <v>46104</v>
      </c>
      <c r="K115" s="5">
        <f>COUNTIF('Outreach Log'!$E:$E,B115)</f>
        <v>2</v>
      </c>
    </row>
    <row r="116" spans="1:11">
      <c r="A116" s="43">
        <f>IF(tblCompanies[[#This Row],[Company Name]]&lt;&gt;0,ROW()-1,"")</f>
        <v>115</v>
      </c>
      <c r="B116" s="3" t="s">
        <v>3040</v>
      </c>
      <c r="D116" s="44" t="s">
        <v>3000</v>
      </c>
      <c r="E116" s="45" t="s">
        <v>3041</v>
      </c>
      <c r="F116" s="10" t="s">
        <v>2824</v>
      </c>
      <c r="G116" s="39"/>
      <c r="H116" s="3" t="s">
        <v>325</v>
      </c>
      <c r="I116" s="42" t="s">
        <v>3042</v>
      </c>
      <c r="J116" s="7">
        <f>IFERROR(LOOKUP(2,1/('Outreach Log'!$E$2:$E$9998=B116),'Outreach Log'!$B$2:$B$9998),"")</f>
        <v>46104</v>
      </c>
      <c r="K116" s="5">
        <f>COUNTIF('Outreach Log'!$E:$E,B116)</f>
        <v>1</v>
      </c>
    </row>
    <row r="117" spans="1:11">
      <c r="A117" s="9">
        <f>IF(tblCompanies[[#This Row],[Company Name]]&lt;&gt;0,ROW()-1,"")</f>
        <v>116</v>
      </c>
      <c r="B117" s="10" t="s">
        <v>2338</v>
      </c>
      <c r="C117" s="10" t="s">
        <v>1</v>
      </c>
      <c r="D117" s="10" t="s">
        <v>2171</v>
      </c>
      <c r="E117" s="10" t="s">
        <v>496</v>
      </c>
      <c r="F117" s="10" t="s">
        <v>2824</v>
      </c>
      <c r="G117" s="10" t="s">
        <v>2650</v>
      </c>
      <c r="H117" s="10"/>
      <c r="I117" s="10" t="s">
        <v>2655</v>
      </c>
      <c r="J117" s="7" t="str">
        <f>IFERROR(LOOKUP(2,1/('Outreach Log'!$E$2:$E$9998=B117),'Outreach Log'!$B$2:$B$9998),"")</f>
        <v/>
      </c>
      <c r="K117" s="5">
        <f>COUNTIF('Outreach Log'!$E:$E,B117)</f>
        <v>0</v>
      </c>
    </row>
    <row r="118" spans="1:11">
      <c r="A118" s="43">
        <f>IF(tblCompanies[[#This Row],[Company Name]]&lt;&gt;0,ROW()-1,"")</f>
        <v>117</v>
      </c>
      <c r="B118" s="3" t="s">
        <v>3049</v>
      </c>
      <c r="D118" s="44" t="s">
        <v>3000</v>
      </c>
      <c r="E118" s="45" t="s">
        <v>3050</v>
      </c>
      <c r="F118" s="10" t="s">
        <v>2824</v>
      </c>
      <c r="G118" s="39"/>
      <c r="H118" s="3" t="s">
        <v>3003</v>
      </c>
      <c r="I118" s="42" t="s">
        <v>3051</v>
      </c>
      <c r="J118" s="7">
        <f>IFERROR(LOOKUP(2,1/('Outreach Log'!$E$2:$E$9998=B118),'Outreach Log'!$B$2:$B$9998),"")</f>
        <v>46104</v>
      </c>
      <c r="K118" s="5">
        <f>COUNTIF('Outreach Log'!$E:$E,B118)</f>
        <v>1</v>
      </c>
    </row>
    <row r="119" spans="1:11">
      <c r="A119" s="43">
        <f>IF(tblCompanies[[#This Row],[Company Name]]&lt;&gt;0,ROW()-1,"")</f>
        <v>118</v>
      </c>
      <c r="B119" s="3" t="s">
        <v>3052</v>
      </c>
      <c r="D119" s="44" t="s">
        <v>3000</v>
      </c>
      <c r="E119" s="54" t="s">
        <v>3374</v>
      </c>
      <c r="F119" s="10" t="s">
        <v>2824</v>
      </c>
      <c r="G119" s="39"/>
      <c r="H119" s="3" t="s">
        <v>3003</v>
      </c>
      <c r="I119" s="42" t="s">
        <v>3053</v>
      </c>
      <c r="J119" s="7">
        <f>IFERROR(LOOKUP(2,1/('Outreach Log'!$E$2:$E$9998=B119),'Outreach Log'!$B$2:$B$9998),"")</f>
        <v>46104</v>
      </c>
      <c r="K119" s="5">
        <f>COUNTIF('Outreach Log'!$E:$E,B119)</f>
        <v>1</v>
      </c>
    </row>
    <row r="120" spans="1:11">
      <c r="A120" s="9">
        <f>IF(tblCompanies[[#This Row],[Company Name]]&lt;&gt;0,ROW()-1,"")</f>
        <v>119</v>
      </c>
      <c r="B120" s="10" t="s">
        <v>681</v>
      </c>
      <c r="C120" s="10" t="s">
        <v>1</v>
      </c>
      <c r="D120" s="10" t="s">
        <v>2171</v>
      </c>
      <c r="E120" s="10" t="s">
        <v>682</v>
      </c>
      <c r="F120" s="10" t="s">
        <v>2824</v>
      </c>
      <c r="G120" s="10" t="s">
        <v>46</v>
      </c>
      <c r="H120" s="10"/>
      <c r="I120" s="10" t="s">
        <v>2530</v>
      </c>
      <c r="J120" s="7">
        <f>IFERROR(LOOKUP(2,1/('Outreach Log'!$E$2:$E$9998=B120),'Outreach Log'!$B$2:$B$9998),"")</f>
        <v>46104</v>
      </c>
      <c r="K120" s="5">
        <f>COUNTIF('Outreach Log'!$E:$E,B120)</f>
        <v>1</v>
      </c>
    </row>
    <row r="121" spans="1:11">
      <c r="A121" s="9">
        <f>IF(tblCompanies[[#This Row],[Company Name]]&lt;&gt;0,ROW()-1,"")</f>
        <v>120</v>
      </c>
      <c r="B121" s="10" t="s">
        <v>2118</v>
      </c>
      <c r="C121" s="10" t="s">
        <v>2</v>
      </c>
      <c r="D121" s="10" t="s">
        <v>2171</v>
      </c>
      <c r="E121" s="10" t="s">
        <v>35</v>
      </c>
      <c r="F121" s="10" t="s">
        <v>2824</v>
      </c>
      <c r="G121" s="10" t="s">
        <v>36</v>
      </c>
      <c r="H121" s="10" t="s">
        <v>37</v>
      </c>
      <c r="I121" s="10" t="s">
        <v>38</v>
      </c>
      <c r="J121" s="7">
        <f>IFERROR(LOOKUP(2,1/('Outreach Log'!$E$2:$E$9998=B121),'Outreach Log'!$B$2:$B$9998),"")</f>
        <v>46104</v>
      </c>
      <c r="K121" s="5">
        <f>COUNTIF('Outreach Log'!$E:$E,B121)</f>
        <v>4</v>
      </c>
    </row>
    <row r="122" spans="1:11">
      <c r="A122" s="9">
        <f>IF(tblCompanies[[#This Row],[Company Name]]&lt;&gt;0,ROW()-1,"")</f>
        <v>121</v>
      </c>
      <c r="B122" s="10" t="s">
        <v>84</v>
      </c>
      <c r="C122" s="10" t="s">
        <v>4</v>
      </c>
      <c r="D122" s="10" t="s">
        <v>2171</v>
      </c>
      <c r="E122" s="10" t="s">
        <v>85</v>
      </c>
      <c r="F122" s="10" t="s">
        <v>2824</v>
      </c>
      <c r="G122" s="10" t="s">
        <v>2542</v>
      </c>
      <c r="H122" s="10"/>
      <c r="I122" s="10" t="s">
        <v>86</v>
      </c>
      <c r="J122" s="7">
        <f>IFERROR(LOOKUP(2,1/('Outreach Log'!$E$2:$E$9998=B122),'Outreach Log'!$B$2:$B$9998),"")</f>
        <v>46104</v>
      </c>
      <c r="K122" s="5">
        <f>COUNTIF('Outreach Log'!$E:$E,B122)</f>
        <v>1</v>
      </c>
    </row>
    <row r="123" spans="1:11">
      <c r="A123" s="43">
        <f>IF(tblCompanies[[#This Row],[Company Name]]&lt;&gt;0,ROW()-1,"")</f>
        <v>122</v>
      </c>
      <c r="B123" s="3" t="s">
        <v>3056</v>
      </c>
      <c r="D123" s="44" t="s">
        <v>3000</v>
      </c>
      <c r="E123" s="45" t="s">
        <v>3057</v>
      </c>
      <c r="F123" s="10" t="s">
        <v>2824</v>
      </c>
      <c r="G123" s="39"/>
      <c r="H123" s="3" t="s">
        <v>3003</v>
      </c>
      <c r="I123" s="42" t="s">
        <v>3058</v>
      </c>
      <c r="J123" s="7">
        <f>IFERROR(LOOKUP(2,1/('Outreach Log'!$E$2:$E$9998=B123),'Outreach Log'!$B$2:$B$9998),"")</f>
        <v>46104</v>
      </c>
      <c r="K123" s="5">
        <f>COUNTIF('Outreach Log'!$E:$E,B123)</f>
        <v>4</v>
      </c>
    </row>
    <row r="124" spans="1:11">
      <c r="A124" s="43">
        <f>IF(tblCompanies[[#This Row],[Company Name]]&lt;&gt;0,ROW()-1,"")</f>
        <v>123</v>
      </c>
      <c r="B124" s="3" t="s">
        <v>3064</v>
      </c>
      <c r="D124" s="44" t="s">
        <v>3000</v>
      </c>
      <c r="E124" s="45" t="s">
        <v>99</v>
      </c>
      <c r="F124" s="10" t="s">
        <v>2824</v>
      </c>
      <c r="G124" s="39"/>
      <c r="H124" s="3" t="s">
        <v>3003</v>
      </c>
      <c r="I124" s="42" t="s">
        <v>3065</v>
      </c>
      <c r="J124" s="7" t="str">
        <f>IFERROR(LOOKUP(2,1/('Outreach Log'!$E$2:$E$9998=B124),'Outreach Log'!$B$2:$B$9998),"")</f>
        <v/>
      </c>
      <c r="K124" s="5">
        <f>COUNTIF('Outreach Log'!$E:$E,B124)</f>
        <v>0</v>
      </c>
    </row>
    <row r="125" spans="1:11">
      <c r="A125" s="43">
        <f>IF(tblCompanies[[#This Row],[Company Name]]&lt;&gt;0,ROW()-1,"")</f>
        <v>124</v>
      </c>
      <c r="B125" s="3" t="s">
        <v>348</v>
      </c>
      <c r="D125" s="44" t="s">
        <v>3000</v>
      </c>
      <c r="E125" s="45" t="s">
        <v>3069</v>
      </c>
      <c r="F125" s="10" t="s">
        <v>2824</v>
      </c>
      <c r="G125" s="10" t="s">
        <v>2690</v>
      </c>
      <c r="H125" s="3" t="s">
        <v>37</v>
      </c>
      <c r="I125" s="42" t="s">
        <v>3070</v>
      </c>
      <c r="J125" s="7">
        <f>IFERROR(LOOKUP(2,1/('Outreach Log'!$E$2:$E$9998=B125),'Outreach Log'!$B$2:$B$9998),"")</f>
        <v>46104</v>
      </c>
      <c r="K125" s="5">
        <f>COUNTIF('Outreach Log'!$E:$E,B125)</f>
        <v>4</v>
      </c>
    </row>
    <row r="126" spans="1:11">
      <c r="A126" s="43">
        <f>IF(tblCompanies[[#This Row],[Company Name]]&lt;&gt;0,ROW()-1,"")</f>
        <v>125</v>
      </c>
      <c r="B126" s="3" t="s">
        <v>3071</v>
      </c>
      <c r="D126" s="44" t="s">
        <v>3000</v>
      </c>
      <c r="E126" s="45" t="s">
        <v>3072</v>
      </c>
      <c r="F126" s="10" t="s">
        <v>2824</v>
      </c>
      <c r="G126" s="39"/>
      <c r="H126" s="3" t="s">
        <v>176</v>
      </c>
      <c r="I126" s="42" t="s">
        <v>3073</v>
      </c>
      <c r="J126" s="7">
        <f>IFERROR(LOOKUP(2,1/('Outreach Log'!$E$2:$E$9998=B126),'Outreach Log'!$B$2:$B$9998),"")</f>
        <v>46104</v>
      </c>
      <c r="K126" s="5">
        <f>COUNTIF('Outreach Log'!$E:$E,B126)</f>
        <v>1</v>
      </c>
    </row>
    <row r="127" spans="1:11">
      <c r="A127" s="43">
        <f>IF(tblCompanies[[#This Row],[Company Name]]&lt;&gt;0,ROW()-1,"")</f>
        <v>126</v>
      </c>
      <c r="B127" s="3" t="s">
        <v>3076</v>
      </c>
      <c r="D127" s="44" t="s">
        <v>3000</v>
      </c>
      <c r="E127" s="45" t="s">
        <v>3077</v>
      </c>
      <c r="F127" s="10" t="s">
        <v>2824</v>
      </c>
      <c r="G127" s="39"/>
      <c r="H127" s="3" t="s">
        <v>3003</v>
      </c>
      <c r="I127" s="42" t="s">
        <v>3078</v>
      </c>
      <c r="J127" s="7">
        <f>IFERROR(LOOKUP(2,1/('Outreach Log'!$E$2:$E$9998=B127),'Outreach Log'!$B$2:$B$9998),"")</f>
        <v>46104</v>
      </c>
      <c r="K127" s="5">
        <f>COUNTIF('Outreach Log'!$E:$E,B127)</f>
        <v>2</v>
      </c>
    </row>
    <row r="128" spans="1:11">
      <c r="A128" s="43">
        <f>IF(tblCompanies[[#This Row],[Company Name]]&lt;&gt;0,ROW()-1,"")</f>
        <v>127</v>
      </c>
      <c r="B128" s="3" t="s">
        <v>3086</v>
      </c>
      <c r="D128" s="44" t="s">
        <v>3000</v>
      </c>
      <c r="E128" s="47"/>
      <c r="F128" s="10" t="s">
        <v>2824</v>
      </c>
      <c r="G128" s="41"/>
      <c r="H128" s="3" t="s">
        <v>100</v>
      </c>
      <c r="I128" s="42" t="s">
        <v>3087</v>
      </c>
      <c r="J128" s="7" t="str">
        <f>IFERROR(LOOKUP(2,1/('Outreach Log'!$E$2:$E$9998=B128),'Outreach Log'!$B$2:$B$9998),"")</f>
        <v/>
      </c>
      <c r="K128" s="5">
        <f>COUNTIF('Outreach Log'!$E:$E,B128)</f>
        <v>0</v>
      </c>
    </row>
    <row r="129" spans="1:11">
      <c r="A129" s="43">
        <f>IF(tblCompanies[[#This Row],[Company Name]]&lt;&gt;0,ROW()-1,"")</f>
        <v>128</v>
      </c>
      <c r="B129" s="3" t="s">
        <v>3088</v>
      </c>
      <c r="D129" s="44" t="s">
        <v>3000</v>
      </c>
      <c r="E129" s="45" t="s">
        <v>3089</v>
      </c>
      <c r="F129" s="10" t="s">
        <v>2824</v>
      </c>
      <c r="G129" s="39"/>
      <c r="H129" s="3" t="s">
        <v>37</v>
      </c>
      <c r="I129" s="42" t="s">
        <v>3090</v>
      </c>
      <c r="J129" s="7" t="str">
        <f>IFERROR(LOOKUP(2,1/('Outreach Log'!$E$2:$E$9998=B129),'Outreach Log'!$B$2:$B$9998),"")</f>
        <v/>
      </c>
      <c r="K129" s="5">
        <f>COUNTIF('Outreach Log'!$E:$E,B129)</f>
        <v>0</v>
      </c>
    </row>
    <row r="130" spans="1:11">
      <c r="A130" s="9">
        <f>IF(tblCompanies[[#This Row],[Company Name]]&lt;&gt;0,ROW()-1,"")</f>
        <v>129</v>
      </c>
      <c r="B130" s="10" t="s">
        <v>2222</v>
      </c>
      <c r="C130" s="10" t="s">
        <v>6</v>
      </c>
      <c r="D130" s="10" t="s">
        <v>2171</v>
      </c>
      <c r="E130" s="10" t="s">
        <v>182</v>
      </c>
      <c r="F130" s="10" t="s">
        <v>2824</v>
      </c>
      <c r="G130" s="10" t="s">
        <v>2664</v>
      </c>
      <c r="H130" s="10"/>
      <c r="I130" s="10" t="s">
        <v>2669</v>
      </c>
      <c r="J130" s="7">
        <f>IFERROR(LOOKUP(2,1/('Outreach Log'!$E$2:$E$9998=B130),'Outreach Log'!$B$2:$B$9998),"")</f>
        <v>46104</v>
      </c>
      <c r="K130" s="5">
        <f>COUNTIF('Outreach Log'!$E:$E,B130)</f>
        <v>1</v>
      </c>
    </row>
    <row r="131" spans="1:11">
      <c r="A131" s="43">
        <f>IF(tblCompanies[[#This Row],[Company Name]]&lt;&gt;0,ROW()-1,"")</f>
        <v>130</v>
      </c>
      <c r="B131" s="3" t="s">
        <v>3106</v>
      </c>
      <c r="D131" s="44" t="s">
        <v>3000</v>
      </c>
      <c r="E131" s="45" t="s">
        <v>562</v>
      </c>
      <c r="F131" s="10" t="s">
        <v>2824</v>
      </c>
      <c r="G131" s="39"/>
      <c r="H131" s="3" t="s">
        <v>100</v>
      </c>
      <c r="I131" s="42" t="s">
        <v>3107</v>
      </c>
      <c r="J131" s="7">
        <f>IFERROR(LOOKUP(2,1/('Outreach Log'!$E$2:$E$9998=B131),'Outreach Log'!$B$2:$B$9998),"")</f>
        <v>46104</v>
      </c>
      <c r="K131" s="5">
        <f>COUNTIF('Outreach Log'!$E:$E,B131)</f>
        <v>1</v>
      </c>
    </row>
    <row r="132" spans="1:11">
      <c r="A132" s="43">
        <f>IF(tblCompanies[[#This Row],[Company Name]]&lt;&gt;0,ROW()-1,"")</f>
        <v>131</v>
      </c>
      <c r="B132" s="3" t="s">
        <v>386</v>
      </c>
      <c r="D132" s="44" t="s">
        <v>3000</v>
      </c>
      <c r="E132" s="45" t="s">
        <v>3112</v>
      </c>
      <c r="F132" s="10" t="s">
        <v>2824</v>
      </c>
      <c r="G132" s="39"/>
      <c r="H132" s="3" t="s">
        <v>88</v>
      </c>
      <c r="I132" s="42" t="s">
        <v>3113</v>
      </c>
      <c r="J132" s="7">
        <f>IFERROR(LOOKUP(2,1/('Outreach Log'!$E$2:$E$9998=B132),'Outreach Log'!$B$2:$B$9998),"")</f>
        <v>46104</v>
      </c>
      <c r="K132" s="5">
        <f>COUNTIF('Outreach Log'!$E:$E,B132)</f>
        <v>3</v>
      </c>
    </row>
    <row r="133" spans="1:11">
      <c r="A133" s="43">
        <f>IF(tblCompanies[[#This Row],[Company Name]]&lt;&gt;0,ROW()-1,"")</f>
        <v>132</v>
      </c>
      <c r="B133" s="3" t="s">
        <v>3122</v>
      </c>
      <c r="D133" s="44" t="s">
        <v>3000</v>
      </c>
      <c r="E133" s="45" t="s">
        <v>3123</v>
      </c>
      <c r="F133" s="10" t="s">
        <v>2824</v>
      </c>
      <c r="G133" s="39"/>
      <c r="H133" s="3" t="s">
        <v>3003</v>
      </c>
      <c r="I133" s="42" t="s">
        <v>3124</v>
      </c>
      <c r="J133" s="7">
        <f>IFERROR(LOOKUP(2,1/('Outreach Log'!$E$2:$E$9998=B133),'Outreach Log'!$B$2:$B$9998),"")</f>
        <v>46104</v>
      </c>
      <c r="K133" s="5">
        <f>COUNTIF('Outreach Log'!$E:$E,B133)</f>
        <v>5</v>
      </c>
    </row>
    <row r="134" spans="1:11">
      <c r="A134" s="43">
        <f>IF(tblCompanies[[#This Row],[Company Name]]&lt;&gt;0,ROW()-1,"")</f>
        <v>133</v>
      </c>
      <c r="B134" s="3" t="s">
        <v>3125</v>
      </c>
      <c r="D134" s="44" t="s">
        <v>3000</v>
      </c>
      <c r="E134" s="45" t="s">
        <v>3126</v>
      </c>
      <c r="F134" s="10" t="s">
        <v>2824</v>
      </c>
      <c r="G134" s="39"/>
      <c r="H134" s="3" t="s">
        <v>100</v>
      </c>
      <c r="I134" s="42" t="s">
        <v>3127</v>
      </c>
      <c r="J134" s="7">
        <f>IFERROR(LOOKUP(2,1/('Outreach Log'!$E$2:$E$9998=B134),'Outreach Log'!$B$2:$B$9998),"")</f>
        <v>46104</v>
      </c>
      <c r="K134" s="5">
        <f>COUNTIF('Outreach Log'!$E:$E,B134)</f>
        <v>4</v>
      </c>
    </row>
    <row r="135" spans="1:11">
      <c r="A135" s="9">
        <f>IF(tblCompanies[[#This Row],[Company Name]]&lt;&gt;0,ROW()-1,"")</f>
        <v>134</v>
      </c>
      <c r="B135" s="10" t="s">
        <v>2302</v>
      </c>
      <c r="C135" s="10" t="s">
        <v>3</v>
      </c>
      <c r="D135" s="10" t="s">
        <v>2171</v>
      </c>
      <c r="E135" s="10" t="s">
        <v>419</v>
      </c>
      <c r="F135" s="10" t="s">
        <v>2824</v>
      </c>
      <c r="G135" s="10" t="s">
        <v>2573</v>
      </c>
      <c r="H135" s="10"/>
      <c r="I135" s="10" t="s">
        <v>2590</v>
      </c>
      <c r="J135" s="7" t="str">
        <f>IFERROR(LOOKUP(2,1/('Outreach Log'!$E$2:$E$9998=B135),'Outreach Log'!$B$2:$B$9998),"")</f>
        <v/>
      </c>
      <c r="K135" s="5">
        <f>COUNTIF('Outreach Log'!$E:$E,B135)</f>
        <v>0</v>
      </c>
    </row>
    <row r="136" spans="1:11">
      <c r="A136" s="9">
        <f>IF(tblCompanies[[#This Row],[Company Name]]&lt;&gt;0,ROW()-1,"")</f>
        <v>135</v>
      </c>
      <c r="B136" s="10" t="s">
        <v>476</v>
      </c>
      <c r="C136" s="10" t="s">
        <v>1</v>
      </c>
      <c r="D136" s="10" t="s">
        <v>2171</v>
      </c>
      <c r="E136" s="10" t="s">
        <v>477</v>
      </c>
      <c r="F136" s="10" t="s">
        <v>2824</v>
      </c>
      <c r="G136" s="10" t="s">
        <v>2797</v>
      </c>
      <c r="H136" s="10"/>
      <c r="I136" s="10" t="s">
        <v>478</v>
      </c>
      <c r="J136" s="7" t="str">
        <f>IFERROR(LOOKUP(2,1/('Outreach Log'!$E$2:$E$9998=B136),'Outreach Log'!$B$2:$B$9998),"")</f>
        <v/>
      </c>
      <c r="K136" s="5">
        <f>COUNTIF('Outreach Log'!$E:$E,B136)</f>
        <v>0</v>
      </c>
    </row>
    <row r="137" spans="1:11">
      <c r="A137" s="9">
        <f>IF(tblCompanies[[#This Row],[Company Name]]&lt;&gt;0,ROW()-1,"")</f>
        <v>136</v>
      </c>
      <c r="B137" s="10" t="s">
        <v>2369</v>
      </c>
      <c r="C137" s="10" t="s">
        <v>0</v>
      </c>
      <c r="D137" s="10" t="s">
        <v>2171</v>
      </c>
      <c r="E137" s="10" t="s">
        <v>569</v>
      </c>
      <c r="F137" s="10" t="s">
        <v>2824</v>
      </c>
      <c r="G137" s="10" t="s">
        <v>46</v>
      </c>
      <c r="H137" s="10"/>
      <c r="I137" s="10" t="s">
        <v>570</v>
      </c>
      <c r="J137" s="7" t="str">
        <f>IFERROR(LOOKUP(2,1/('Outreach Log'!$E$2:$E$9998=B137),'Outreach Log'!$B$2:$B$9998),"")</f>
        <v/>
      </c>
      <c r="K137" s="5">
        <f>COUNTIF('Outreach Log'!$E:$E,B137)</f>
        <v>0</v>
      </c>
    </row>
    <row r="138" spans="1:11">
      <c r="A138" s="43">
        <f>IF(tblCompanies[[#This Row],[Company Name]]&lt;&gt;0,ROW()-1,"")</f>
        <v>137</v>
      </c>
      <c r="B138" s="3" t="s">
        <v>3148</v>
      </c>
      <c r="D138" s="44" t="s">
        <v>3000</v>
      </c>
      <c r="E138" s="15" t="s">
        <v>3149</v>
      </c>
      <c r="F138" s="10" t="s">
        <v>2824</v>
      </c>
      <c r="H138" s="3" t="s">
        <v>143</v>
      </c>
      <c r="I138" s="42" t="s">
        <v>3150</v>
      </c>
      <c r="J138" s="7">
        <f>IFERROR(LOOKUP(2,1/('Outreach Log'!$E$2:$E$9998=B138),'Outreach Log'!$B$2:$B$9998),"")</f>
        <v>46104</v>
      </c>
      <c r="K138" s="5">
        <f>COUNTIF('Outreach Log'!$E:$E,B138)</f>
        <v>1</v>
      </c>
    </row>
    <row r="139" spans="1:11">
      <c r="A139" s="43">
        <f>IF(tblCompanies[[#This Row],[Company Name]]&lt;&gt;0,ROW()-1,"")</f>
        <v>138</v>
      </c>
      <c r="B139" s="3" t="s">
        <v>3151</v>
      </c>
      <c r="D139" s="44" t="s">
        <v>3000</v>
      </c>
      <c r="E139" s="47"/>
      <c r="F139" s="10" t="s">
        <v>2824</v>
      </c>
      <c r="G139" s="41"/>
      <c r="H139" s="3" t="s">
        <v>88</v>
      </c>
      <c r="I139" s="42" t="s">
        <v>3152</v>
      </c>
      <c r="J139" s="7">
        <f>IFERROR(LOOKUP(2,1/('Outreach Log'!$E$2:$E$9998=B139),'Outreach Log'!$B$2:$B$9998),"")</f>
        <v>46104</v>
      </c>
      <c r="K139" s="5">
        <f>COUNTIF('Outreach Log'!$E:$E,B139)</f>
        <v>1</v>
      </c>
    </row>
    <row r="140" spans="1:11">
      <c r="A140" s="43">
        <f>IF(tblCompanies[[#This Row],[Company Name]]&lt;&gt;0,ROW()-1,"")</f>
        <v>139</v>
      </c>
      <c r="B140" s="3" t="s">
        <v>3158</v>
      </c>
      <c r="D140" s="44" t="s">
        <v>3000</v>
      </c>
      <c r="E140" s="45" t="s">
        <v>3159</v>
      </c>
      <c r="F140" s="10" t="s">
        <v>2824</v>
      </c>
      <c r="G140" s="39"/>
      <c r="H140" s="3" t="s">
        <v>3003</v>
      </c>
      <c r="I140" s="42" t="s">
        <v>3160</v>
      </c>
      <c r="J140" s="7">
        <f>IFERROR(LOOKUP(2,1/('Outreach Log'!$E$2:$E$9998=B140),'Outreach Log'!$B$2:$B$9998),"")</f>
        <v>46104</v>
      </c>
      <c r="K140" s="5">
        <f>COUNTIF('Outreach Log'!$E:$E,B140)</f>
        <v>3</v>
      </c>
    </row>
    <row r="141" spans="1:11">
      <c r="A141" s="43">
        <f>IF(tblCompanies[[#This Row],[Company Name]]&lt;&gt;0,ROW()-1,"")</f>
        <v>140</v>
      </c>
      <c r="B141" s="3" t="s">
        <v>3161</v>
      </c>
      <c r="D141" s="44" t="s">
        <v>3000</v>
      </c>
      <c r="E141" s="45" t="s">
        <v>3162</v>
      </c>
      <c r="F141" s="10" t="s">
        <v>2824</v>
      </c>
      <c r="G141" s="39"/>
      <c r="H141" s="3" t="s">
        <v>3003</v>
      </c>
      <c r="I141" s="42" t="s">
        <v>3163</v>
      </c>
      <c r="J141" s="7">
        <f>IFERROR(LOOKUP(2,1/('Outreach Log'!$E$2:$E$9998=B141),'Outreach Log'!$B$2:$B$9998),"")</f>
        <v>46104</v>
      </c>
      <c r="K141" s="5">
        <f>COUNTIF('Outreach Log'!$E:$E,B141)</f>
        <v>1</v>
      </c>
    </row>
    <row r="142" spans="1:11">
      <c r="A142" s="9">
        <f>IF(tblCompanies[[#This Row],[Company Name]]&lt;&gt;0,ROW()-1,"")</f>
        <v>141</v>
      </c>
      <c r="B142" s="10" t="s">
        <v>2370</v>
      </c>
      <c r="C142" s="10" t="s">
        <v>3</v>
      </c>
      <c r="D142" s="10" t="s">
        <v>2171</v>
      </c>
      <c r="E142" s="10" t="s">
        <v>578</v>
      </c>
      <c r="F142" s="10" t="s">
        <v>2824</v>
      </c>
      <c r="G142" s="10" t="s">
        <v>50</v>
      </c>
      <c r="H142" s="10"/>
      <c r="I142" s="10" t="s">
        <v>2555</v>
      </c>
      <c r="J142" s="7" t="str">
        <f>IFERROR(LOOKUP(2,1/('Outreach Log'!$E$2:$E$9998=B142),'Outreach Log'!$B$2:$B$9998),"")</f>
        <v/>
      </c>
      <c r="K142" s="5">
        <f>COUNTIF('Outreach Log'!$E:$E,B142)</f>
        <v>0</v>
      </c>
    </row>
    <row r="143" spans="1:11">
      <c r="A143" s="9">
        <f>IF(tblCompanies[[#This Row],[Company Name]]&lt;&gt;0,ROW()-1,"")</f>
        <v>142</v>
      </c>
      <c r="B143" s="10" t="s">
        <v>2161</v>
      </c>
      <c r="C143" s="10"/>
      <c r="D143" s="10" t="s">
        <v>14</v>
      </c>
      <c r="E143" s="10" t="s">
        <v>140</v>
      </c>
      <c r="F143" s="10" t="s">
        <v>2824</v>
      </c>
      <c r="G143" s="10"/>
      <c r="H143" s="10" t="s">
        <v>100</v>
      </c>
      <c r="I143" s="10" t="s">
        <v>2471</v>
      </c>
      <c r="J143" s="7">
        <f>IFERROR(LOOKUP(2,1/('Outreach Log'!$E$2:$E$9998=B143),'Outreach Log'!$B$2:$B$9998),"")</f>
        <v>46093</v>
      </c>
      <c r="K143" s="5">
        <f>COUNTIF('Outreach Log'!$E:$E,B143)</f>
        <v>1</v>
      </c>
    </row>
    <row r="144" spans="1:11">
      <c r="A144" s="9">
        <f>IF(tblCompanies[[#This Row],[Company Name]]&lt;&gt;0,ROW()-1,"")</f>
        <v>143</v>
      </c>
      <c r="B144" s="10" t="s">
        <v>298</v>
      </c>
      <c r="C144" s="10" t="s">
        <v>2</v>
      </c>
      <c r="D144" s="10" t="s">
        <v>2171</v>
      </c>
      <c r="E144" s="10" t="s">
        <v>299</v>
      </c>
      <c r="F144" s="10" t="s">
        <v>2824</v>
      </c>
      <c r="G144" s="10" t="s">
        <v>2664</v>
      </c>
      <c r="H144" s="10" t="s">
        <v>37</v>
      </c>
      <c r="I144" s="10" t="s">
        <v>2673</v>
      </c>
      <c r="J144" s="7">
        <f>IFERROR(LOOKUP(2,1/('Outreach Log'!$E$2:$E$9998=B144),'Outreach Log'!$B$2:$B$9998),"")</f>
        <v>46104</v>
      </c>
      <c r="K144" s="5">
        <f>COUNTIF('Outreach Log'!$E:$E,B144)</f>
        <v>2</v>
      </c>
    </row>
    <row r="145" spans="1:11">
      <c r="A145" s="9">
        <f>IF(tblCompanies[[#This Row],[Company Name]]&lt;&gt;0,ROW()-1,"")</f>
        <v>144</v>
      </c>
      <c r="B145" s="10" t="s">
        <v>2203</v>
      </c>
      <c r="C145" s="10" t="s">
        <v>4</v>
      </c>
      <c r="D145" s="10" t="s">
        <v>2171</v>
      </c>
      <c r="E145" s="10" t="s">
        <v>113</v>
      </c>
      <c r="F145" s="10" t="s">
        <v>2824</v>
      </c>
      <c r="G145" s="10" t="s">
        <v>2645</v>
      </c>
      <c r="H145" s="10"/>
      <c r="I145" s="10" t="s">
        <v>114</v>
      </c>
      <c r="J145" s="7">
        <f>IFERROR(LOOKUP(2,1/('Outreach Log'!$E$2:$E$9998=B145),'Outreach Log'!$B$2:$B$9998),"")</f>
        <v>46104</v>
      </c>
      <c r="K145" s="5">
        <f>COUNTIF('Outreach Log'!$E:$E,B145)</f>
        <v>1</v>
      </c>
    </row>
    <row r="146" spans="1:11">
      <c r="A146" s="43">
        <f>IF(tblCompanies[[#This Row],[Company Name]]&lt;&gt;0,ROW()-1,"")</f>
        <v>145</v>
      </c>
      <c r="B146" s="3" t="s">
        <v>3187</v>
      </c>
      <c r="D146" s="44" t="s">
        <v>3000</v>
      </c>
      <c r="E146" s="45" t="s">
        <v>3188</v>
      </c>
      <c r="F146" s="10" t="s">
        <v>2824</v>
      </c>
      <c r="G146" s="39"/>
      <c r="H146" s="3" t="s">
        <v>3003</v>
      </c>
      <c r="I146" s="42" t="s">
        <v>3189</v>
      </c>
      <c r="J146" s="7">
        <f>IFERROR(LOOKUP(2,1/('Outreach Log'!$E$2:$E$9998=B146),'Outreach Log'!$B$2:$B$9998),"")</f>
        <v>46104</v>
      </c>
      <c r="K146" s="5">
        <f>COUNTIF('Outreach Log'!$E:$E,B146)</f>
        <v>1</v>
      </c>
    </row>
    <row r="147" spans="1:11">
      <c r="A147" s="9">
        <f>IF(tblCompanies[[#This Row],[Company Name]]&lt;&gt;0,ROW()-1,"")</f>
        <v>146</v>
      </c>
      <c r="B147" s="10" t="s">
        <v>618</v>
      </c>
      <c r="C147" s="10"/>
      <c r="D147" s="10" t="s">
        <v>13</v>
      </c>
      <c r="E147" s="10"/>
      <c r="F147" s="10" t="s">
        <v>2824</v>
      </c>
      <c r="G147" s="10"/>
      <c r="H147" s="10"/>
      <c r="I147" s="10" t="s">
        <v>30</v>
      </c>
      <c r="J147" s="7" t="str">
        <f>IFERROR(LOOKUP(2,1/('Outreach Log'!$E$2:$E$9998=B147),'Outreach Log'!$B$2:$B$9998),"")</f>
        <v/>
      </c>
      <c r="K147" s="5">
        <f>COUNTIF('Outreach Log'!$E:$E,B147)</f>
        <v>0</v>
      </c>
    </row>
    <row r="148" spans="1:11">
      <c r="A148" s="9">
        <f>IF(tblCompanies[[#This Row],[Company Name]]&lt;&gt;0,ROW()-1,"")</f>
        <v>147</v>
      </c>
      <c r="B148" s="10" t="s">
        <v>2306</v>
      </c>
      <c r="C148" s="10" t="s">
        <v>3</v>
      </c>
      <c r="D148" s="10" t="s">
        <v>2171</v>
      </c>
      <c r="E148" s="10" t="s">
        <v>425</v>
      </c>
      <c r="F148" s="10" t="s">
        <v>2824</v>
      </c>
      <c r="G148" s="10" t="s">
        <v>2777</v>
      </c>
      <c r="H148" s="10"/>
      <c r="I148" s="10" t="s">
        <v>2785</v>
      </c>
      <c r="J148" s="7">
        <f>IFERROR(LOOKUP(2,1/('Outreach Log'!$E$2:$E$9998=B148),'Outreach Log'!$B$2:$B$9998),"")</f>
        <v>46126</v>
      </c>
      <c r="K148" s="5">
        <f>COUNTIF('Outreach Log'!$E:$E,B148)</f>
        <v>1</v>
      </c>
    </row>
    <row r="149" spans="1:11">
      <c r="A149" s="9">
        <f>IF(tblCompanies[[#This Row],[Company Name]]&lt;&gt;0,ROW()-1,"")</f>
        <v>148</v>
      </c>
      <c r="B149" s="10" t="s">
        <v>434</v>
      </c>
      <c r="C149" s="10" t="s">
        <v>3</v>
      </c>
      <c r="D149" s="10" t="s">
        <v>2171</v>
      </c>
      <c r="E149" s="10" t="s">
        <v>435</v>
      </c>
      <c r="F149" s="10" t="s">
        <v>2824</v>
      </c>
      <c r="G149" s="10" t="s">
        <v>2618</v>
      </c>
      <c r="H149" s="10"/>
      <c r="I149" s="10" t="s">
        <v>2630</v>
      </c>
      <c r="J149" s="7">
        <f>IFERROR(LOOKUP(2,1/('Outreach Log'!$E$2:$E$9998=B149),'Outreach Log'!$B$2:$B$9998),"")</f>
        <v>46126</v>
      </c>
      <c r="K149" s="5">
        <f>COUNTIF('Outreach Log'!$E:$E,B149)</f>
        <v>1</v>
      </c>
    </row>
    <row r="150" spans="1:11">
      <c r="A150" s="9">
        <f>IF(tblCompanies[[#This Row],[Company Name]]&lt;&gt;0,ROW()-1,"")</f>
        <v>149</v>
      </c>
      <c r="B150" s="10" t="s">
        <v>662</v>
      </c>
      <c r="C150" s="10"/>
      <c r="D150" s="10" t="s">
        <v>13</v>
      </c>
      <c r="E150" s="10"/>
      <c r="F150" s="10" t="s">
        <v>2824</v>
      </c>
      <c r="G150" s="10"/>
      <c r="H150" s="10"/>
      <c r="I150" s="10" t="s">
        <v>2505</v>
      </c>
      <c r="J150" s="7" t="str">
        <f>IFERROR(LOOKUP(2,1/('Outreach Log'!$E$2:$E$9998=B150),'Outreach Log'!$B$2:$B$9998),"")</f>
        <v/>
      </c>
      <c r="K150" s="5">
        <f>COUNTIF('Outreach Log'!$E:$E,B150)</f>
        <v>0</v>
      </c>
    </row>
    <row r="151" spans="1:11">
      <c r="A151" s="9">
        <f>IF(tblCompanies[[#This Row],[Company Name]]&lt;&gt;0,ROW()-1,"")</f>
        <v>150</v>
      </c>
      <c r="B151" s="10" t="s">
        <v>678</v>
      </c>
      <c r="C151" s="10" t="s">
        <v>3</v>
      </c>
      <c r="D151" s="10" t="s">
        <v>2171</v>
      </c>
      <c r="E151" s="10" t="s">
        <v>679</v>
      </c>
      <c r="F151" s="10" t="s">
        <v>2824</v>
      </c>
      <c r="G151" s="10" t="s">
        <v>46</v>
      </c>
      <c r="H151" s="10"/>
      <c r="I151" s="10" t="s">
        <v>2529</v>
      </c>
      <c r="J151" s="7">
        <f>IFERROR(LOOKUP(2,1/('Outreach Log'!$E$2:$E$9998=B151),'Outreach Log'!$B$2:$B$9998),"")</f>
        <v>46126</v>
      </c>
      <c r="K151" s="5">
        <f>COUNTIF('Outreach Log'!$E:$E,B151)</f>
        <v>1</v>
      </c>
    </row>
    <row r="152" spans="1:11">
      <c r="A152" s="9">
        <f>IF(tblCompanies[[#This Row],[Company Name]]&lt;&gt;0,ROW()-1,"")</f>
        <v>151</v>
      </c>
      <c r="B152" s="10" t="s">
        <v>443</v>
      </c>
      <c r="C152" s="10" t="s">
        <v>4</v>
      </c>
      <c r="D152" s="10" t="s">
        <v>2171</v>
      </c>
      <c r="E152" s="10" t="s">
        <v>444</v>
      </c>
      <c r="F152" s="10" t="s">
        <v>2824</v>
      </c>
      <c r="G152" s="10" t="s">
        <v>2664</v>
      </c>
      <c r="H152" s="10"/>
      <c r="I152" s="10" t="s">
        <v>2680</v>
      </c>
      <c r="J152" s="7">
        <f>IFERROR(LOOKUP(2,1/('Outreach Log'!$E$2:$E$9998=B152),'Outreach Log'!$B$2:$B$9998),"")</f>
        <v>46126</v>
      </c>
      <c r="K152" s="5">
        <f>COUNTIF('Outreach Log'!$E:$E,B152)</f>
        <v>1</v>
      </c>
    </row>
    <row r="153" spans="1:11">
      <c r="A153" s="9">
        <f>IF(tblCompanies[[#This Row],[Company Name]]&lt;&gt;0,ROW()-1,"")</f>
        <v>152</v>
      </c>
      <c r="B153" s="10" t="s">
        <v>96</v>
      </c>
      <c r="C153" s="10" t="s">
        <v>5</v>
      </c>
      <c r="D153" s="10" t="s">
        <v>2171</v>
      </c>
      <c r="E153" s="10" t="s">
        <v>97</v>
      </c>
      <c r="F153" s="10" t="s">
        <v>2824</v>
      </c>
      <c r="G153" s="10" t="s">
        <v>2712</v>
      </c>
      <c r="H153" s="10"/>
      <c r="I153" s="10" t="s">
        <v>2715</v>
      </c>
      <c r="J153" s="7">
        <f>IFERROR(LOOKUP(2,1/('Outreach Log'!$E$2:$E$9998=B153),'Outreach Log'!$B$2:$B$9998),"")</f>
        <v>46126</v>
      </c>
      <c r="K153" s="5">
        <f>COUNTIF('Outreach Log'!$E:$E,B153)</f>
        <v>1</v>
      </c>
    </row>
    <row r="154" spans="1:11">
      <c r="A154" s="9">
        <f>IF(tblCompanies[[#This Row],[Company Name]]&lt;&gt;0,ROW()-1,"")</f>
        <v>153</v>
      </c>
      <c r="B154" s="10" t="s">
        <v>551</v>
      </c>
      <c r="C154" s="10"/>
      <c r="D154" s="10" t="s">
        <v>13</v>
      </c>
      <c r="E154" s="10" t="s">
        <v>552</v>
      </c>
      <c r="F154" s="10" t="s">
        <v>2824</v>
      </c>
      <c r="G154" s="10"/>
      <c r="H154" s="10"/>
      <c r="I154" s="10" t="s">
        <v>30</v>
      </c>
      <c r="J154" s="7" t="str">
        <f>IFERROR(LOOKUP(2,1/('Outreach Log'!$E$2:$E$9998=B154),'Outreach Log'!$B$2:$B$9998),"")</f>
        <v/>
      </c>
      <c r="K154" s="5">
        <f>COUNTIF('Outreach Log'!$E:$E,B154)</f>
        <v>0</v>
      </c>
    </row>
    <row r="155" spans="1:11">
      <c r="A155" s="9">
        <f>IF(tblCompanies[[#This Row],[Company Name]]&lt;&gt;0,ROW()-1,"")</f>
        <v>154</v>
      </c>
      <c r="B155" s="10" t="s">
        <v>395</v>
      </c>
      <c r="C155" s="10"/>
      <c r="D155" s="10" t="s">
        <v>13</v>
      </c>
      <c r="E155" s="10"/>
      <c r="F155" s="10" t="s">
        <v>2824</v>
      </c>
      <c r="G155" s="10"/>
      <c r="H155" s="10"/>
      <c r="I155" s="10" t="s">
        <v>30</v>
      </c>
      <c r="J155" s="7" t="str">
        <f>IFERROR(LOOKUP(2,1/('Outreach Log'!$E$2:$E$9998=B155),'Outreach Log'!$B$2:$B$9998),"")</f>
        <v/>
      </c>
      <c r="K155" s="5">
        <f>COUNTIF('Outreach Log'!$E:$E,B155)</f>
        <v>0</v>
      </c>
    </row>
    <row r="156" spans="1:11">
      <c r="A156" s="9">
        <f>IF(tblCompanies[[#This Row],[Company Name]]&lt;&gt;0,ROW()-1,"")</f>
        <v>155</v>
      </c>
      <c r="B156" s="10" t="s">
        <v>270</v>
      </c>
      <c r="C156" s="10" t="s">
        <v>1</v>
      </c>
      <c r="D156" s="10" t="s">
        <v>2171</v>
      </c>
      <c r="E156" s="10" t="s">
        <v>271</v>
      </c>
      <c r="F156" s="10" t="s">
        <v>2824</v>
      </c>
      <c r="G156" s="10" t="s">
        <v>2573</v>
      </c>
      <c r="H156" s="10"/>
      <c r="I156" s="10" t="s">
        <v>2584</v>
      </c>
      <c r="J156" s="7" t="str">
        <f>IFERROR(LOOKUP(2,1/('Outreach Log'!$E$2:$E$9998=B156),'Outreach Log'!$B$2:$B$9998),"")</f>
        <v/>
      </c>
      <c r="K156" s="5">
        <f>COUNTIF('Outreach Log'!$E:$E,B156)</f>
        <v>0</v>
      </c>
    </row>
    <row r="157" spans="1:11">
      <c r="A157" s="43">
        <f>IF(tblCompanies[[#This Row],[Company Name]]&lt;&gt;0,ROW()-1,"")</f>
        <v>156</v>
      </c>
      <c r="B157" s="3" t="s">
        <v>3005</v>
      </c>
      <c r="D157" s="44" t="s">
        <v>3000</v>
      </c>
      <c r="E157" s="45" t="s">
        <v>3006</v>
      </c>
      <c r="F157" s="10" t="s">
        <v>2824</v>
      </c>
      <c r="G157" s="39"/>
      <c r="H157" s="3" t="s">
        <v>143</v>
      </c>
      <c r="I157" s="42" t="s">
        <v>3007</v>
      </c>
      <c r="J157" s="7" t="str">
        <f>IFERROR(LOOKUP(2,1/('Outreach Log'!$E$2:$E$9998=B157),'Outreach Log'!$B$2:$B$9998),"")</f>
        <v/>
      </c>
      <c r="K157" s="5">
        <f>COUNTIF('Outreach Log'!$E:$E,B157)</f>
        <v>0</v>
      </c>
    </row>
    <row r="158" spans="1:11">
      <c r="A158" s="9">
        <f>IF(tblCompanies[[#This Row],[Company Name]]&lt;&gt;0,ROW()-1,"")</f>
        <v>157</v>
      </c>
      <c r="B158" s="10" t="s">
        <v>288</v>
      </c>
      <c r="C158" s="10" t="s">
        <v>1</v>
      </c>
      <c r="D158" s="10" t="s">
        <v>2171</v>
      </c>
      <c r="E158" s="10" t="s">
        <v>289</v>
      </c>
      <c r="F158" s="10" t="s">
        <v>2824</v>
      </c>
      <c r="G158" s="10" t="s">
        <v>2573</v>
      </c>
      <c r="H158" s="10"/>
      <c r="I158" s="10" t="s">
        <v>2586</v>
      </c>
      <c r="J158" s="7" t="str">
        <f>IFERROR(LOOKUP(2,1/('Outreach Log'!$E$2:$E$9998=B158),'Outreach Log'!$B$2:$B$9998),"")</f>
        <v/>
      </c>
      <c r="K158" s="5">
        <f>COUNTIF('Outreach Log'!$E:$E,B158)</f>
        <v>0</v>
      </c>
    </row>
    <row r="159" spans="1:11">
      <c r="A159" s="9">
        <f>IF(tblCompanies[[#This Row],[Company Name]]&lt;&gt;0,ROW()-1,"")</f>
        <v>158</v>
      </c>
      <c r="B159" s="10" t="s">
        <v>210</v>
      </c>
      <c r="C159" s="10" t="s">
        <v>5</v>
      </c>
      <c r="D159" s="10" t="s">
        <v>2171</v>
      </c>
      <c r="E159" s="10" t="s">
        <v>211</v>
      </c>
      <c r="F159" s="10" t="s">
        <v>2824</v>
      </c>
      <c r="G159" s="10" t="s">
        <v>2712</v>
      </c>
      <c r="H159" s="10"/>
      <c r="I159" s="10" t="s">
        <v>2720</v>
      </c>
      <c r="J159" s="7" t="str">
        <f>IFERROR(LOOKUP(2,1/('Outreach Log'!$E$2:$E$9998=B159),'Outreach Log'!$B$2:$B$9998),"")</f>
        <v/>
      </c>
      <c r="K159" s="5">
        <f>COUNTIF('Outreach Log'!$E:$E,B159)</f>
        <v>0</v>
      </c>
    </row>
    <row r="160" spans="1:11">
      <c r="A160" s="9">
        <f>IF(tblCompanies[[#This Row],[Company Name]]&lt;&gt;0,ROW()-1,"")</f>
        <v>159</v>
      </c>
      <c r="B160" s="10" t="s">
        <v>161</v>
      </c>
      <c r="C160" s="10" t="s">
        <v>1</v>
      </c>
      <c r="D160" s="10" t="s">
        <v>2171</v>
      </c>
      <c r="E160" s="10" t="s">
        <v>162</v>
      </c>
      <c r="F160" s="10" t="s">
        <v>2824</v>
      </c>
      <c r="G160" s="10" t="s">
        <v>2647</v>
      </c>
      <c r="H160" s="10"/>
      <c r="I160" s="10" t="s">
        <v>163</v>
      </c>
      <c r="J160" s="7" t="str">
        <f>IFERROR(LOOKUP(2,1/('Outreach Log'!$E$2:$E$9998=B160),'Outreach Log'!$B$2:$B$9998),"")</f>
        <v/>
      </c>
      <c r="K160" s="5">
        <f>COUNTIF('Outreach Log'!$E:$E,B160)</f>
        <v>0</v>
      </c>
    </row>
    <row r="161" spans="1:11">
      <c r="A161" s="9">
        <f>IF(tblCompanies[[#This Row],[Company Name]]&lt;&gt;0,ROW()-1,"")</f>
        <v>160</v>
      </c>
      <c r="B161" s="10" t="s">
        <v>246</v>
      </c>
      <c r="C161" s="10" t="s">
        <v>1</v>
      </c>
      <c r="D161" s="10" t="s">
        <v>2171</v>
      </c>
      <c r="E161" s="10" t="s">
        <v>247</v>
      </c>
      <c r="F161" s="10" t="s">
        <v>2824</v>
      </c>
      <c r="G161" s="10" t="s">
        <v>248</v>
      </c>
      <c r="H161" s="10"/>
      <c r="I161" s="10" t="s">
        <v>2537</v>
      </c>
      <c r="J161" s="7">
        <f>IFERROR(LOOKUP(2,1/('Outreach Log'!$E$2:$E$9998=B161),'Outreach Log'!$B$2:$B$9998),"")</f>
        <v>46126</v>
      </c>
      <c r="K161" s="5">
        <f>COUNTIF('Outreach Log'!$E:$E,B161)</f>
        <v>1</v>
      </c>
    </row>
    <row r="162" spans="1:11">
      <c r="A162" s="9">
        <f>IF(tblCompanies[[#This Row],[Company Name]]&lt;&gt;0,ROW()-1,"")</f>
        <v>161</v>
      </c>
      <c r="B162" s="10" t="s">
        <v>492</v>
      </c>
      <c r="C162" s="10"/>
      <c r="D162" s="10" t="s">
        <v>13</v>
      </c>
      <c r="E162" s="10" t="s">
        <v>493</v>
      </c>
      <c r="F162" s="10" t="s">
        <v>2824</v>
      </c>
      <c r="G162" s="10"/>
      <c r="H162" s="10"/>
      <c r="I162" s="10" t="s">
        <v>30</v>
      </c>
      <c r="J162" s="7" t="str">
        <f>IFERROR(LOOKUP(2,1/('Outreach Log'!$E$2:$E$9998=B162),'Outreach Log'!$B$2:$B$9998),"")</f>
        <v/>
      </c>
      <c r="K162" s="5">
        <f>COUNTIF('Outreach Log'!$E:$E,B162)</f>
        <v>0</v>
      </c>
    </row>
    <row r="163" spans="1:11">
      <c r="A163" s="9">
        <f>IF(tblCompanies[[#This Row],[Company Name]]&lt;&gt;0,ROW()-1,"")</f>
        <v>162</v>
      </c>
      <c r="B163" s="10" t="s">
        <v>388</v>
      </c>
      <c r="C163" s="10" t="s">
        <v>5</v>
      </c>
      <c r="D163" s="10" t="s">
        <v>2171</v>
      </c>
      <c r="E163" s="10" t="s">
        <v>389</v>
      </c>
      <c r="F163" s="10" t="s">
        <v>2824</v>
      </c>
      <c r="G163" s="10" t="s">
        <v>2712</v>
      </c>
      <c r="H163" s="10"/>
      <c r="I163" s="10" t="s">
        <v>2725</v>
      </c>
      <c r="J163" s="7">
        <f>IFERROR(LOOKUP(2,1/('Outreach Log'!$E$2:$E$9998=B163),'Outreach Log'!$B$2:$B$9998),"")</f>
        <v>46126</v>
      </c>
      <c r="K163" s="5">
        <f>COUNTIF('Outreach Log'!$E:$E,B163)</f>
        <v>1</v>
      </c>
    </row>
    <row r="164" spans="1:11">
      <c r="A164" s="9">
        <f>IF(tblCompanies[[#This Row],[Company Name]]&lt;&gt;0,ROW()-1,"")</f>
        <v>163</v>
      </c>
      <c r="B164" s="10" t="s">
        <v>396</v>
      </c>
      <c r="C164" s="10"/>
      <c r="D164" s="10" t="s">
        <v>13</v>
      </c>
      <c r="E164" s="10" t="s">
        <v>397</v>
      </c>
      <c r="F164" s="10" t="s">
        <v>2824</v>
      </c>
      <c r="G164" s="10"/>
      <c r="H164" s="10"/>
      <c r="I164" s="10" t="s">
        <v>2492</v>
      </c>
      <c r="J164" s="7" t="str">
        <f>IFERROR(LOOKUP(2,1/('Outreach Log'!$E$2:$E$9998=B164),'Outreach Log'!$B$2:$B$9998),"")</f>
        <v/>
      </c>
      <c r="K164" s="5">
        <f>COUNTIF('Outreach Log'!$E:$E,B164)</f>
        <v>0</v>
      </c>
    </row>
    <row r="165" spans="1:11">
      <c r="A165" s="9">
        <f>IF(tblCompanies[[#This Row],[Company Name]]&lt;&gt;0,ROW()-1,"")</f>
        <v>164</v>
      </c>
      <c r="B165" s="10" t="s">
        <v>633</v>
      </c>
      <c r="C165" s="10"/>
      <c r="D165" s="10" t="s">
        <v>13</v>
      </c>
      <c r="E165" s="10" t="s">
        <v>634</v>
      </c>
      <c r="F165" s="10" t="s">
        <v>2824</v>
      </c>
      <c r="G165" s="10"/>
      <c r="H165" s="10"/>
      <c r="I165" s="10" t="s">
        <v>635</v>
      </c>
      <c r="J165" s="7" t="str">
        <f>IFERROR(LOOKUP(2,1/('Outreach Log'!$E$2:$E$9998=B165),'Outreach Log'!$B$2:$B$9998),"")</f>
        <v/>
      </c>
      <c r="K165" s="5">
        <f>COUNTIF('Outreach Log'!$E:$E,B165)</f>
        <v>0</v>
      </c>
    </row>
    <row r="166" spans="1:11">
      <c r="A166" s="9">
        <f>IF(tblCompanies[[#This Row],[Company Name]]&lt;&gt;0,ROW()-1,"")</f>
        <v>165</v>
      </c>
      <c r="B166" s="10" t="s">
        <v>214</v>
      </c>
      <c r="C166" s="10"/>
      <c r="D166" s="10" t="s">
        <v>13</v>
      </c>
      <c r="E166" s="10" t="s">
        <v>215</v>
      </c>
      <c r="F166" s="10" t="s">
        <v>2824</v>
      </c>
      <c r="G166" s="10"/>
      <c r="H166" s="10"/>
      <c r="I166" s="10" t="s">
        <v>2476</v>
      </c>
      <c r="J166" s="7">
        <f>IFERROR(LOOKUP(2,1/('Outreach Log'!$E$2:$E$9998=B166),'Outreach Log'!$B$2:$B$9998),"")</f>
        <v>46126</v>
      </c>
      <c r="K166" s="5">
        <f>COUNTIF('Outreach Log'!$E:$E,B166)</f>
        <v>1</v>
      </c>
    </row>
    <row r="167" spans="1:11">
      <c r="A167" s="9">
        <f>IF(tblCompanies[[#This Row],[Company Name]]&lt;&gt;0,ROW()-1,"")</f>
        <v>166</v>
      </c>
      <c r="B167" s="10" t="s">
        <v>525</v>
      </c>
      <c r="C167" s="10" t="s">
        <v>5</v>
      </c>
      <c r="D167" s="10" t="s">
        <v>2171</v>
      </c>
      <c r="E167" s="10" t="s">
        <v>526</v>
      </c>
      <c r="F167" s="10" t="s">
        <v>2824</v>
      </c>
      <c r="G167" s="10" t="s">
        <v>2712</v>
      </c>
      <c r="H167" s="10"/>
      <c r="I167" s="10" t="s">
        <v>2728</v>
      </c>
      <c r="J167" s="7">
        <f>IFERROR(LOOKUP(2,1/('Outreach Log'!$E$2:$E$9998=B167),'Outreach Log'!$B$2:$B$9998),"")</f>
        <v>46126</v>
      </c>
      <c r="K167" s="5">
        <f>COUNTIF('Outreach Log'!$E:$E,B167)</f>
        <v>1</v>
      </c>
    </row>
    <row r="168" spans="1:11">
      <c r="A168" s="9">
        <f>IF(tblCompanies[[#This Row],[Company Name]]&lt;&gt;0,ROW()-1,"")</f>
        <v>167</v>
      </c>
      <c r="B168" s="10" t="s">
        <v>604</v>
      </c>
      <c r="C168" s="10" t="s">
        <v>1</v>
      </c>
      <c r="D168" s="10" t="s">
        <v>2171</v>
      </c>
      <c r="E168" s="10" t="s">
        <v>605</v>
      </c>
      <c r="F168" s="10" t="s">
        <v>2824</v>
      </c>
      <c r="G168" s="10" t="s">
        <v>2650</v>
      </c>
      <c r="H168" s="10"/>
      <c r="I168" s="10" t="s">
        <v>2658</v>
      </c>
      <c r="J168" s="7">
        <f>IFERROR(LOOKUP(2,1/('Outreach Log'!$E$2:$E$9998=B168),'Outreach Log'!$B$2:$B$9998),"")</f>
        <v>46126</v>
      </c>
      <c r="K168" s="5">
        <f>COUNTIF('Outreach Log'!$E:$E,B168)</f>
        <v>1</v>
      </c>
    </row>
    <row r="169" spans="1:11">
      <c r="A169" s="9">
        <f>IF(tblCompanies[[#This Row],[Company Name]]&lt;&gt;0,ROW()-1,"")</f>
        <v>168</v>
      </c>
      <c r="B169" s="10" t="s">
        <v>371</v>
      </c>
      <c r="C169" s="10"/>
      <c r="D169" s="10" t="s">
        <v>13</v>
      </c>
      <c r="E169" s="10" t="s">
        <v>372</v>
      </c>
      <c r="F169" s="10" t="s">
        <v>2824</v>
      </c>
      <c r="G169" s="10"/>
      <c r="H169" s="10"/>
      <c r="I169" s="10" t="s">
        <v>2802</v>
      </c>
      <c r="J169" s="7">
        <f>IFERROR(LOOKUP(2,1/('Outreach Log'!$E$2:$E$9998=B169),'Outreach Log'!$B$2:$B$9998),"")</f>
        <v>46126</v>
      </c>
      <c r="K169" s="5">
        <f>COUNTIF('Outreach Log'!$E:$E,B169)</f>
        <v>1</v>
      </c>
    </row>
    <row r="170" spans="1:11">
      <c r="A170" s="9">
        <f>IF(tblCompanies[[#This Row],[Company Name]]&lt;&gt;0,ROW()-1,"")</f>
        <v>169</v>
      </c>
      <c r="B170" s="10" t="s">
        <v>48</v>
      </c>
      <c r="C170" s="10" t="s">
        <v>3</v>
      </c>
      <c r="D170" s="10" t="s">
        <v>2171</v>
      </c>
      <c r="E170" s="10" t="s">
        <v>49</v>
      </c>
      <c r="F170" s="10" t="s">
        <v>2824</v>
      </c>
      <c r="G170" s="10" t="s">
        <v>50</v>
      </c>
      <c r="H170" s="10"/>
      <c r="I170" s="10" t="s">
        <v>2549</v>
      </c>
      <c r="J170" s="7">
        <f>IFERROR(LOOKUP(2,1/('Outreach Log'!$E$2:$E$9998=B170),'Outreach Log'!$B$2:$B$9998),"")</f>
        <v>46126</v>
      </c>
      <c r="K170" s="5">
        <f>COUNTIF('Outreach Log'!$E:$E,B170)</f>
        <v>1</v>
      </c>
    </row>
    <row r="171" spans="1:11">
      <c r="A171" s="43">
        <f>IF(tblCompanies[[#This Row],[Company Name]]&lt;&gt;0,ROW()-1,"")</f>
        <v>170</v>
      </c>
      <c r="B171" s="3" t="s">
        <v>3011</v>
      </c>
      <c r="D171" s="44" t="s">
        <v>3000</v>
      </c>
      <c r="E171" s="45" t="s">
        <v>3012</v>
      </c>
      <c r="F171" s="10" t="s">
        <v>2824</v>
      </c>
      <c r="G171" s="39"/>
      <c r="H171" s="3" t="s">
        <v>143</v>
      </c>
      <c r="I171" s="42" t="s">
        <v>3013</v>
      </c>
      <c r="J171" s="7">
        <f>IFERROR(LOOKUP(2,1/('Outreach Log'!$E$2:$E$9998=B171),'Outreach Log'!$B$2:$B$9998),"")</f>
        <v>46126</v>
      </c>
      <c r="K171" s="5">
        <f>COUNTIF('Outreach Log'!$E:$E,B171)</f>
        <v>1</v>
      </c>
    </row>
    <row r="172" spans="1:11">
      <c r="A172" s="9">
        <f>IF(tblCompanies[[#This Row],[Company Name]]&lt;&gt;0,ROW()-1,"")</f>
        <v>171</v>
      </c>
      <c r="B172" s="10" t="s">
        <v>230</v>
      </c>
      <c r="C172" s="10" t="s">
        <v>3</v>
      </c>
      <c r="D172" s="10" t="s">
        <v>13</v>
      </c>
      <c r="E172" s="10" t="s">
        <v>231</v>
      </c>
      <c r="F172" s="10" t="s">
        <v>2824</v>
      </c>
      <c r="G172" s="10" t="s">
        <v>2618</v>
      </c>
      <c r="H172" s="10"/>
      <c r="I172" s="10" t="s">
        <v>232</v>
      </c>
      <c r="J172" s="7">
        <f>IFERROR(LOOKUP(2,1/('Outreach Log'!$E$2:$E$9998=B172),'Outreach Log'!$B$2:$B$9998),"")</f>
        <v>46126</v>
      </c>
      <c r="K172" s="5">
        <f>COUNTIF('Outreach Log'!$E:$E,B172)</f>
        <v>1</v>
      </c>
    </row>
    <row r="173" spans="1:11">
      <c r="A173" s="9">
        <f>IF(tblCompanies[[#This Row],[Company Name]]&lt;&gt;0,ROW()-1,"")</f>
        <v>172</v>
      </c>
      <c r="B173" s="10" t="s">
        <v>612</v>
      </c>
      <c r="C173" s="10"/>
      <c r="D173" s="10" t="s">
        <v>13</v>
      </c>
      <c r="E173" s="10" t="s">
        <v>613</v>
      </c>
      <c r="F173" s="10" t="s">
        <v>2824</v>
      </c>
      <c r="G173" s="10"/>
      <c r="H173" s="10"/>
      <c r="I173" s="10" t="s">
        <v>614</v>
      </c>
      <c r="J173" s="7" t="str">
        <f>IFERROR(LOOKUP(2,1/('Outreach Log'!$E$2:$E$9998=B173),'Outreach Log'!$B$2:$B$9998),"")</f>
        <v/>
      </c>
      <c r="K173" s="5">
        <f>COUNTIF('Outreach Log'!$E:$E,B173)</f>
        <v>0</v>
      </c>
    </row>
    <row r="174" spans="1:11">
      <c r="A174" s="9">
        <f>IF(tblCompanies[[#This Row],[Company Name]]&lt;&gt;0,ROW()-1,"")</f>
        <v>173</v>
      </c>
      <c r="B174" s="10" t="s">
        <v>249</v>
      </c>
      <c r="C174" s="10"/>
      <c r="D174" s="10" t="s">
        <v>13</v>
      </c>
      <c r="E174" s="10" t="s">
        <v>250</v>
      </c>
      <c r="F174" s="10" t="s">
        <v>2824</v>
      </c>
      <c r="G174" s="10"/>
      <c r="H174" s="10"/>
      <c r="I174" s="10" t="s">
        <v>2478</v>
      </c>
      <c r="J174" s="7">
        <f>IFERROR(LOOKUP(2,1/('Outreach Log'!$E$2:$E$9998=B174),'Outreach Log'!$B$2:$B$9998),"")</f>
        <v>46126</v>
      </c>
      <c r="K174" s="5">
        <f>COUNTIF('Outreach Log'!$E:$E,B174)</f>
        <v>3</v>
      </c>
    </row>
    <row r="175" spans="1:11">
      <c r="A175" s="9">
        <f>IF(tblCompanies[[#This Row],[Company Name]]&lt;&gt;0,ROW()-1,"")</f>
        <v>174</v>
      </c>
      <c r="B175" s="10" t="s">
        <v>44</v>
      </c>
      <c r="C175" s="10" t="s">
        <v>3</v>
      </c>
      <c r="D175" s="10" t="s">
        <v>13</v>
      </c>
      <c r="E175" s="10" t="s">
        <v>45</v>
      </c>
      <c r="F175" s="10" t="s">
        <v>2824</v>
      </c>
      <c r="G175" s="10" t="s">
        <v>46</v>
      </c>
      <c r="H175" s="10"/>
      <c r="I175" s="10" t="s">
        <v>2507</v>
      </c>
      <c r="J175" s="7" t="str">
        <f>IFERROR(LOOKUP(2,1/('Outreach Log'!$E$2:$E$9998=B175),'Outreach Log'!$B$2:$B$9998),"")</f>
        <v/>
      </c>
      <c r="K175" s="5">
        <f>COUNTIF('Outreach Log'!$E:$E,B175)</f>
        <v>0</v>
      </c>
    </row>
    <row r="176" spans="1:11">
      <c r="A176" s="9">
        <f>IF(tblCompanies[[#This Row],[Company Name]]&lt;&gt;0,ROW()-1,"")</f>
        <v>175</v>
      </c>
      <c r="B176" s="10" t="s">
        <v>615</v>
      </c>
      <c r="C176" s="10" t="s">
        <v>1</v>
      </c>
      <c r="D176" s="10" t="s">
        <v>2171</v>
      </c>
      <c r="E176" s="10" t="s">
        <v>616</v>
      </c>
      <c r="F176" s="10" t="s">
        <v>2824</v>
      </c>
      <c r="G176" s="10" t="s">
        <v>2573</v>
      </c>
      <c r="H176" s="10"/>
      <c r="I176" s="10" t="s">
        <v>2599</v>
      </c>
      <c r="J176" s="7">
        <f>IFERROR(LOOKUP(2,1/('Outreach Log'!$E$2:$E$9998=B176),'Outreach Log'!$B$2:$B$9998),"")</f>
        <v>46126</v>
      </c>
      <c r="K176" s="5">
        <f>COUNTIF('Outreach Log'!$E:$E,B176)</f>
        <v>1</v>
      </c>
    </row>
    <row r="177" spans="1:11">
      <c r="A177" s="9">
        <f>IF(tblCompanies[[#This Row],[Company Name]]&lt;&gt;0,ROW()-1,"")</f>
        <v>176</v>
      </c>
      <c r="B177" s="10" t="s">
        <v>555</v>
      </c>
      <c r="C177" s="10"/>
      <c r="D177" s="10" t="s">
        <v>13</v>
      </c>
      <c r="E177" s="10" t="s">
        <v>556</v>
      </c>
      <c r="F177" s="10" t="s">
        <v>2824</v>
      </c>
      <c r="G177" s="10"/>
      <c r="H177" s="10"/>
      <c r="I177" s="10" t="s">
        <v>2500</v>
      </c>
      <c r="J177" s="7">
        <f>IFERROR(LOOKUP(2,1/('Outreach Log'!$E$2:$E$9998=B177),'Outreach Log'!$B$2:$B$9998),"")</f>
        <v>46126</v>
      </c>
      <c r="K177" s="5">
        <f>COUNTIF('Outreach Log'!$E:$E,B177)</f>
        <v>1</v>
      </c>
    </row>
    <row r="178" spans="1:11">
      <c r="A178" s="9">
        <f>IF(tblCompanies[[#This Row],[Company Name]]&lt;&gt;0,ROW()-1,"")</f>
        <v>177</v>
      </c>
      <c r="B178" s="10" t="s">
        <v>460</v>
      </c>
      <c r="C178" s="10" t="s">
        <v>5</v>
      </c>
      <c r="D178" s="10" t="s">
        <v>2171</v>
      </c>
      <c r="E178" s="10" t="s">
        <v>461</v>
      </c>
      <c r="F178" s="10" t="s">
        <v>2824</v>
      </c>
      <c r="G178" s="10" t="s">
        <v>2712</v>
      </c>
      <c r="H178" s="10"/>
      <c r="I178" s="10" t="s">
        <v>462</v>
      </c>
      <c r="J178" s="7">
        <f>IFERROR(LOOKUP(2,1/('Outreach Log'!$E$2:$E$9998=B178),'Outreach Log'!$B$2:$B$9998),"")</f>
        <v>46126</v>
      </c>
      <c r="K178" s="5">
        <f>COUNTIF('Outreach Log'!$E:$E,B178)</f>
        <v>1</v>
      </c>
    </row>
    <row r="179" spans="1:11">
      <c r="A179" s="9">
        <f>IF(tblCompanies[[#This Row],[Company Name]]&lt;&gt;0,ROW()-1,"")</f>
        <v>178</v>
      </c>
      <c r="B179" s="10" t="s">
        <v>632</v>
      </c>
      <c r="C179" s="10"/>
      <c r="D179" s="10" t="s">
        <v>13</v>
      </c>
      <c r="E179" s="10"/>
      <c r="F179" s="10" t="s">
        <v>2824</v>
      </c>
      <c r="G179" s="10"/>
      <c r="H179" s="10"/>
      <c r="I179" s="10" t="s">
        <v>30</v>
      </c>
      <c r="J179" s="7" t="str">
        <f>IFERROR(LOOKUP(2,1/('Outreach Log'!$E$2:$E$9998=B179),'Outreach Log'!$B$2:$B$9998),"")</f>
        <v/>
      </c>
      <c r="K179" s="5">
        <f>COUNTIF('Outreach Log'!$E:$E,B179)</f>
        <v>0</v>
      </c>
    </row>
    <row r="180" spans="1:11">
      <c r="A180" s="9">
        <f>IF(tblCompanies[[#This Row],[Company Name]]&lt;&gt;0,ROW()-1,"")</f>
        <v>179</v>
      </c>
      <c r="B180" s="10" t="s">
        <v>588</v>
      </c>
      <c r="C180" s="10"/>
      <c r="D180" s="10" t="s">
        <v>13</v>
      </c>
      <c r="E180" s="10" t="s">
        <v>589</v>
      </c>
      <c r="F180" s="10" t="s">
        <v>2824</v>
      </c>
      <c r="G180" s="10"/>
      <c r="H180" s="10"/>
      <c r="I180" s="10" t="s">
        <v>2503</v>
      </c>
      <c r="J180" s="7" t="str">
        <f>IFERROR(LOOKUP(2,1/('Outreach Log'!$E$2:$E$9998=B180),'Outreach Log'!$B$2:$B$9998),"")</f>
        <v/>
      </c>
      <c r="K180" s="5">
        <f>COUNTIF('Outreach Log'!$E:$E,B180)</f>
        <v>0</v>
      </c>
    </row>
    <row r="181" spans="1:11">
      <c r="A181" s="9">
        <f>IF(tblCompanies[[#This Row],[Company Name]]&lt;&gt;0,ROW()-1,"")</f>
        <v>180</v>
      </c>
      <c r="B181" s="10" t="s">
        <v>390</v>
      </c>
      <c r="C181" s="10"/>
      <c r="D181" s="10" t="s">
        <v>13</v>
      </c>
      <c r="E181" s="10"/>
      <c r="F181" s="10" t="s">
        <v>2824</v>
      </c>
      <c r="G181" s="10"/>
      <c r="H181" s="10"/>
      <c r="I181" s="10" t="s">
        <v>30</v>
      </c>
      <c r="J181" s="7" t="str">
        <f>IFERROR(LOOKUP(2,1/('Outreach Log'!$E$2:$E$9998=B181),'Outreach Log'!$B$2:$B$9998),"")</f>
        <v/>
      </c>
      <c r="K181" s="5">
        <f>COUNTIF('Outreach Log'!$E:$E,B181)</f>
        <v>0</v>
      </c>
    </row>
    <row r="182" spans="1:11">
      <c r="A182" s="9">
        <f>IF(tblCompanies[[#This Row],[Company Name]]&lt;&gt;0,ROW()-1,"")</f>
        <v>181</v>
      </c>
      <c r="B182" s="10" t="s">
        <v>656</v>
      </c>
      <c r="C182" s="10"/>
      <c r="D182" s="10" t="s">
        <v>13</v>
      </c>
      <c r="E182" s="10" t="s">
        <v>657</v>
      </c>
      <c r="F182" s="10" t="s">
        <v>2824</v>
      </c>
      <c r="G182" s="10"/>
      <c r="H182" s="10"/>
      <c r="I182" s="10" t="s">
        <v>658</v>
      </c>
      <c r="J182" s="7">
        <f>IFERROR(LOOKUP(2,1/('Outreach Log'!$E$2:$E$9998=B182),'Outreach Log'!$B$2:$B$9998),"")</f>
        <v>46126</v>
      </c>
      <c r="K182" s="5">
        <f>COUNTIF('Outreach Log'!$E:$E,B182)</f>
        <v>2</v>
      </c>
    </row>
    <row r="183" spans="1:11">
      <c r="A183" s="9">
        <f>IF(tblCompanies[[#This Row],[Company Name]]&lt;&gt;0,ROW()-1,"")</f>
        <v>182</v>
      </c>
      <c r="B183" s="10" t="s">
        <v>712</v>
      </c>
      <c r="C183" s="10"/>
      <c r="D183" s="10" t="s">
        <v>13</v>
      </c>
      <c r="E183" s="10" t="s">
        <v>713</v>
      </c>
      <c r="F183" s="10" t="s">
        <v>2824</v>
      </c>
      <c r="G183" s="10"/>
      <c r="H183" s="10"/>
      <c r="I183" s="10" t="s">
        <v>714</v>
      </c>
      <c r="J183" s="7" t="str">
        <f>IFERROR(LOOKUP(2,1/('Outreach Log'!$E$2:$E$9998=B183),'Outreach Log'!$B$2:$B$9998),"")</f>
        <v/>
      </c>
      <c r="K183" s="5">
        <f>COUNTIF('Outreach Log'!$E:$E,B183)</f>
        <v>0</v>
      </c>
    </row>
    <row r="184" spans="1:11">
      <c r="A184" s="9">
        <f>IF(tblCompanies[[#This Row],[Company Name]]&lt;&gt;0,ROW()-1,"")</f>
        <v>183</v>
      </c>
      <c r="B184" s="10" t="s">
        <v>596</v>
      </c>
      <c r="C184" s="10" t="s">
        <v>3</v>
      </c>
      <c r="D184" s="10" t="s">
        <v>2171</v>
      </c>
      <c r="E184" s="10" t="s">
        <v>597</v>
      </c>
      <c r="F184" s="10" t="s">
        <v>2824</v>
      </c>
      <c r="G184" s="10" t="s">
        <v>2777</v>
      </c>
      <c r="H184" s="10"/>
      <c r="I184" s="10" t="s">
        <v>2793</v>
      </c>
      <c r="J184" s="7" t="str">
        <f>IFERROR(LOOKUP(2,1/('Outreach Log'!$E$2:$E$9998=B184),'Outreach Log'!$B$2:$B$9998),"")</f>
        <v/>
      </c>
      <c r="K184" s="5">
        <f>COUNTIF('Outreach Log'!$E:$E,B184)</f>
        <v>0</v>
      </c>
    </row>
    <row r="185" spans="1:11">
      <c r="A185" s="9">
        <f>IF(tblCompanies[[#This Row],[Company Name]]&lt;&gt;0,ROW()-1,"")</f>
        <v>184</v>
      </c>
      <c r="B185" s="10" t="s">
        <v>479</v>
      </c>
      <c r="C185" s="10" t="s">
        <v>6</v>
      </c>
      <c r="D185" s="10" t="s">
        <v>2171</v>
      </c>
      <c r="E185" s="69" t="s">
        <v>480</v>
      </c>
      <c r="F185" s="10" t="s">
        <v>2824</v>
      </c>
      <c r="G185" s="10" t="s">
        <v>2685</v>
      </c>
      <c r="H185" s="10"/>
      <c r="I185" s="10" t="s">
        <v>2687</v>
      </c>
      <c r="J185" s="7">
        <f>IFERROR(LOOKUP(2,1/('Outreach Log'!$E$2:$E$9998=B185),'Outreach Log'!$B$2:$B$9998),"")</f>
        <v>46126</v>
      </c>
      <c r="K185" s="5">
        <f>COUNTIF('Outreach Log'!$E:$E,B185)</f>
        <v>2</v>
      </c>
    </row>
    <row r="186" spans="1:11">
      <c r="A186" s="9">
        <f>IF(tblCompanies[[#This Row],[Company Name]]&lt;&gt;0,ROW()-1,"")</f>
        <v>185</v>
      </c>
      <c r="B186" s="10" t="s">
        <v>167</v>
      </c>
      <c r="C186" s="10"/>
      <c r="D186" s="10" t="s">
        <v>13</v>
      </c>
      <c r="E186" s="10" t="s">
        <v>168</v>
      </c>
      <c r="F186" s="10" t="s">
        <v>2824</v>
      </c>
      <c r="G186" s="10"/>
      <c r="H186" s="10"/>
      <c r="I186" s="10" t="s">
        <v>169</v>
      </c>
      <c r="J186" s="7" t="str">
        <f>IFERROR(LOOKUP(2,1/('Outreach Log'!$E$2:$E$9998=B186),'Outreach Log'!$B$2:$B$9998),"")</f>
        <v/>
      </c>
      <c r="K186" s="5">
        <f>COUNTIF('Outreach Log'!$E:$E,B186)</f>
        <v>0</v>
      </c>
    </row>
    <row r="187" spans="1:11">
      <c r="A187" s="9">
        <f>IF(tblCompanies[[#This Row],[Company Name]]&lt;&gt;0,ROW()-1,"")</f>
        <v>186</v>
      </c>
      <c r="B187" s="10" t="s">
        <v>374</v>
      </c>
      <c r="C187" s="10"/>
      <c r="D187" s="10" t="s">
        <v>13</v>
      </c>
      <c r="E187" s="10" t="s">
        <v>375</v>
      </c>
      <c r="F187" s="10" t="s">
        <v>2824</v>
      </c>
      <c r="G187" s="10"/>
      <c r="H187" s="10"/>
      <c r="I187" s="10" t="s">
        <v>376</v>
      </c>
      <c r="J187" s="7" t="str">
        <f>IFERROR(LOOKUP(2,1/('Outreach Log'!$E$2:$E$9998=B187),'Outreach Log'!$B$2:$B$9998),"")</f>
        <v/>
      </c>
      <c r="K187" s="5">
        <f>COUNTIF('Outreach Log'!$E:$E,B187)</f>
        <v>0</v>
      </c>
    </row>
    <row r="188" spans="1:11">
      <c r="A188" s="9">
        <f>IF(tblCompanies[[#This Row],[Company Name]]&lt;&gt;0,ROW()-1,"")</f>
        <v>187</v>
      </c>
      <c r="B188" s="10" t="s">
        <v>55</v>
      </c>
      <c r="C188" s="10"/>
      <c r="D188" s="10" t="s">
        <v>13</v>
      </c>
      <c r="E188" s="10" t="s">
        <v>56</v>
      </c>
      <c r="F188" s="10" t="s">
        <v>2824</v>
      </c>
      <c r="G188" s="10"/>
      <c r="H188" s="10"/>
      <c r="I188" s="10" t="s">
        <v>57</v>
      </c>
      <c r="J188" s="7" t="str">
        <f>IFERROR(LOOKUP(2,1/('Outreach Log'!$E$2:$E$9998=B188),'Outreach Log'!$B$2:$B$9998),"")</f>
        <v/>
      </c>
      <c r="K188" s="5">
        <f>COUNTIF('Outreach Log'!$E:$E,B188)</f>
        <v>0</v>
      </c>
    </row>
    <row r="189" spans="1:11">
      <c r="A189" s="9">
        <f>IF(tblCompanies[[#This Row],[Company Name]]&lt;&gt;0,ROW()-1,"")</f>
        <v>188</v>
      </c>
      <c r="B189" s="10" t="s">
        <v>449</v>
      </c>
      <c r="C189" s="10"/>
      <c r="D189" s="10" t="s">
        <v>13</v>
      </c>
      <c r="E189" s="10" t="s">
        <v>450</v>
      </c>
      <c r="F189" s="10" t="s">
        <v>2824</v>
      </c>
      <c r="G189" s="10"/>
      <c r="H189" s="10"/>
      <c r="I189" s="10" t="s">
        <v>451</v>
      </c>
      <c r="J189" s="7" t="str">
        <f>IFERROR(LOOKUP(2,1/('Outreach Log'!$E$2:$E$9998=B189),'Outreach Log'!$B$2:$B$9998),"")</f>
        <v/>
      </c>
      <c r="K189" s="5">
        <f>COUNTIF('Outreach Log'!$E:$E,B189)</f>
        <v>0</v>
      </c>
    </row>
    <row r="190" spans="1:11">
      <c r="A190" s="9">
        <f>IF(tblCompanies[[#This Row],[Company Name]]&lt;&gt;0,ROW()-1,"")</f>
        <v>189</v>
      </c>
      <c r="B190" s="10" t="s">
        <v>529</v>
      </c>
      <c r="C190" s="10"/>
      <c r="D190" s="10" t="s">
        <v>13</v>
      </c>
      <c r="E190" s="10" t="s">
        <v>530</v>
      </c>
      <c r="F190" s="10" t="s">
        <v>2824</v>
      </c>
      <c r="G190" s="10"/>
      <c r="H190" s="10"/>
      <c r="I190" s="10" t="s">
        <v>2497</v>
      </c>
      <c r="J190" s="7" t="str">
        <f>IFERROR(LOOKUP(2,1/('Outreach Log'!$E$2:$E$9998=B190),'Outreach Log'!$B$2:$B$9998),"")</f>
        <v/>
      </c>
      <c r="K190" s="5">
        <f>COUNTIF('Outreach Log'!$E:$E,B190)</f>
        <v>0</v>
      </c>
    </row>
    <row r="191" spans="1:11">
      <c r="A191" s="9">
        <f>IF(tblCompanies[[#This Row],[Company Name]]&lt;&gt;0,ROW()-1,"")</f>
        <v>190</v>
      </c>
      <c r="B191" s="10" t="s">
        <v>453</v>
      </c>
      <c r="C191" s="10"/>
      <c r="D191" s="10" t="s">
        <v>13</v>
      </c>
      <c r="E191" s="10" t="s">
        <v>454</v>
      </c>
      <c r="F191" s="10" t="s">
        <v>2824</v>
      </c>
      <c r="G191" s="10"/>
      <c r="H191" s="10"/>
      <c r="I191" s="10" t="s">
        <v>455</v>
      </c>
      <c r="J191" s="7" t="str">
        <f>IFERROR(LOOKUP(2,1/('Outreach Log'!$E$2:$E$9998=B191),'Outreach Log'!$B$2:$B$9998),"")</f>
        <v/>
      </c>
      <c r="K191" s="5">
        <f>COUNTIF('Outreach Log'!$E:$E,B191)</f>
        <v>0</v>
      </c>
    </row>
    <row r="192" spans="1:11">
      <c r="A192" s="9">
        <f>IF(tblCompanies[[#This Row],[Company Name]]&lt;&gt;0,ROW()-1,"")</f>
        <v>191</v>
      </c>
      <c r="B192" s="10" t="s">
        <v>2269</v>
      </c>
      <c r="C192" s="10" t="s">
        <v>3</v>
      </c>
      <c r="D192" s="10" t="s">
        <v>2171</v>
      </c>
      <c r="E192" s="10" t="s">
        <v>305</v>
      </c>
      <c r="F192" s="10" t="s">
        <v>2824</v>
      </c>
      <c r="G192" s="10" t="s">
        <v>217</v>
      </c>
      <c r="H192" s="10"/>
      <c r="I192" s="10" t="s">
        <v>306</v>
      </c>
      <c r="J192" s="7" t="str">
        <f>IFERROR(LOOKUP(2,1/('Outreach Log'!$E$2:$E$9998=B192),'Outreach Log'!$B$2:$B$9998),"")</f>
        <v/>
      </c>
      <c r="K192" s="5">
        <f>COUNTIF('Outreach Log'!$E:$E,B192)</f>
        <v>0</v>
      </c>
    </row>
    <row r="193" spans="1:11">
      <c r="A193" s="9">
        <f>IF(tblCompanies[[#This Row],[Company Name]]&lt;&gt;0,ROW()-1,"")</f>
        <v>192</v>
      </c>
      <c r="B193" s="10" t="s">
        <v>2242</v>
      </c>
      <c r="C193" s="10" t="s">
        <v>3</v>
      </c>
      <c r="D193" s="10" t="s">
        <v>2171</v>
      </c>
      <c r="E193" s="10" t="s">
        <v>223</v>
      </c>
      <c r="F193" s="10" t="s">
        <v>2824</v>
      </c>
      <c r="G193" s="10" t="s">
        <v>2650</v>
      </c>
      <c r="H193" s="10"/>
      <c r="I193" s="10" t="s">
        <v>2653</v>
      </c>
      <c r="J193" s="7">
        <f>IFERROR(LOOKUP(2,1/('Outreach Log'!$E$2:$E$9998=B193),'Outreach Log'!$B$2:$B$9998),"")</f>
        <v>46126</v>
      </c>
      <c r="K193" s="5">
        <f>COUNTIF('Outreach Log'!$E:$E,B193)</f>
        <v>1</v>
      </c>
    </row>
    <row r="194" spans="1:11">
      <c r="A194" s="9">
        <f>IF(tblCompanies[[#This Row],[Company Name]]&lt;&gt;0,ROW()-1,"")</f>
        <v>193</v>
      </c>
      <c r="B194" s="10" t="s">
        <v>2208</v>
      </c>
      <c r="C194" s="10" t="s">
        <v>3</v>
      </c>
      <c r="D194" s="10" t="s">
        <v>2171</v>
      </c>
      <c r="E194" s="10" t="s">
        <v>131</v>
      </c>
      <c r="F194" s="10" t="s">
        <v>2824</v>
      </c>
      <c r="G194" s="10" t="s">
        <v>2618</v>
      </c>
      <c r="H194" s="10"/>
      <c r="I194" s="10" t="s">
        <v>2620</v>
      </c>
      <c r="J194" s="7">
        <f>IFERROR(LOOKUP(2,1/('Outreach Log'!$E$2:$E$9998=B194),'Outreach Log'!$B$2:$B$9998),"")</f>
        <v>46126</v>
      </c>
      <c r="K194" s="5">
        <f>COUNTIF('Outreach Log'!$E:$E,B194)</f>
        <v>1</v>
      </c>
    </row>
    <row r="195" spans="1:11">
      <c r="A195" s="9">
        <f>IF(tblCompanies[[#This Row],[Company Name]]&lt;&gt;0,ROW()-1,"")</f>
        <v>194</v>
      </c>
      <c r="B195" s="10" t="s">
        <v>2397</v>
      </c>
      <c r="C195" s="10" t="s">
        <v>3</v>
      </c>
      <c r="D195" s="10" t="s">
        <v>2171</v>
      </c>
      <c r="E195" s="10" t="s">
        <v>652</v>
      </c>
      <c r="F195" s="10" t="s">
        <v>2824</v>
      </c>
      <c r="G195" s="10" t="s">
        <v>2618</v>
      </c>
      <c r="H195" s="10"/>
      <c r="I195" s="10" t="s">
        <v>2640</v>
      </c>
      <c r="J195" s="7">
        <f>IFERROR(LOOKUP(2,1/('Outreach Log'!$E$2:$E$9998=B195),'Outreach Log'!$B$2:$B$9998),"")</f>
        <v>46126</v>
      </c>
      <c r="K195" s="5">
        <f>COUNTIF('Outreach Log'!$E:$E,B195)</f>
        <v>1</v>
      </c>
    </row>
    <row r="196" spans="1:11">
      <c r="A196" s="9">
        <f>IF(tblCompanies[[#This Row],[Company Name]]&lt;&gt;0,ROW()-1,"")</f>
        <v>195</v>
      </c>
      <c r="B196" s="10" t="s">
        <v>624</v>
      </c>
      <c r="C196" s="10" t="s">
        <v>2</v>
      </c>
      <c r="D196" s="10" t="s">
        <v>2171</v>
      </c>
      <c r="E196" s="10"/>
      <c r="F196" s="10" t="s">
        <v>2824</v>
      </c>
      <c r="G196" s="10" t="s">
        <v>433</v>
      </c>
      <c r="H196" s="10"/>
      <c r="I196" s="10" t="s">
        <v>2545</v>
      </c>
      <c r="J196" s="7">
        <f>IFERROR(LOOKUP(2,1/('Outreach Log'!$E$2:$E$9998=B196),'Outreach Log'!$B$2:$B$9998),"")</f>
        <v>46126</v>
      </c>
      <c r="K196" s="5">
        <f>COUNTIF('Outreach Log'!$E:$E,B196)</f>
        <v>1</v>
      </c>
    </row>
    <row r="197" spans="1:11">
      <c r="A197" s="9">
        <f>IF(tblCompanies[[#This Row],[Company Name]]&lt;&gt;0,ROW()-1,"")</f>
        <v>196</v>
      </c>
      <c r="B197" s="10" t="s">
        <v>2315</v>
      </c>
      <c r="C197" s="10" t="s">
        <v>0</v>
      </c>
      <c r="D197" s="10" t="s">
        <v>2171</v>
      </c>
      <c r="E197" s="10" t="s">
        <v>439</v>
      </c>
      <c r="F197" s="10" t="s">
        <v>2824</v>
      </c>
      <c r="G197" s="10" t="s">
        <v>46</v>
      </c>
      <c r="H197" s="10"/>
      <c r="I197" s="10" t="s">
        <v>2519</v>
      </c>
      <c r="J197" s="7">
        <f>IFERROR(LOOKUP(2,1/('Outreach Log'!$E$2:$E$9998=B197),'Outreach Log'!$B$2:$B$9998),"")</f>
        <v>46126</v>
      </c>
      <c r="K197" s="5">
        <f>COUNTIF('Outreach Log'!$E:$E,B197)</f>
        <v>1</v>
      </c>
    </row>
    <row r="198" spans="1:11">
      <c r="A198" s="9">
        <f>IF(tblCompanies[[#This Row],[Company Name]]&lt;&gt;0,ROW()-1,"")</f>
        <v>197</v>
      </c>
      <c r="B198" s="10" t="s">
        <v>405</v>
      </c>
      <c r="C198" s="10" t="s">
        <v>3</v>
      </c>
      <c r="D198" s="10" t="s">
        <v>2171</v>
      </c>
      <c r="E198" s="10" t="s">
        <v>406</v>
      </c>
      <c r="F198" s="10" t="s">
        <v>2824</v>
      </c>
      <c r="G198" s="10" t="s">
        <v>2618</v>
      </c>
      <c r="H198" s="10"/>
      <c r="I198" s="10" t="s">
        <v>2626</v>
      </c>
      <c r="J198" s="7">
        <f>IFERROR(LOOKUP(2,1/('Outreach Log'!$E$2:$E$9998=B198),'Outreach Log'!$B$2:$B$9998),"")</f>
        <v>46126</v>
      </c>
      <c r="K198" s="5">
        <f>COUNTIF('Outreach Log'!$E:$E,B198)</f>
        <v>1</v>
      </c>
    </row>
    <row r="199" spans="1:11">
      <c r="A199" s="9">
        <f>IF(tblCompanies[[#This Row],[Company Name]]&lt;&gt;0,ROW()-1,"")</f>
        <v>198</v>
      </c>
      <c r="B199" s="10" t="s">
        <v>2200</v>
      </c>
      <c r="C199" s="10" t="s">
        <v>6</v>
      </c>
      <c r="D199" s="10" t="s">
        <v>2171</v>
      </c>
      <c r="E199" s="10" t="s">
        <v>107</v>
      </c>
      <c r="F199" s="10" t="s">
        <v>2824</v>
      </c>
      <c r="G199" s="10" t="s">
        <v>46</v>
      </c>
      <c r="H199" s="10"/>
      <c r="I199" s="10" t="s">
        <v>2508</v>
      </c>
      <c r="J199" s="7">
        <f>IFERROR(LOOKUP(2,1/('Outreach Log'!$E$2:$E$9998=B199),'Outreach Log'!$B$2:$B$9998),"")</f>
        <v>46126</v>
      </c>
      <c r="K199" s="5">
        <f>COUNTIF('Outreach Log'!$E:$E,B199)</f>
        <v>1</v>
      </c>
    </row>
    <row r="200" spans="1:11">
      <c r="A200" s="9">
        <f>IF(tblCompanies[[#This Row],[Company Name]]&lt;&gt;0,ROW()-1,"")</f>
        <v>199</v>
      </c>
      <c r="B200" s="10" t="s">
        <v>571</v>
      </c>
      <c r="C200" s="10"/>
      <c r="D200" s="10" t="s">
        <v>13</v>
      </c>
      <c r="E200" s="10" t="s">
        <v>572</v>
      </c>
      <c r="F200" s="10" t="s">
        <v>2824</v>
      </c>
      <c r="G200" s="10"/>
      <c r="H200" s="10"/>
      <c r="I200" s="10" t="s">
        <v>30</v>
      </c>
      <c r="J200" s="7" t="str">
        <f>IFERROR(LOOKUP(2,1/('Outreach Log'!$E$2:$E$9998=B200),'Outreach Log'!$B$2:$B$9998),"")</f>
        <v/>
      </c>
      <c r="K200" s="5">
        <f>COUNTIF('Outreach Log'!$E:$E,B200)</f>
        <v>0</v>
      </c>
    </row>
    <row r="201" spans="1:11">
      <c r="A201" s="9">
        <f>IF(tblCompanies[[#This Row],[Company Name]]&lt;&gt;0,ROW()-1,"")</f>
        <v>200</v>
      </c>
      <c r="B201" s="10" t="s">
        <v>2394</v>
      </c>
      <c r="C201" s="10" t="s">
        <v>4</v>
      </c>
      <c r="D201" s="10" t="s">
        <v>2171</v>
      </c>
      <c r="E201" s="10" t="s">
        <v>646</v>
      </c>
      <c r="F201" s="10" t="s">
        <v>2824</v>
      </c>
      <c r="G201" s="10" t="s">
        <v>2696</v>
      </c>
      <c r="H201" s="10"/>
      <c r="I201" s="10" t="s">
        <v>647</v>
      </c>
      <c r="J201" s="7">
        <f>IFERROR(LOOKUP(2,1/('Outreach Log'!$E$2:$E$9998=B201),'Outreach Log'!$B$2:$B$9998),"")</f>
        <v>46126</v>
      </c>
      <c r="K201" s="5">
        <f>COUNTIF('Outreach Log'!$E:$E,B201)</f>
        <v>1</v>
      </c>
    </row>
    <row r="202" spans="1:11">
      <c r="A202" s="9">
        <f>IF(tblCompanies[[#This Row],[Company Name]]&lt;&gt;0,ROW()-1,"")</f>
        <v>201</v>
      </c>
      <c r="B202" s="10" t="s">
        <v>2294</v>
      </c>
      <c r="C202" s="10" t="s">
        <v>6</v>
      </c>
      <c r="D202" s="10" t="s">
        <v>2171</v>
      </c>
      <c r="E202" s="10" t="s">
        <v>398</v>
      </c>
      <c r="F202" s="10" t="s">
        <v>2824</v>
      </c>
      <c r="G202" s="10" t="s">
        <v>46</v>
      </c>
      <c r="H202" s="10"/>
      <c r="I202" s="10" t="s">
        <v>2517</v>
      </c>
      <c r="J202" s="7" t="str">
        <f>IFERROR(LOOKUP(2,1/('Outreach Log'!$E$2:$E$9998=B202),'Outreach Log'!$B$2:$B$9998),"")</f>
        <v/>
      </c>
      <c r="K202" s="5">
        <f>COUNTIF('Outreach Log'!$E:$E,B202)</f>
        <v>0</v>
      </c>
    </row>
    <row r="203" spans="1:11">
      <c r="A203" s="9">
        <f>IF(tblCompanies[[#This Row],[Company Name]]&lt;&gt;0,ROW()-1,"")</f>
        <v>202</v>
      </c>
      <c r="B203" s="10" t="s">
        <v>2248</v>
      </c>
      <c r="C203" s="10" t="s">
        <v>1</v>
      </c>
      <c r="D203" s="10" t="s">
        <v>2171</v>
      </c>
      <c r="E203" s="10"/>
      <c r="F203" s="10" t="s">
        <v>2824</v>
      </c>
      <c r="G203" s="10" t="s">
        <v>2573</v>
      </c>
      <c r="H203" s="10"/>
      <c r="I203" s="10" t="s">
        <v>2581</v>
      </c>
      <c r="J203" s="7" t="str">
        <f>IFERROR(LOOKUP(2,1/('Outreach Log'!$E$2:$E$9998=B203),'Outreach Log'!$B$2:$B$9998),"")</f>
        <v/>
      </c>
      <c r="K203" s="5">
        <f>COUNTIF('Outreach Log'!$E:$E,B203)</f>
        <v>0</v>
      </c>
    </row>
    <row r="204" spans="1:11">
      <c r="A204" s="9">
        <f>IF(tblCompanies[[#This Row],[Company Name]]&lt;&gt;0,ROW()-1,"")</f>
        <v>203</v>
      </c>
      <c r="B204" s="10" t="s">
        <v>544</v>
      </c>
      <c r="C204" s="10" t="s">
        <v>1</v>
      </c>
      <c r="D204" s="10" t="s">
        <v>2171</v>
      </c>
      <c r="E204" s="10"/>
      <c r="F204" s="10" t="s">
        <v>2824</v>
      </c>
      <c r="G204" s="10" t="s">
        <v>2573</v>
      </c>
      <c r="H204" s="10"/>
      <c r="I204" s="10" t="s">
        <v>2596</v>
      </c>
      <c r="J204" s="7" t="str">
        <f>IFERROR(LOOKUP(2,1/('Outreach Log'!$E$2:$E$9998=B204),'Outreach Log'!$B$2:$B$9998),"")</f>
        <v/>
      </c>
      <c r="K204" s="5">
        <f>COUNTIF('Outreach Log'!$E:$E,B204)</f>
        <v>0</v>
      </c>
    </row>
    <row r="205" spans="1:11">
      <c r="A205" s="43">
        <f>IF(tblCompanies[[#This Row],[Company Name]]&lt;&gt;0,ROW()-1,"")</f>
        <v>204</v>
      </c>
      <c r="B205" s="3" t="s">
        <v>3023</v>
      </c>
      <c r="D205" s="44" t="s">
        <v>3000</v>
      </c>
      <c r="E205" s="47"/>
      <c r="F205" s="10" t="s">
        <v>2824</v>
      </c>
      <c r="G205" s="41"/>
      <c r="H205" s="3" t="s">
        <v>83</v>
      </c>
      <c r="I205" s="42" t="s">
        <v>3024</v>
      </c>
      <c r="J205" s="7" t="str">
        <f>IFERROR(LOOKUP(2,1/('Outreach Log'!$E$2:$E$9998=B205),'Outreach Log'!$B$2:$B$9998),"")</f>
        <v/>
      </c>
      <c r="K205" s="5">
        <f>COUNTIF('Outreach Log'!$E:$E,B205)</f>
        <v>0</v>
      </c>
    </row>
    <row r="206" spans="1:11">
      <c r="A206" s="9">
        <f>IF(tblCompanies[[#This Row],[Company Name]]&lt;&gt;0,ROW()-1,"")</f>
        <v>205</v>
      </c>
      <c r="B206" s="10" t="s">
        <v>2197</v>
      </c>
      <c r="C206" s="10" t="s">
        <v>5</v>
      </c>
      <c r="D206" s="10" t="s">
        <v>2171</v>
      </c>
      <c r="E206" s="10"/>
      <c r="F206" s="10" t="s">
        <v>2824</v>
      </c>
      <c r="G206" s="10" t="s">
        <v>2712</v>
      </c>
      <c r="H206" s="10"/>
      <c r="I206" s="10" t="s">
        <v>2717</v>
      </c>
      <c r="J206" s="7" t="str">
        <f>IFERROR(LOOKUP(2,1/('Outreach Log'!$E$2:$E$9998=B206),'Outreach Log'!$B$2:$B$9998),"")</f>
        <v/>
      </c>
      <c r="K206" s="5">
        <f>COUNTIF('Outreach Log'!$E:$E,B206)</f>
        <v>0</v>
      </c>
    </row>
    <row r="207" spans="1:11">
      <c r="A207" s="43">
        <f>IF(tblCompanies[[#This Row],[Company Name]]&lt;&gt;0,ROW()-1,"")</f>
        <v>206</v>
      </c>
      <c r="B207" s="3" t="s">
        <v>3025</v>
      </c>
      <c r="D207" s="44" t="s">
        <v>3000</v>
      </c>
      <c r="E207" s="45" t="s">
        <v>3026</v>
      </c>
      <c r="F207" s="10" t="s">
        <v>2824</v>
      </c>
      <c r="G207" s="39"/>
      <c r="H207" s="3" t="s">
        <v>79</v>
      </c>
      <c r="I207" s="42" t="s">
        <v>3027</v>
      </c>
      <c r="J207" s="7" t="str">
        <f>IFERROR(LOOKUP(2,1/('Outreach Log'!$E$2:$E$9998=B207),'Outreach Log'!$B$2:$B$9998),"")</f>
        <v/>
      </c>
      <c r="K207" s="5">
        <f>COUNTIF('Outreach Log'!$E:$E,B207)</f>
        <v>0</v>
      </c>
    </row>
    <row r="208" spans="1:11">
      <c r="A208" s="9">
        <f>IF(tblCompanies[[#This Row],[Company Name]]&lt;&gt;0,ROW()-1,"")</f>
        <v>207</v>
      </c>
      <c r="B208" s="10" t="s">
        <v>2292</v>
      </c>
      <c r="C208" s="10" t="s">
        <v>1</v>
      </c>
      <c r="D208" s="10" t="s">
        <v>2171</v>
      </c>
      <c r="E208" s="10" t="s">
        <v>391</v>
      </c>
      <c r="F208" s="10" t="s">
        <v>2824</v>
      </c>
      <c r="G208" s="10" t="s">
        <v>2573</v>
      </c>
      <c r="H208" s="10"/>
      <c r="I208" s="10" t="s">
        <v>2588</v>
      </c>
      <c r="J208" s="7">
        <f>IFERROR(LOOKUP(2,1/('Outreach Log'!$E$2:$E$9998=B208),'Outreach Log'!$B$2:$B$9998),"")</f>
        <v>46126</v>
      </c>
      <c r="K208" s="5">
        <f>COUNTIF('Outreach Log'!$E:$E,B208)</f>
        <v>1</v>
      </c>
    </row>
    <row r="209" spans="1:11">
      <c r="A209" s="9">
        <f>IF(tblCompanies[[#This Row],[Company Name]]&lt;&gt;0,ROW()-1,"")</f>
        <v>208</v>
      </c>
      <c r="B209" s="10" t="s">
        <v>2395</v>
      </c>
      <c r="C209" s="10" t="s">
        <v>1</v>
      </c>
      <c r="D209" s="10" t="s">
        <v>2171</v>
      </c>
      <c r="E209" s="10" t="s">
        <v>648</v>
      </c>
      <c r="F209" s="10" t="s">
        <v>2824</v>
      </c>
      <c r="G209" s="10" t="s">
        <v>2573</v>
      </c>
      <c r="H209" s="10"/>
      <c r="I209" s="10" t="s">
        <v>2601</v>
      </c>
      <c r="J209" s="7">
        <f>IFERROR(LOOKUP(2,1/('Outreach Log'!$E$2:$E$9998=B209),'Outreach Log'!$B$2:$B$9998),"")</f>
        <v>46126</v>
      </c>
      <c r="K209" s="5">
        <f>COUNTIF('Outreach Log'!$E:$E,B209)</f>
        <v>1</v>
      </c>
    </row>
    <row r="210" spans="1:11">
      <c r="A210" s="9">
        <f>IF(tblCompanies[[#This Row],[Company Name]]&lt;&gt;0,ROW()-1,"")</f>
        <v>209</v>
      </c>
      <c r="B210" s="10" t="s">
        <v>2183</v>
      </c>
      <c r="C210" s="10" t="s">
        <v>4</v>
      </c>
      <c r="D210" s="10" t="s">
        <v>2171</v>
      </c>
      <c r="E210" s="10" t="s">
        <v>69</v>
      </c>
      <c r="F210" s="10" t="s">
        <v>2824</v>
      </c>
      <c r="G210" s="10" t="s">
        <v>2731</v>
      </c>
      <c r="H210" s="10"/>
      <c r="I210" s="10" t="s">
        <v>2732</v>
      </c>
      <c r="J210" s="7">
        <f>IFERROR(LOOKUP(2,1/('Outreach Log'!$E$2:$E$9998=B210),'Outreach Log'!$B$2:$B$9998),"")</f>
        <v>46126</v>
      </c>
      <c r="K210" s="5">
        <f>COUNTIF('Outreach Log'!$E:$E,B210)</f>
        <v>1</v>
      </c>
    </row>
    <row r="211" spans="1:11">
      <c r="A211" s="9">
        <f>IF(tblCompanies[[#This Row],[Company Name]]&lt;&gt;0,ROW()-1,"")</f>
        <v>210</v>
      </c>
      <c r="B211" s="10" t="s">
        <v>2218</v>
      </c>
      <c r="C211" s="10" t="s">
        <v>1</v>
      </c>
      <c r="D211" s="10" t="s">
        <v>2171</v>
      </c>
      <c r="E211" s="10"/>
      <c r="F211" s="10" t="s">
        <v>2824</v>
      </c>
      <c r="G211" s="10" t="s">
        <v>2744</v>
      </c>
      <c r="H211" s="10"/>
      <c r="I211" s="10" t="s">
        <v>2747</v>
      </c>
      <c r="J211" s="7" t="str">
        <f>IFERROR(LOOKUP(2,1/('Outreach Log'!$E$2:$E$9998=B211),'Outreach Log'!$B$2:$B$9998),"")</f>
        <v/>
      </c>
      <c r="K211" s="5">
        <f>COUNTIF('Outreach Log'!$E:$E,B211)</f>
        <v>0</v>
      </c>
    </row>
    <row r="212" spans="1:11">
      <c r="A212" s="9">
        <f>IF(tblCompanies[[#This Row],[Company Name]]&lt;&gt;0,ROW()-1,"")</f>
        <v>211</v>
      </c>
      <c r="B212" s="10" t="s">
        <v>2349</v>
      </c>
      <c r="C212" s="10" t="s">
        <v>3</v>
      </c>
      <c r="D212" s="10" t="s">
        <v>2171</v>
      </c>
      <c r="E212" s="10" t="s">
        <v>517</v>
      </c>
      <c r="F212" s="10" t="s">
        <v>2824</v>
      </c>
      <c r="G212" s="10" t="s">
        <v>2744</v>
      </c>
      <c r="H212" s="10"/>
      <c r="I212" s="10" t="s">
        <v>518</v>
      </c>
      <c r="J212" s="7">
        <f>IFERROR(LOOKUP(2,1/('Outreach Log'!$E$2:$E$9998=B212),'Outreach Log'!$B$2:$B$9998),"")</f>
        <v>46126</v>
      </c>
      <c r="K212" s="5">
        <f>COUNTIF('Outreach Log'!$E:$E,B212)</f>
        <v>1</v>
      </c>
    </row>
    <row r="213" spans="1:11">
      <c r="A213" s="9">
        <f>IF(tblCompanies[[#This Row],[Company Name]]&lt;&gt;0,ROW()-1,"")</f>
        <v>212</v>
      </c>
      <c r="B213" s="10" t="s">
        <v>2381</v>
      </c>
      <c r="C213" s="10" t="s">
        <v>1</v>
      </c>
      <c r="D213" s="10" t="s">
        <v>2171</v>
      </c>
      <c r="E213" s="10"/>
      <c r="F213" s="10" t="s">
        <v>2824</v>
      </c>
      <c r="G213" s="10" t="s">
        <v>2573</v>
      </c>
      <c r="H213" s="10"/>
      <c r="I213" s="10" t="s">
        <v>2598</v>
      </c>
      <c r="J213" s="7">
        <f>IFERROR(LOOKUP(2,1/('Outreach Log'!$E$2:$E$9998=B213),'Outreach Log'!$B$2:$B$9998),"")</f>
        <v>46126</v>
      </c>
      <c r="K213" s="5">
        <f>COUNTIF('Outreach Log'!$E:$E,B213)</f>
        <v>1</v>
      </c>
    </row>
    <row r="214" spans="1:11">
      <c r="A214" s="9">
        <f>IF(tblCompanies[[#This Row],[Company Name]]&lt;&gt;0,ROW()-1,"")</f>
        <v>213</v>
      </c>
      <c r="B214" s="10" t="s">
        <v>2327</v>
      </c>
      <c r="C214" s="10" t="s">
        <v>1</v>
      </c>
      <c r="D214" s="10" t="s">
        <v>2171</v>
      </c>
      <c r="E214" s="10" t="s">
        <v>468</v>
      </c>
      <c r="F214" s="10" t="s">
        <v>2824</v>
      </c>
      <c r="G214" s="10" t="s">
        <v>2647</v>
      </c>
      <c r="H214" s="10"/>
      <c r="I214" s="10" t="s">
        <v>30</v>
      </c>
      <c r="J214" s="7" t="str">
        <f>IFERROR(LOOKUP(2,1/('Outreach Log'!$E$2:$E$9998=B214),'Outreach Log'!$B$2:$B$9998),"")</f>
        <v/>
      </c>
      <c r="K214" s="5">
        <f>COUNTIF('Outreach Log'!$E:$E,B214)</f>
        <v>0</v>
      </c>
    </row>
    <row r="215" spans="1:11">
      <c r="A215" s="9">
        <f>IF(tblCompanies[[#This Row],[Company Name]]&lt;&gt;0,ROW()-1,"")</f>
        <v>214</v>
      </c>
      <c r="B215" s="10" t="s">
        <v>290</v>
      </c>
      <c r="C215" s="10" t="s">
        <v>8</v>
      </c>
      <c r="D215" s="10" t="s">
        <v>2171</v>
      </c>
      <c r="E215" s="10" t="s">
        <v>291</v>
      </c>
      <c r="F215" s="10" t="s">
        <v>2824</v>
      </c>
      <c r="G215" s="10" t="s">
        <v>138</v>
      </c>
      <c r="H215" s="10"/>
      <c r="I215" s="10" t="s">
        <v>292</v>
      </c>
      <c r="J215" s="7" t="str">
        <f>IFERROR(LOOKUP(2,1/('Outreach Log'!$E$2:$E$9998=B215),'Outreach Log'!$B$2:$B$9998),"")</f>
        <v/>
      </c>
      <c r="K215" s="5">
        <f>COUNTIF('Outreach Log'!$E:$E,B215)</f>
        <v>0</v>
      </c>
    </row>
    <row r="216" spans="1:11">
      <c r="A216" s="9">
        <f>IF(tblCompanies[[#This Row],[Company Name]]&lt;&gt;0,ROW()-1,"")</f>
        <v>215</v>
      </c>
      <c r="B216" s="10" t="s">
        <v>602</v>
      </c>
      <c r="C216" s="10" t="s">
        <v>6</v>
      </c>
      <c r="D216" s="10" t="s">
        <v>2171</v>
      </c>
      <c r="E216" s="10" t="s">
        <v>603</v>
      </c>
      <c r="F216" s="10" t="s">
        <v>2824</v>
      </c>
      <c r="G216" s="10" t="s">
        <v>138</v>
      </c>
      <c r="H216" s="10"/>
      <c r="I216" s="10" t="s">
        <v>2740</v>
      </c>
      <c r="J216" s="7" t="str">
        <f>IFERROR(LOOKUP(2,1/('Outreach Log'!$E$2:$E$9998=B216),'Outreach Log'!$B$2:$B$9998),"")</f>
        <v/>
      </c>
      <c r="K216" s="5">
        <f>COUNTIF('Outreach Log'!$E:$E,B216)</f>
        <v>0</v>
      </c>
    </row>
    <row r="217" spans="1:11">
      <c r="A217" s="9">
        <f>IF(tblCompanies[[#This Row],[Company Name]]&lt;&gt;0,ROW()-1,"")</f>
        <v>216</v>
      </c>
      <c r="B217" s="10" t="s">
        <v>2361</v>
      </c>
      <c r="C217" s="10" t="s">
        <v>4</v>
      </c>
      <c r="D217" s="10" t="s">
        <v>2171</v>
      </c>
      <c r="E217" s="10" t="s">
        <v>558</v>
      </c>
      <c r="F217" s="10" t="s">
        <v>2824</v>
      </c>
      <c r="G217" s="10" t="s">
        <v>2773</v>
      </c>
      <c r="H217" s="10"/>
      <c r="I217" s="10" t="s">
        <v>2776</v>
      </c>
      <c r="J217" s="7">
        <f>IFERROR(LOOKUP(2,1/('Outreach Log'!$E$2:$E$9998=B217),'Outreach Log'!$B$2:$B$9998),"")</f>
        <v>46126</v>
      </c>
      <c r="K217" s="5">
        <f>COUNTIF('Outreach Log'!$E:$E,B217)</f>
        <v>1</v>
      </c>
    </row>
    <row r="218" spans="1:11">
      <c r="A218" s="9">
        <f>IF(tblCompanies[[#This Row],[Company Name]]&lt;&gt;0,ROW()-1,"")</f>
        <v>217</v>
      </c>
      <c r="B218" s="10" t="s">
        <v>2316</v>
      </c>
      <c r="C218" s="10" t="s">
        <v>8</v>
      </c>
      <c r="D218" s="10" t="s">
        <v>2171</v>
      </c>
      <c r="E218" s="10" t="s">
        <v>440</v>
      </c>
      <c r="F218" s="10" t="s">
        <v>2824</v>
      </c>
      <c r="G218" s="10" t="s">
        <v>138</v>
      </c>
      <c r="H218" s="10"/>
      <c r="I218" s="10" t="s">
        <v>2738</v>
      </c>
      <c r="J218" s="7" t="str">
        <f>IFERROR(LOOKUP(2,1/('Outreach Log'!$E$2:$E$9998=B218),'Outreach Log'!$B$2:$B$9998),"")</f>
        <v/>
      </c>
      <c r="K218" s="5">
        <f>COUNTIF('Outreach Log'!$E:$E,B218)</f>
        <v>0</v>
      </c>
    </row>
    <row r="219" spans="1:11">
      <c r="A219" s="9">
        <f>IF(tblCompanies[[#This Row],[Company Name]]&lt;&gt;0,ROW()-1,"")</f>
        <v>218</v>
      </c>
      <c r="B219" s="10" t="s">
        <v>2363</v>
      </c>
      <c r="C219" s="10" t="s">
        <v>0</v>
      </c>
      <c r="D219" s="10" t="s">
        <v>2171</v>
      </c>
      <c r="E219" s="10" t="s">
        <v>560</v>
      </c>
      <c r="F219" s="10" t="s">
        <v>2824</v>
      </c>
      <c r="G219" s="10" t="s">
        <v>2744</v>
      </c>
      <c r="H219" s="10"/>
      <c r="I219" s="10" t="s">
        <v>2751</v>
      </c>
      <c r="J219" s="7" t="str">
        <f>IFERROR(LOOKUP(2,1/('Outreach Log'!$E$2:$E$9998=B219),'Outreach Log'!$B$2:$B$9998),"")</f>
        <v/>
      </c>
      <c r="K219" s="5">
        <f>COUNTIF('Outreach Log'!$E:$E,B219)</f>
        <v>0</v>
      </c>
    </row>
    <row r="220" spans="1:11">
      <c r="A220" s="9">
        <f>IF(tblCompanies[[#This Row],[Company Name]]&lt;&gt;0,ROW()-1,"")</f>
        <v>219</v>
      </c>
      <c r="B220" s="10" t="s">
        <v>409</v>
      </c>
      <c r="C220" s="10" t="s">
        <v>6</v>
      </c>
      <c r="D220" s="10" t="s">
        <v>2171</v>
      </c>
      <c r="E220" s="10" t="s">
        <v>410</v>
      </c>
      <c r="F220" s="10" t="s">
        <v>2824</v>
      </c>
      <c r="G220" s="10" t="s">
        <v>2664</v>
      </c>
      <c r="H220" s="10"/>
      <c r="I220" s="10" t="s">
        <v>2678</v>
      </c>
      <c r="J220" s="7" t="str">
        <f>IFERROR(LOOKUP(2,1/('Outreach Log'!$E$2:$E$9998=B220),'Outreach Log'!$B$2:$B$9998),"")</f>
        <v/>
      </c>
      <c r="K220" s="5">
        <f>COUNTIF('Outreach Log'!$E:$E,B220)</f>
        <v>0</v>
      </c>
    </row>
    <row r="221" spans="1:11">
      <c r="A221" s="9">
        <f>IF(tblCompanies[[#This Row],[Company Name]]&lt;&gt;0,ROW()-1,"")</f>
        <v>220</v>
      </c>
      <c r="B221" s="10" t="s">
        <v>303</v>
      </c>
      <c r="C221" s="10" t="s">
        <v>0</v>
      </c>
      <c r="D221" s="10" t="s">
        <v>2171</v>
      </c>
      <c r="E221" s="10" t="s">
        <v>304</v>
      </c>
      <c r="F221" s="10" t="s">
        <v>2824</v>
      </c>
      <c r="G221" s="10" t="s">
        <v>2604</v>
      </c>
      <c r="H221" s="10"/>
      <c r="I221" s="10" t="s">
        <v>2610</v>
      </c>
      <c r="J221" s="7">
        <f>IFERROR(LOOKUP(2,1/('Outreach Log'!$E$2:$E$9998=B221),'Outreach Log'!$B$2:$B$9998),"")</f>
        <v>46126</v>
      </c>
      <c r="K221" s="5">
        <f>COUNTIF('Outreach Log'!$E:$E,B221)</f>
        <v>2</v>
      </c>
    </row>
    <row r="222" spans="1:11">
      <c r="A222" s="9">
        <f>IF(tblCompanies[[#This Row],[Company Name]]&lt;&gt;0,ROW()-1,"")</f>
        <v>221</v>
      </c>
      <c r="B222" s="10" t="s">
        <v>2186</v>
      </c>
      <c r="C222" s="10" t="s">
        <v>5</v>
      </c>
      <c r="D222" s="10" t="s">
        <v>2171</v>
      </c>
      <c r="E222" s="10" t="s">
        <v>73</v>
      </c>
      <c r="F222" s="10" t="s">
        <v>2824</v>
      </c>
      <c r="G222" s="10" t="s">
        <v>2712</v>
      </c>
      <c r="H222" s="10"/>
      <c r="I222" s="10" t="s">
        <v>2714</v>
      </c>
      <c r="J222" s="7">
        <f>IFERROR(LOOKUP(2,1/('Outreach Log'!$E$2:$E$9998=B222),'Outreach Log'!$B$2:$B$9998),"")</f>
        <v>46126</v>
      </c>
      <c r="K222" s="5">
        <f>COUNTIF('Outreach Log'!$E:$E,B222)</f>
        <v>1</v>
      </c>
    </row>
    <row r="223" spans="1:11">
      <c r="A223" s="9">
        <f>IF(tblCompanies[[#This Row],[Company Name]]&lt;&gt;0,ROW()-1,"")</f>
        <v>222</v>
      </c>
      <c r="B223" s="10" t="s">
        <v>2244</v>
      </c>
      <c r="C223" s="10" t="s">
        <v>0</v>
      </c>
      <c r="D223" s="10" t="s">
        <v>2171</v>
      </c>
      <c r="E223" s="10" t="s">
        <v>225</v>
      </c>
      <c r="F223" s="10" t="s">
        <v>2824</v>
      </c>
      <c r="G223" s="10" t="s">
        <v>2777</v>
      </c>
      <c r="H223" s="10"/>
      <c r="I223" s="10" t="s">
        <v>226</v>
      </c>
      <c r="J223" s="7" t="str">
        <f>IFERROR(LOOKUP(2,1/('Outreach Log'!$E$2:$E$9998=B223),'Outreach Log'!$B$2:$B$9998),"")</f>
        <v/>
      </c>
      <c r="K223" s="5">
        <f>COUNTIF('Outreach Log'!$E:$E,B223)</f>
        <v>0</v>
      </c>
    </row>
    <row r="224" spans="1:11">
      <c r="A224" s="9">
        <f>IF(tblCompanies[[#This Row],[Company Name]]&lt;&gt;0,ROW()-1,"")</f>
        <v>223</v>
      </c>
      <c r="B224" s="10" t="s">
        <v>2355</v>
      </c>
      <c r="C224" s="10" t="s">
        <v>4</v>
      </c>
      <c r="D224" s="10" t="s">
        <v>2171</v>
      </c>
      <c r="E224" s="10" t="s">
        <v>528</v>
      </c>
      <c r="F224" s="10" t="s">
        <v>2824</v>
      </c>
      <c r="G224" s="10" t="s">
        <v>2664</v>
      </c>
      <c r="H224" s="10"/>
      <c r="I224" s="10" t="s">
        <v>2681</v>
      </c>
      <c r="J224" s="7">
        <f>IFERROR(LOOKUP(2,1/('Outreach Log'!$E$2:$E$9998=B224),'Outreach Log'!$B$2:$B$9998),"")</f>
        <v>46126</v>
      </c>
      <c r="K224" s="5">
        <f>COUNTIF('Outreach Log'!$E:$E,B224)</f>
        <v>1</v>
      </c>
    </row>
    <row r="225" spans="1:11">
      <c r="A225" s="9">
        <f>IF(tblCompanies[[#This Row],[Company Name]]&lt;&gt;0,ROW()-1,"")</f>
        <v>224</v>
      </c>
      <c r="B225" s="10" t="s">
        <v>696</v>
      </c>
      <c r="C225" s="10"/>
      <c r="D225" s="10" t="s">
        <v>13</v>
      </c>
      <c r="E225" s="10"/>
      <c r="F225" s="10" t="s">
        <v>2824</v>
      </c>
      <c r="G225" s="10"/>
      <c r="H225" s="10"/>
      <c r="I225" s="10" t="s">
        <v>697</v>
      </c>
      <c r="J225" s="7">
        <f>IFERROR(LOOKUP(2,1/('Outreach Log'!$E$2:$E$9998=B225),'Outreach Log'!$B$2:$B$9998),"")</f>
        <v>46126</v>
      </c>
      <c r="K225" s="5">
        <f>COUNTIF('Outreach Log'!$E:$E,B225)</f>
        <v>1</v>
      </c>
    </row>
    <row r="226" spans="1:11">
      <c r="A226" s="9">
        <f>IF(tblCompanies[[#This Row],[Company Name]]&lt;&gt;0,ROW()-1,"")</f>
        <v>225</v>
      </c>
      <c r="B226" s="10" t="s">
        <v>2323</v>
      </c>
      <c r="C226" s="10" t="s">
        <v>5</v>
      </c>
      <c r="D226" s="10" t="s">
        <v>2171</v>
      </c>
      <c r="E226" s="10" t="s">
        <v>452</v>
      </c>
      <c r="F226" s="10" t="s">
        <v>2824</v>
      </c>
      <c r="G226" s="10" t="s">
        <v>2712</v>
      </c>
      <c r="H226" s="10"/>
      <c r="I226" s="10" t="s">
        <v>2726</v>
      </c>
      <c r="J226" s="7" t="str">
        <f>IFERROR(LOOKUP(2,1/('Outreach Log'!$E$2:$E$9998=B226),'Outreach Log'!$B$2:$B$9998),"")</f>
        <v/>
      </c>
      <c r="K226" s="5">
        <f>COUNTIF('Outreach Log'!$E:$E,B226)</f>
        <v>0</v>
      </c>
    </row>
    <row r="227" spans="1:11">
      <c r="A227" s="9">
        <f>IF(tblCompanies[[#This Row],[Company Name]]&lt;&gt;0,ROW()-1,"")</f>
        <v>226</v>
      </c>
      <c r="B227" s="10" t="s">
        <v>2209</v>
      </c>
      <c r="C227" s="10" t="s">
        <v>6</v>
      </c>
      <c r="D227" s="10" t="s">
        <v>2171</v>
      </c>
      <c r="E227" s="10" t="s">
        <v>132</v>
      </c>
      <c r="F227" s="10" t="s">
        <v>2824</v>
      </c>
      <c r="G227" s="10" t="s">
        <v>2664</v>
      </c>
      <c r="H227" s="10"/>
      <c r="I227" s="10" t="s">
        <v>133</v>
      </c>
      <c r="J227" s="7">
        <f>IFERROR(LOOKUP(2,1/('Outreach Log'!$E$2:$E$9998=B227),'Outreach Log'!$B$2:$B$9998),"")</f>
        <v>46126</v>
      </c>
      <c r="K227" s="5">
        <f>COUNTIF('Outreach Log'!$E:$E,B227)</f>
        <v>1</v>
      </c>
    </row>
    <row r="228" spans="1:11">
      <c r="A228" s="9">
        <f>IF(tblCompanies[[#This Row],[Company Name]]&lt;&gt;0,ROW()-1,"")</f>
        <v>227</v>
      </c>
      <c r="B228" s="10" t="s">
        <v>2380</v>
      </c>
      <c r="C228" s="10" t="s">
        <v>0</v>
      </c>
      <c r="D228" s="10" t="s">
        <v>2171</v>
      </c>
      <c r="E228" s="10" t="s">
        <v>600</v>
      </c>
      <c r="F228" s="10" t="s">
        <v>2824</v>
      </c>
      <c r="G228" s="10" t="s">
        <v>2702</v>
      </c>
      <c r="H228" s="10"/>
      <c r="I228" s="10" t="s">
        <v>601</v>
      </c>
      <c r="J228" s="7" t="str">
        <f>IFERROR(LOOKUP(2,1/('Outreach Log'!$E$2:$E$9998=B228),'Outreach Log'!$B$2:$B$9998),"")</f>
        <v/>
      </c>
      <c r="K228" s="5">
        <f>COUNTIF('Outreach Log'!$E:$E,B228)</f>
        <v>0</v>
      </c>
    </row>
    <row r="229" spans="1:11">
      <c r="A229" s="9">
        <f>IF(tblCompanies[[#This Row],[Company Name]]&lt;&gt;0,ROW()-1,"")</f>
        <v>228</v>
      </c>
      <c r="B229" s="10" t="s">
        <v>2426</v>
      </c>
      <c r="C229" s="10" t="s">
        <v>3</v>
      </c>
      <c r="D229" s="10" t="s">
        <v>2171</v>
      </c>
      <c r="E229" s="10" t="s">
        <v>709</v>
      </c>
      <c r="F229" s="10" t="s">
        <v>2824</v>
      </c>
      <c r="G229" s="10" t="s">
        <v>2618</v>
      </c>
      <c r="H229" s="10"/>
      <c r="I229" s="10" t="s">
        <v>2644</v>
      </c>
      <c r="J229" s="7">
        <f>IFERROR(LOOKUP(2,1/('Outreach Log'!$E$2:$E$9998=B229),'Outreach Log'!$B$2:$B$9998),"")</f>
        <v>46126</v>
      </c>
      <c r="K229" s="5">
        <f>COUNTIF('Outreach Log'!$E:$E,B229)</f>
        <v>1</v>
      </c>
    </row>
    <row r="230" spans="1:11">
      <c r="A230" s="43">
        <f>IF(tblCompanies[[#This Row],[Company Name]]&lt;&gt;0,ROW()-1,"")</f>
        <v>229</v>
      </c>
      <c r="B230" s="3" t="s">
        <v>3034</v>
      </c>
      <c r="D230" s="44" t="s">
        <v>3000</v>
      </c>
      <c r="E230" s="45" t="s">
        <v>3035</v>
      </c>
      <c r="F230" s="10" t="s">
        <v>2824</v>
      </c>
      <c r="G230" s="39"/>
      <c r="H230" s="3" t="s">
        <v>100</v>
      </c>
      <c r="I230" s="42" t="s">
        <v>3036</v>
      </c>
      <c r="J230" s="7" t="str">
        <f>IFERROR(LOOKUP(2,1/('Outreach Log'!$E$2:$E$9998=B230),'Outreach Log'!$B$2:$B$9998),"")</f>
        <v/>
      </c>
      <c r="K230" s="5">
        <f>COUNTIF('Outreach Log'!$E:$E,B230)</f>
        <v>0</v>
      </c>
    </row>
    <row r="231" spans="1:11">
      <c r="A231" s="9">
        <f>IF(tblCompanies[[#This Row],[Company Name]]&lt;&gt;0,ROW()-1,"")</f>
        <v>230</v>
      </c>
      <c r="B231" s="10" t="s">
        <v>2358</v>
      </c>
      <c r="C231" s="10" t="s">
        <v>1</v>
      </c>
      <c r="D231" s="10" t="s">
        <v>2171</v>
      </c>
      <c r="E231" s="10"/>
      <c r="F231" s="10" t="s">
        <v>2824</v>
      </c>
      <c r="G231" s="10" t="s">
        <v>2650</v>
      </c>
      <c r="H231" s="10"/>
      <c r="I231" s="10" t="s">
        <v>543</v>
      </c>
      <c r="J231" s="7" t="str">
        <f>IFERROR(LOOKUP(2,1/('Outreach Log'!$E$2:$E$9998=B231),'Outreach Log'!$B$2:$B$9998),"")</f>
        <v/>
      </c>
      <c r="K231" s="5">
        <f>COUNTIF('Outreach Log'!$E:$E,B231)</f>
        <v>0</v>
      </c>
    </row>
    <row r="232" spans="1:11">
      <c r="A232" s="9">
        <f>IF(tblCompanies[[#This Row],[Company Name]]&lt;&gt;0,ROW()-1,"")</f>
        <v>231</v>
      </c>
      <c r="B232" s="10" t="s">
        <v>2299</v>
      </c>
      <c r="C232" s="10" t="s">
        <v>1</v>
      </c>
      <c r="D232" s="10" t="s">
        <v>2171</v>
      </c>
      <c r="E232" s="10"/>
      <c r="F232" s="10" t="s">
        <v>2824</v>
      </c>
      <c r="G232" s="10" t="s">
        <v>248</v>
      </c>
      <c r="H232" s="10"/>
      <c r="I232" s="10" t="s">
        <v>2538</v>
      </c>
      <c r="J232" s="7" t="str">
        <f>IFERROR(LOOKUP(2,1/('Outreach Log'!$E$2:$E$9998=B232),'Outreach Log'!$B$2:$B$9998),"")</f>
        <v/>
      </c>
      <c r="K232" s="5">
        <f>COUNTIF('Outreach Log'!$E:$E,B232)</f>
        <v>0</v>
      </c>
    </row>
    <row r="233" spans="1:11">
      <c r="A233" s="9">
        <f>IF(tblCompanies[[#This Row],[Company Name]]&lt;&gt;0,ROW()-1,"")</f>
        <v>232</v>
      </c>
      <c r="B233" s="10" t="s">
        <v>2192</v>
      </c>
      <c r="C233" s="10" t="s">
        <v>5</v>
      </c>
      <c r="D233" s="10" t="s">
        <v>2171</v>
      </c>
      <c r="E233" s="10" t="s">
        <v>95</v>
      </c>
      <c r="F233" s="10" t="s">
        <v>2824</v>
      </c>
      <c r="G233" s="10" t="s">
        <v>2650</v>
      </c>
      <c r="H233" s="10"/>
      <c r="I233" s="10" t="s">
        <v>2651</v>
      </c>
      <c r="J233" s="7">
        <f>IFERROR(LOOKUP(2,1/('Outreach Log'!$E$2:$E$9998=B233),'Outreach Log'!$B$2:$B$9998),"")</f>
        <v>46126</v>
      </c>
      <c r="K233" s="5">
        <f>COUNTIF('Outreach Log'!$E:$E,B233)</f>
        <v>2</v>
      </c>
    </row>
    <row r="234" spans="1:11">
      <c r="A234" s="9">
        <f>IF(tblCompanies[[#This Row],[Company Name]]&lt;&gt;0,ROW()-1,"")</f>
        <v>233</v>
      </c>
      <c r="B234" s="10" t="s">
        <v>2296</v>
      </c>
      <c r="C234" s="10" t="s">
        <v>4</v>
      </c>
      <c r="D234" s="10" t="s">
        <v>2171</v>
      </c>
      <c r="E234" s="10" t="s">
        <v>402</v>
      </c>
      <c r="F234" s="10" t="s">
        <v>2824</v>
      </c>
      <c r="G234" s="10" t="s">
        <v>2561</v>
      </c>
      <c r="H234" s="10"/>
      <c r="I234" s="10" t="s">
        <v>403</v>
      </c>
      <c r="J234" s="7" t="str">
        <f>IFERROR(LOOKUP(2,1/('Outreach Log'!$E$2:$E$9998=B234),'Outreach Log'!$B$2:$B$9998),"")</f>
        <v/>
      </c>
      <c r="K234" s="5">
        <f>COUNTIF('Outreach Log'!$E:$E,B234)</f>
        <v>0</v>
      </c>
    </row>
    <row r="235" spans="1:11">
      <c r="A235" s="9">
        <f>IF(tblCompanies[[#This Row],[Company Name]]&lt;&gt;0,ROW()-1,"")</f>
        <v>234</v>
      </c>
      <c r="B235" s="10" t="s">
        <v>89</v>
      </c>
      <c r="C235" s="10"/>
      <c r="D235" s="10" t="s">
        <v>13</v>
      </c>
      <c r="E235" s="10" t="s">
        <v>90</v>
      </c>
      <c r="F235" s="10" t="s">
        <v>2824</v>
      </c>
      <c r="G235" s="10"/>
      <c r="H235" s="10"/>
      <c r="I235" s="10" t="s">
        <v>91</v>
      </c>
      <c r="J235" s="7">
        <f>IFERROR(LOOKUP(2,1/('Outreach Log'!$E$2:$E$9998=B235),'Outreach Log'!$B$2:$B$9998),"")</f>
        <v>46126</v>
      </c>
      <c r="K235" s="5">
        <f>COUNTIF('Outreach Log'!$E:$E,B235)</f>
        <v>1</v>
      </c>
    </row>
    <row r="236" spans="1:11">
      <c r="A236" s="9">
        <f>IF(tblCompanies[[#This Row],[Company Name]]&lt;&gt;0,ROW()-1,"")</f>
        <v>235</v>
      </c>
      <c r="B236" s="10" t="s">
        <v>2422</v>
      </c>
      <c r="C236" s="10" t="s">
        <v>3</v>
      </c>
      <c r="D236" s="10" t="s">
        <v>2171</v>
      </c>
      <c r="E236" s="10" t="s">
        <v>704</v>
      </c>
      <c r="F236" s="10" t="s">
        <v>2824</v>
      </c>
      <c r="G236" s="10" t="s">
        <v>430</v>
      </c>
      <c r="H236" s="10"/>
      <c r="I236" s="10" t="s">
        <v>2559</v>
      </c>
      <c r="J236" s="7" t="str">
        <f>IFERROR(LOOKUP(2,1/('Outreach Log'!$E$2:$E$9998=B236),'Outreach Log'!$B$2:$B$9998),"")</f>
        <v/>
      </c>
      <c r="K236" s="5">
        <f>COUNTIF('Outreach Log'!$E:$E,B236)</f>
        <v>0</v>
      </c>
    </row>
    <row r="237" spans="1:11">
      <c r="A237" s="43">
        <f>IF(tblCompanies[[#This Row],[Company Name]]&lt;&gt;0,ROW()-1,"")</f>
        <v>236</v>
      </c>
      <c r="B237" s="3" t="s">
        <v>3043</v>
      </c>
      <c r="D237" s="44" t="s">
        <v>3000</v>
      </c>
      <c r="E237" s="15" t="s">
        <v>3044</v>
      </c>
      <c r="F237" s="10" t="s">
        <v>2824</v>
      </c>
      <c r="H237" s="3" t="s">
        <v>3029</v>
      </c>
      <c r="I237" s="42" t="s">
        <v>3045</v>
      </c>
      <c r="J237" s="7">
        <f>IFERROR(LOOKUP(2,1/('Outreach Log'!$E$2:$E$9998=B237),'Outreach Log'!$B$2:$B$9998),"")</f>
        <v>46104</v>
      </c>
      <c r="K237" s="5">
        <f>COUNTIF('Outreach Log'!$E:$E,B237)</f>
        <v>1</v>
      </c>
    </row>
    <row r="238" spans="1:11">
      <c r="A238" s="9">
        <f>IF(tblCompanies[[#This Row],[Company Name]]&lt;&gt;0,ROW()-1,"")</f>
        <v>237</v>
      </c>
      <c r="B238" s="10" t="s">
        <v>475</v>
      </c>
      <c r="C238" s="10" t="s">
        <v>5</v>
      </c>
      <c r="D238" s="10" t="s">
        <v>2171</v>
      </c>
      <c r="E238" s="10"/>
      <c r="F238" s="10" t="s">
        <v>2824</v>
      </c>
      <c r="G238" s="10" t="s">
        <v>2712</v>
      </c>
      <c r="H238" s="10"/>
      <c r="I238" s="10" t="s">
        <v>2727</v>
      </c>
      <c r="J238" s="7" t="str">
        <f>IFERROR(LOOKUP(2,1/('Outreach Log'!$E$2:$E$9998=B238),'Outreach Log'!$B$2:$B$9998),"")</f>
        <v/>
      </c>
      <c r="K238" s="5">
        <f>COUNTIF('Outreach Log'!$E:$E,B238)</f>
        <v>0</v>
      </c>
    </row>
    <row r="239" spans="1:11">
      <c r="A239" s="9">
        <f>IF(tblCompanies[[#This Row],[Company Name]]&lt;&gt;0,ROW()-1,"")</f>
        <v>238</v>
      </c>
      <c r="B239" s="10" t="s">
        <v>2207</v>
      </c>
      <c r="C239" s="10" t="s">
        <v>7</v>
      </c>
      <c r="D239" s="10" t="s">
        <v>2171</v>
      </c>
      <c r="E239" s="10" t="s">
        <v>123</v>
      </c>
      <c r="F239" s="10" t="s">
        <v>2824</v>
      </c>
      <c r="G239" s="10" t="s">
        <v>2650</v>
      </c>
      <c r="H239" s="10"/>
      <c r="I239" s="10" t="s">
        <v>30</v>
      </c>
      <c r="J239" s="7" t="str">
        <f>IFERROR(LOOKUP(2,1/('Outreach Log'!$E$2:$E$9998=B239),'Outreach Log'!$B$2:$B$9998),"")</f>
        <v/>
      </c>
      <c r="K239" s="5">
        <f>COUNTIF('Outreach Log'!$E:$E,B239)</f>
        <v>0</v>
      </c>
    </row>
    <row r="240" spans="1:11">
      <c r="A240" s="9">
        <f>IF(tblCompanies[[#This Row],[Company Name]]&lt;&gt;0,ROW()-1,"")</f>
        <v>239</v>
      </c>
      <c r="B240" s="10" t="s">
        <v>2233</v>
      </c>
      <c r="C240" s="10" t="s">
        <v>5</v>
      </c>
      <c r="D240" s="10" t="s">
        <v>2171</v>
      </c>
      <c r="E240" s="10" t="s">
        <v>199</v>
      </c>
      <c r="F240" s="10" t="s">
        <v>2824</v>
      </c>
      <c r="G240" s="10" t="s">
        <v>2712</v>
      </c>
      <c r="H240" s="10"/>
      <c r="I240" s="10" t="s">
        <v>200</v>
      </c>
      <c r="J240" s="7" t="str">
        <f>IFERROR(LOOKUP(2,1/('Outreach Log'!$E$2:$E$9998=B240),'Outreach Log'!$B$2:$B$9998),"")</f>
        <v/>
      </c>
      <c r="K240" s="5">
        <f>COUNTIF('Outreach Log'!$E:$E,B240)</f>
        <v>0</v>
      </c>
    </row>
    <row r="241" spans="1:11">
      <c r="A241" s="9">
        <f>IF(tblCompanies[[#This Row],[Company Name]]&lt;&gt;0,ROW()-1,"")</f>
        <v>240</v>
      </c>
      <c r="B241" s="10" t="s">
        <v>2350</v>
      </c>
      <c r="C241" s="10" t="s">
        <v>3</v>
      </c>
      <c r="D241" s="10" t="s">
        <v>2171</v>
      </c>
      <c r="E241" s="10" t="s">
        <v>519</v>
      </c>
      <c r="F241" s="10" t="s">
        <v>2824</v>
      </c>
      <c r="G241" s="10" t="s">
        <v>2777</v>
      </c>
      <c r="H241" s="10"/>
      <c r="I241" s="10" t="s">
        <v>2789</v>
      </c>
      <c r="J241" s="7">
        <f>IFERROR(LOOKUP(2,1/('Outreach Log'!$E$2:$E$9998=B241),'Outreach Log'!$B$2:$B$9998),"")</f>
        <v>46126</v>
      </c>
      <c r="K241" s="5">
        <f>COUNTIF('Outreach Log'!$E:$E,B241)</f>
        <v>1</v>
      </c>
    </row>
    <row r="242" spans="1:11">
      <c r="A242" s="9">
        <f>IF(tblCompanies[[#This Row],[Company Name]]&lt;&gt;0,ROW()-1,"")</f>
        <v>241</v>
      </c>
      <c r="B242" s="10" t="s">
        <v>145</v>
      </c>
      <c r="C242" s="10" t="s">
        <v>3</v>
      </c>
      <c r="D242" s="10" t="s">
        <v>2171</v>
      </c>
      <c r="E242" s="10" t="s">
        <v>146</v>
      </c>
      <c r="F242" s="10" t="s">
        <v>2824</v>
      </c>
      <c r="G242" s="10" t="s">
        <v>2618</v>
      </c>
      <c r="H242" s="10"/>
      <c r="I242" s="10" t="s">
        <v>2621</v>
      </c>
      <c r="J242" s="7">
        <f>IFERROR(LOOKUP(2,1/('Outreach Log'!$E$2:$E$9998=B242),'Outreach Log'!$B$2:$B$9998),"")</f>
        <v>46126</v>
      </c>
      <c r="K242" s="5">
        <f>COUNTIF('Outreach Log'!$E:$E,B242)</f>
        <v>1</v>
      </c>
    </row>
    <row r="243" spans="1:11">
      <c r="A243" s="9">
        <f>IF(tblCompanies[[#This Row],[Company Name]]&lt;&gt;0,ROW()-1,"")</f>
        <v>242</v>
      </c>
      <c r="B243" s="10" t="s">
        <v>2263</v>
      </c>
      <c r="C243" s="10" t="s">
        <v>0</v>
      </c>
      <c r="D243" s="10" t="s">
        <v>2171</v>
      </c>
      <c r="E243" s="10" t="s">
        <v>272</v>
      </c>
      <c r="F243" s="10" t="s">
        <v>2824</v>
      </c>
      <c r="G243" s="10" t="s">
        <v>2604</v>
      </c>
      <c r="H243" s="10"/>
      <c r="I243" s="10" t="s">
        <v>2609</v>
      </c>
      <c r="J243" s="7" t="str">
        <f>IFERROR(LOOKUP(2,1/('Outreach Log'!$E$2:$E$9998=B243),'Outreach Log'!$B$2:$B$9998),"")</f>
        <v/>
      </c>
      <c r="K243" s="5">
        <f>COUNTIF('Outreach Log'!$E:$E,B243)</f>
        <v>0</v>
      </c>
    </row>
    <row r="244" spans="1:11">
      <c r="A244" s="43">
        <f>IF(tblCompanies[[#This Row],[Company Name]]&lt;&gt;0,ROW()-1,"")</f>
        <v>243</v>
      </c>
      <c r="B244" s="3" t="s">
        <v>3046</v>
      </c>
      <c r="D244" s="44" t="s">
        <v>3000</v>
      </c>
      <c r="E244" s="45" t="s">
        <v>3047</v>
      </c>
      <c r="F244" s="10" t="s">
        <v>2824</v>
      </c>
      <c r="G244" s="39"/>
      <c r="H244" s="3" t="s">
        <v>344</v>
      </c>
      <c r="I244" s="42" t="s">
        <v>3048</v>
      </c>
      <c r="J244" s="7">
        <f>IFERROR(LOOKUP(2,1/('Outreach Log'!$E$2:$E$9998=B244),'Outreach Log'!$B$2:$B$9998),"")</f>
        <v>46126</v>
      </c>
      <c r="K244" s="5">
        <f>COUNTIF('Outreach Log'!$E:$E,B244)</f>
        <v>1</v>
      </c>
    </row>
    <row r="245" spans="1:11">
      <c r="A245" s="9">
        <f>IF(tblCompanies[[#This Row],[Company Name]]&lt;&gt;0,ROW()-1,"")</f>
        <v>244</v>
      </c>
      <c r="B245" s="10" t="s">
        <v>2295</v>
      </c>
      <c r="C245" s="10" t="s">
        <v>0</v>
      </c>
      <c r="D245" s="10" t="s">
        <v>2171</v>
      </c>
      <c r="E245" s="10" t="s">
        <v>399</v>
      </c>
      <c r="F245" s="10" t="s">
        <v>2824</v>
      </c>
      <c r="G245" s="10" t="s">
        <v>2702</v>
      </c>
      <c r="H245" s="10"/>
      <c r="I245" s="10" t="s">
        <v>2708</v>
      </c>
      <c r="J245" s="7" t="str">
        <f>IFERROR(LOOKUP(2,1/('Outreach Log'!$E$2:$E$9998=B245),'Outreach Log'!$B$2:$B$9998),"")</f>
        <v/>
      </c>
      <c r="K245" s="5">
        <f>COUNTIF('Outreach Log'!$E:$E,B245)</f>
        <v>0</v>
      </c>
    </row>
    <row r="246" spans="1:11">
      <c r="A246" s="9">
        <f>IF(tblCompanies[[#This Row],[Company Name]]&lt;&gt;0,ROW()-1,"")</f>
        <v>245</v>
      </c>
      <c r="B246" s="10" t="s">
        <v>2312</v>
      </c>
      <c r="C246" s="10" t="s">
        <v>1</v>
      </c>
      <c r="D246" s="10" t="s">
        <v>2171</v>
      </c>
      <c r="E246" s="10"/>
      <c r="F246" s="10" t="s">
        <v>2824</v>
      </c>
      <c r="G246" s="10" t="s">
        <v>2573</v>
      </c>
      <c r="H246" s="10"/>
      <c r="I246" s="10" t="s">
        <v>2591</v>
      </c>
      <c r="J246" s="7" t="str">
        <f>IFERROR(LOOKUP(2,1/('Outreach Log'!$E$2:$E$9998=B246),'Outreach Log'!$B$2:$B$9998),"")</f>
        <v/>
      </c>
      <c r="K246" s="5">
        <f>COUNTIF('Outreach Log'!$E:$E,B246)</f>
        <v>0</v>
      </c>
    </row>
    <row r="247" spans="1:11">
      <c r="A247" s="9">
        <f>IF(tblCompanies[[#This Row],[Company Name]]&lt;&gt;0,ROW()-1,"")</f>
        <v>246</v>
      </c>
      <c r="B247" s="10" t="s">
        <v>465</v>
      </c>
      <c r="C247" s="10" t="s">
        <v>3</v>
      </c>
      <c r="D247" s="10" t="s">
        <v>2171</v>
      </c>
      <c r="E247" s="10" t="s">
        <v>466</v>
      </c>
      <c r="F247" s="10" t="s">
        <v>2824</v>
      </c>
      <c r="G247" s="10" t="s">
        <v>2618</v>
      </c>
      <c r="H247" s="10"/>
      <c r="I247" s="10" t="s">
        <v>2632</v>
      </c>
      <c r="J247" s="7" t="str">
        <f>IFERROR(LOOKUP(2,1/('Outreach Log'!$E$2:$E$9998=B247),'Outreach Log'!$B$2:$B$9998),"")</f>
        <v/>
      </c>
      <c r="K247" s="5">
        <f>COUNTIF('Outreach Log'!$E:$E,B247)</f>
        <v>0</v>
      </c>
    </row>
    <row r="248" spans="1:11">
      <c r="A248" s="9">
        <f>IF(tblCompanies[[#This Row],[Company Name]]&lt;&gt;0,ROW()-1,"")</f>
        <v>247</v>
      </c>
      <c r="B248" s="10" t="s">
        <v>412</v>
      </c>
      <c r="C248" s="10"/>
      <c r="D248" s="10" t="s">
        <v>13</v>
      </c>
      <c r="E248" s="10"/>
      <c r="F248" s="10" t="s">
        <v>2824</v>
      </c>
      <c r="G248" s="10"/>
      <c r="H248" s="10"/>
      <c r="I248" s="10" t="s">
        <v>413</v>
      </c>
      <c r="J248" s="7" t="str">
        <f>IFERROR(LOOKUP(2,1/('Outreach Log'!$E$2:$E$9998=B248),'Outreach Log'!$B$2:$B$9998),"")</f>
        <v/>
      </c>
      <c r="K248" s="5">
        <f>COUNTIF('Outreach Log'!$E:$E,B248)</f>
        <v>0</v>
      </c>
    </row>
    <row r="249" spans="1:11">
      <c r="A249" s="9">
        <f>IF(tblCompanies[[#This Row],[Company Name]]&lt;&gt;0,ROW()-1,"")</f>
        <v>248</v>
      </c>
      <c r="B249" s="10" t="s">
        <v>2170</v>
      </c>
      <c r="C249" s="10" t="s">
        <v>0</v>
      </c>
      <c r="D249" s="10" t="s">
        <v>2171</v>
      </c>
      <c r="E249" s="10" t="s">
        <v>29</v>
      </c>
      <c r="F249" s="10" t="s">
        <v>2824</v>
      </c>
      <c r="G249" s="10" t="s">
        <v>2604</v>
      </c>
      <c r="H249" s="10"/>
      <c r="I249" s="10" t="s">
        <v>2605</v>
      </c>
      <c r="J249" s="7">
        <f>IFERROR(LOOKUP(2,1/('Outreach Log'!$E$2:$E$9998=B249),'Outreach Log'!$B$2:$B$9998),"")</f>
        <v>46126</v>
      </c>
      <c r="K249" s="5">
        <f>COUNTIF('Outreach Log'!$E:$E,B249)</f>
        <v>2</v>
      </c>
    </row>
    <row r="250" spans="1:11">
      <c r="A250" s="9">
        <f>IF(tblCompanies[[#This Row],[Company Name]]&lt;&gt;0,ROW()-1,"")</f>
        <v>249</v>
      </c>
      <c r="B250" s="10" t="s">
        <v>2223</v>
      </c>
      <c r="C250" s="10" t="s">
        <v>3</v>
      </c>
      <c r="D250" s="10" t="s">
        <v>2171</v>
      </c>
      <c r="E250" s="10" t="s">
        <v>183</v>
      </c>
      <c r="F250" s="10" t="s">
        <v>2824</v>
      </c>
      <c r="G250" s="10" t="s">
        <v>184</v>
      </c>
      <c r="H250" s="10"/>
      <c r="I250" s="10" t="s">
        <v>2693</v>
      </c>
      <c r="J250" s="7" t="str">
        <f>IFERROR(LOOKUP(2,1/('Outreach Log'!$E$2:$E$9998=B250),'Outreach Log'!$B$2:$B$9998),"")</f>
        <v/>
      </c>
      <c r="K250" s="5">
        <f>COUNTIF('Outreach Log'!$E:$E,B250)</f>
        <v>0</v>
      </c>
    </row>
    <row r="251" spans="1:11">
      <c r="A251" s="9">
        <f>IF(tblCompanies[[#This Row],[Company Name]]&lt;&gt;0,ROW()-1,"")</f>
        <v>250</v>
      </c>
      <c r="B251" s="10" t="s">
        <v>207</v>
      </c>
      <c r="C251" s="10" t="s">
        <v>6</v>
      </c>
      <c r="D251" s="10" t="s">
        <v>2171</v>
      </c>
      <c r="E251" s="10" t="s">
        <v>208</v>
      </c>
      <c r="F251" s="10" t="s">
        <v>2824</v>
      </c>
      <c r="G251" s="10" t="s">
        <v>2692</v>
      </c>
      <c r="H251" s="10"/>
      <c r="I251" s="10" t="s">
        <v>209</v>
      </c>
      <c r="J251" s="7">
        <f>IFERROR(LOOKUP(2,1/('Outreach Log'!$E$2:$E$9998=B251),'Outreach Log'!$B$2:$B$9998),"")</f>
        <v>46126</v>
      </c>
      <c r="K251" s="5">
        <f>COUNTIF('Outreach Log'!$E:$E,B251)</f>
        <v>1</v>
      </c>
    </row>
    <row r="252" spans="1:11">
      <c r="A252" s="9">
        <f>IF(tblCompanies[[#This Row],[Company Name]]&lt;&gt;0,ROW()-1,"")</f>
        <v>251</v>
      </c>
      <c r="B252" s="10" t="s">
        <v>2201</v>
      </c>
      <c r="C252" s="10" t="s">
        <v>0</v>
      </c>
      <c r="D252" s="10" t="s">
        <v>2171</v>
      </c>
      <c r="E252" s="10" t="s">
        <v>108</v>
      </c>
      <c r="F252" s="10" t="s">
        <v>2824</v>
      </c>
      <c r="G252" s="10" t="s">
        <v>2756</v>
      </c>
      <c r="H252" s="10"/>
      <c r="I252" s="10" t="s">
        <v>2757</v>
      </c>
      <c r="J252" s="7" t="str">
        <f>IFERROR(LOOKUP(2,1/('Outreach Log'!$E$2:$E$9998=B252),'Outreach Log'!$B$2:$B$9998),"")</f>
        <v/>
      </c>
      <c r="K252" s="5">
        <f>COUNTIF('Outreach Log'!$E:$E,B252)</f>
        <v>0</v>
      </c>
    </row>
    <row r="253" spans="1:11">
      <c r="A253" s="9">
        <f>IF(tblCompanies[[#This Row],[Company Name]]&lt;&gt;0,ROW()-1,"")</f>
        <v>252</v>
      </c>
      <c r="B253" s="10" t="s">
        <v>2234</v>
      </c>
      <c r="C253" s="10" t="s">
        <v>1</v>
      </c>
      <c r="D253" s="10" t="s">
        <v>2171</v>
      </c>
      <c r="E253" s="10" t="s">
        <v>201</v>
      </c>
      <c r="F253" s="10" t="s">
        <v>2824</v>
      </c>
      <c r="G253" s="10" t="s">
        <v>2573</v>
      </c>
      <c r="H253" s="10"/>
      <c r="I253" s="10" t="s">
        <v>202</v>
      </c>
      <c r="J253" s="7" t="str">
        <f>IFERROR(LOOKUP(2,1/('Outreach Log'!$E$2:$E$9998=B253),'Outreach Log'!$B$2:$B$9998),"")</f>
        <v/>
      </c>
      <c r="K253" s="5">
        <f>COUNTIF('Outreach Log'!$E:$E,B253)</f>
        <v>0</v>
      </c>
    </row>
    <row r="254" spans="1:11">
      <c r="A254" s="9">
        <f>IF(tblCompanies[[#This Row],[Company Name]]&lt;&gt;0,ROW()-1,"")</f>
        <v>253</v>
      </c>
      <c r="B254" s="10" t="s">
        <v>2357</v>
      </c>
      <c r="C254" s="10" t="s">
        <v>1</v>
      </c>
      <c r="D254" s="10" t="s">
        <v>2171</v>
      </c>
      <c r="E254" s="10" t="s">
        <v>539</v>
      </c>
      <c r="F254" s="10" t="s">
        <v>2824</v>
      </c>
      <c r="G254" s="10" t="s">
        <v>2756</v>
      </c>
      <c r="H254" s="10"/>
      <c r="I254" s="10" t="s">
        <v>2768</v>
      </c>
      <c r="J254" s="7" t="str">
        <f>IFERROR(LOOKUP(2,1/('Outreach Log'!$E$2:$E$9998=B254),'Outreach Log'!$B$2:$B$9998),"")</f>
        <v/>
      </c>
      <c r="K254" s="5">
        <f>COUNTIF('Outreach Log'!$E:$E,B254)</f>
        <v>0</v>
      </c>
    </row>
    <row r="255" spans="1:11">
      <c r="A255" s="9">
        <f>IF(tblCompanies[[#This Row],[Company Name]]&lt;&gt;0,ROW()-1,"")</f>
        <v>254</v>
      </c>
      <c r="B255" s="10" t="s">
        <v>238</v>
      </c>
      <c r="C255" s="10" t="s">
        <v>3</v>
      </c>
      <c r="D255" s="10" t="s">
        <v>2171</v>
      </c>
      <c r="E255" s="10" t="s">
        <v>239</v>
      </c>
      <c r="F255" s="10" t="s">
        <v>2824</v>
      </c>
      <c r="G255" s="10" t="s">
        <v>2777</v>
      </c>
      <c r="H255" s="10"/>
      <c r="I255" s="10" t="s">
        <v>2781</v>
      </c>
      <c r="J255" s="7">
        <f>IFERROR(LOOKUP(2,1/('Outreach Log'!$E$2:$E$9998=B255),'Outreach Log'!$B$2:$B$9998),"")</f>
        <v>46126</v>
      </c>
      <c r="K255" s="5">
        <f>COUNTIF('Outreach Log'!$E:$E,B255)</f>
        <v>1</v>
      </c>
    </row>
    <row r="256" spans="1:11">
      <c r="A256" s="9">
        <f>IF(tblCompanies[[#This Row],[Company Name]]&lt;&gt;0,ROW()-1,"")</f>
        <v>255</v>
      </c>
      <c r="B256" s="10" t="s">
        <v>2217</v>
      </c>
      <c r="C256" s="10" t="s">
        <v>3</v>
      </c>
      <c r="D256" s="10" t="s">
        <v>2171</v>
      </c>
      <c r="E256" s="10" t="s">
        <v>166</v>
      </c>
      <c r="F256" s="10" t="s">
        <v>2824</v>
      </c>
      <c r="G256" s="10" t="s">
        <v>2756</v>
      </c>
      <c r="H256" s="10"/>
      <c r="I256" s="10" t="s">
        <v>2758</v>
      </c>
      <c r="J256" s="7">
        <f>IFERROR(LOOKUP(2,1/('Outreach Log'!$E$2:$E$9998=B256),'Outreach Log'!$B$2:$B$9998),"")</f>
        <v>46126</v>
      </c>
      <c r="K256" s="5">
        <f>COUNTIF('Outreach Log'!$E:$E,B256)</f>
        <v>1</v>
      </c>
    </row>
    <row r="257" spans="1:11">
      <c r="A257" s="9">
        <f>IF(tblCompanies[[#This Row],[Company Name]]&lt;&gt;0,ROW()-1,"")</f>
        <v>256</v>
      </c>
      <c r="B257" s="10" t="s">
        <v>2414</v>
      </c>
      <c r="C257" s="10" t="s">
        <v>6</v>
      </c>
      <c r="D257" s="10" t="s">
        <v>2171</v>
      </c>
      <c r="E257" s="10" t="s">
        <v>687</v>
      </c>
      <c r="F257" s="10" t="s">
        <v>2824</v>
      </c>
      <c r="G257" s="10" t="s">
        <v>2702</v>
      </c>
      <c r="H257" s="10"/>
      <c r="I257" s="10" t="s">
        <v>2709</v>
      </c>
      <c r="J257" s="7">
        <f>IFERROR(LOOKUP(2,1/('Outreach Log'!$E$2:$E$9998=B257),'Outreach Log'!$B$2:$B$9998),"")</f>
        <v>46126</v>
      </c>
      <c r="K257" s="5">
        <f>COUNTIF('Outreach Log'!$E:$E,B257)</f>
        <v>1</v>
      </c>
    </row>
    <row r="258" spans="1:11">
      <c r="A258" s="9">
        <f>IF(tblCompanies[[#This Row],[Company Name]]&lt;&gt;0,ROW()-1,"")</f>
        <v>257</v>
      </c>
      <c r="B258" s="10" t="s">
        <v>2329</v>
      </c>
      <c r="C258" s="10" t="s">
        <v>0</v>
      </c>
      <c r="D258" s="10" t="s">
        <v>2171</v>
      </c>
      <c r="E258" s="10" t="s">
        <v>472</v>
      </c>
      <c r="F258" s="10" t="s">
        <v>2824</v>
      </c>
      <c r="G258" s="10" t="s">
        <v>2604</v>
      </c>
      <c r="H258" s="10"/>
      <c r="I258" s="10" t="s">
        <v>2611</v>
      </c>
      <c r="J258" s="7">
        <f>IFERROR(LOOKUP(2,1/('Outreach Log'!$E$2:$E$9998=B258),'Outreach Log'!$B$2:$B$9998),"")</f>
        <v>46126</v>
      </c>
      <c r="K258" s="5">
        <f>COUNTIF('Outreach Log'!$E:$E,B258)</f>
        <v>1</v>
      </c>
    </row>
    <row r="259" spans="1:11">
      <c r="A259" s="9">
        <f>IF(tblCompanies[[#This Row],[Company Name]]&lt;&gt;0,ROW()-1,"")</f>
        <v>258</v>
      </c>
      <c r="B259" s="10" t="s">
        <v>2398</v>
      </c>
      <c r="C259" s="10" t="s">
        <v>3</v>
      </c>
      <c r="D259" s="10" t="s">
        <v>2171</v>
      </c>
      <c r="E259" s="10" t="s">
        <v>653</v>
      </c>
      <c r="F259" s="10" t="s">
        <v>2824</v>
      </c>
      <c r="G259" s="10" t="s">
        <v>46</v>
      </c>
      <c r="H259" s="10"/>
      <c r="I259" s="10" t="s">
        <v>2528</v>
      </c>
      <c r="J259" s="7" t="str">
        <f>IFERROR(LOOKUP(2,1/('Outreach Log'!$E$2:$E$9998=B259),'Outreach Log'!$B$2:$B$9998),"")</f>
        <v/>
      </c>
      <c r="K259" s="5">
        <f>COUNTIF('Outreach Log'!$E:$E,B259)</f>
        <v>0</v>
      </c>
    </row>
    <row r="260" spans="1:11">
      <c r="A260" s="9">
        <f>IF(tblCompanies[[#This Row],[Company Name]]&lt;&gt;0,ROW()-1,"")</f>
        <v>259</v>
      </c>
      <c r="B260" s="10" t="s">
        <v>2172</v>
      </c>
      <c r="C260" s="10" t="s">
        <v>1</v>
      </c>
      <c r="D260" s="10" t="s">
        <v>2171</v>
      </c>
      <c r="E260" s="10" t="s">
        <v>34</v>
      </c>
      <c r="F260" s="10" t="s">
        <v>2824</v>
      </c>
      <c r="G260" s="10" t="s">
        <v>2685</v>
      </c>
      <c r="H260" s="10"/>
      <c r="I260" s="10" t="s">
        <v>2686</v>
      </c>
      <c r="J260" s="7" t="str">
        <f>IFERROR(LOOKUP(2,1/('Outreach Log'!$E$2:$E$9998=B260),'Outreach Log'!$B$2:$B$9998),"")</f>
        <v/>
      </c>
      <c r="K260" s="5">
        <f>COUNTIF('Outreach Log'!$E:$E,B260)</f>
        <v>0</v>
      </c>
    </row>
    <row r="261" spans="1:11">
      <c r="A261" s="9">
        <f>IF(tblCompanies[[#This Row],[Company Name]]&lt;&gt;0,ROW()-1,"")</f>
        <v>260</v>
      </c>
      <c r="B261" s="10" t="s">
        <v>2283</v>
      </c>
      <c r="C261" s="10" t="s">
        <v>6</v>
      </c>
      <c r="D261" s="10" t="s">
        <v>2171</v>
      </c>
      <c r="E261" s="10" t="s">
        <v>377</v>
      </c>
      <c r="F261" s="10" t="s">
        <v>2824</v>
      </c>
      <c r="G261" s="10" t="s">
        <v>46</v>
      </c>
      <c r="H261" s="10"/>
      <c r="I261" s="10" t="s">
        <v>378</v>
      </c>
      <c r="J261" s="7" t="str">
        <f>IFERROR(LOOKUP(2,1/('Outreach Log'!$E$2:$E$9998=B261),'Outreach Log'!$B$2:$B$9998),"")</f>
        <v/>
      </c>
      <c r="K261" s="5">
        <f>COUNTIF('Outreach Log'!$E:$E,B261)</f>
        <v>0</v>
      </c>
    </row>
    <row r="262" spans="1:11">
      <c r="A262" s="9">
        <f>IF(tblCompanies[[#This Row],[Company Name]]&lt;&gt;0,ROW()-1,"")</f>
        <v>261</v>
      </c>
      <c r="B262" s="10" t="s">
        <v>715</v>
      </c>
      <c r="C262" s="10"/>
      <c r="D262" s="10" t="s">
        <v>13</v>
      </c>
      <c r="E262" s="10"/>
      <c r="F262" s="10" t="s">
        <v>2824</v>
      </c>
      <c r="G262" s="10"/>
      <c r="H262" s="10"/>
      <c r="I262" s="10"/>
      <c r="J262" s="7" t="str">
        <f>IFERROR(LOOKUP(2,1/('Outreach Log'!$E$2:$E$9998=B262),'Outreach Log'!$B$2:$B$9998),"")</f>
        <v/>
      </c>
      <c r="K262" s="5">
        <f>COUNTIF('Outreach Log'!$E:$E,B262)</f>
        <v>0</v>
      </c>
    </row>
    <row r="263" spans="1:11">
      <c r="A263" s="9">
        <f>IF(tblCompanies[[#This Row],[Company Name]]&lt;&gt;0,ROW()-1,"")</f>
        <v>262</v>
      </c>
      <c r="B263" s="10" t="s">
        <v>365</v>
      </c>
      <c r="C263" s="10" t="s">
        <v>5</v>
      </c>
      <c r="D263" s="10" t="s">
        <v>2171</v>
      </c>
      <c r="E263" s="10"/>
      <c r="F263" s="10" t="s">
        <v>2824</v>
      </c>
      <c r="G263" s="10" t="s">
        <v>2712</v>
      </c>
      <c r="H263" s="10"/>
      <c r="I263" s="10" t="s">
        <v>2722</v>
      </c>
      <c r="J263" s="7">
        <f>IFERROR(LOOKUP(2,1/('Outreach Log'!$E$2:$E$9998=B263),'Outreach Log'!$B$2:$B$9998),"")</f>
        <v>46126</v>
      </c>
      <c r="K263" s="5">
        <f>COUNTIF('Outreach Log'!$E:$E,B263)</f>
        <v>1</v>
      </c>
    </row>
    <row r="264" spans="1:11">
      <c r="A264" s="9">
        <f>IF(tblCompanies[[#This Row],[Company Name]]&lt;&gt;0,ROW()-1,"")</f>
        <v>263</v>
      </c>
      <c r="B264" s="10" t="s">
        <v>254</v>
      </c>
      <c r="C264" s="10" t="s">
        <v>3</v>
      </c>
      <c r="D264" s="10" t="s">
        <v>2171</v>
      </c>
      <c r="E264" s="10" t="s">
        <v>255</v>
      </c>
      <c r="F264" s="10" t="s">
        <v>2824</v>
      </c>
      <c r="G264" s="10" t="s">
        <v>46</v>
      </c>
      <c r="H264" s="10"/>
      <c r="I264" s="10" t="s">
        <v>2511</v>
      </c>
      <c r="J264" s="7" t="str">
        <f>IFERROR(LOOKUP(2,1/('Outreach Log'!$E$2:$E$9998=B264),'Outreach Log'!$B$2:$B$9998),"")</f>
        <v/>
      </c>
      <c r="K264" s="5">
        <f>COUNTIF('Outreach Log'!$E:$E,B264)</f>
        <v>0</v>
      </c>
    </row>
    <row r="265" spans="1:11">
      <c r="A265" s="43">
        <f>IF(tblCompanies[[#This Row],[Company Name]]&lt;&gt;0,ROW()-1,"")</f>
        <v>264</v>
      </c>
      <c r="B265" s="3" t="s">
        <v>3054</v>
      </c>
      <c r="D265" s="44" t="s">
        <v>3000</v>
      </c>
      <c r="E265" s="45" t="s">
        <v>35</v>
      </c>
      <c r="F265" s="10" t="s">
        <v>2824</v>
      </c>
      <c r="G265" s="39"/>
      <c r="H265" s="3" t="s">
        <v>37</v>
      </c>
      <c r="I265" s="42" t="s">
        <v>3055</v>
      </c>
      <c r="J265" s="7" t="str">
        <f>IFERROR(LOOKUP(2,1/('Outreach Log'!$E$2:$E$9998=B265),'Outreach Log'!$B$2:$B$9998),"")</f>
        <v/>
      </c>
      <c r="K265" s="5">
        <f>COUNTIF('Outreach Log'!$E:$E,B265)</f>
        <v>0</v>
      </c>
    </row>
    <row r="266" spans="1:11">
      <c r="A266" s="9">
        <f>IF(tblCompanies[[#This Row],[Company Name]]&lt;&gt;0,ROW()-1,"")</f>
        <v>265</v>
      </c>
      <c r="B266" s="10" t="s">
        <v>2254</v>
      </c>
      <c r="C266" s="10" t="s">
        <v>6</v>
      </c>
      <c r="D266" s="10" t="s">
        <v>2171</v>
      </c>
      <c r="E266" s="10" t="s">
        <v>256</v>
      </c>
      <c r="F266" s="10" t="s">
        <v>2824</v>
      </c>
      <c r="G266" s="10" t="s">
        <v>2777</v>
      </c>
      <c r="H266" s="10"/>
      <c r="I266" s="10" t="s">
        <v>2782</v>
      </c>
      <c r="J266" s="7" t="str">
        <f>IFERROR(LOOKUP(2,1/('Outreach Log'!$E$2:$E$9998=B266),'Outreach Log'!$B$2:$B$9998),"")</f>
        <v/>
      </c>
      <c r="K266" s="5">
        <f>COUNTIF('Outreach Log'!$E:$E,B266)</f>
        <v>0</v>
      </c>
    </row>
    <row r="267" spans="1:11">
      <c r="A267" s="9">
        <f>IF(tblCompanies[[#This Row],[Company Name]]&lt;&gt;0,ROW()-1,"")</f>
        <v>266</v>
      </c>
      <c r="B267" s="10" t="s">
        <v>129</v>
      </c>
      <c r="C267" s="10" t="s">
        <v>6</v>
      </c>
      <c r="D267" s="10" t="s">
        <v>2171</v>
      </c>
      <c r="E267" s="10" t="s">
        <v>130</v>
      </c>
      <c r="F267" s="10" t="s">
        <v>2824</v>
      </c>
      <c r="G267" s="10" t="s">
        <v>2664</v>
      </c>
      <c r="H267" s="10"/>
      <c r="I267" s="10" t="s">
        <v>2666</v>
      </c>
      <c r="J267" s="7">
        <f>IFERROR(LOOKUP(2,1/('Outreach Log'!$E$2:$E$9998=B267),'Outreach Log'!$B$2:$B$9998),"")</f>
        <v>46126</v>
      </c>
      <c r="K267" s="5">
        <f>COUNTIF('Outreach Log'!$E:$E,B267)</f>
        <v>1</v>
      </c>
    </row>
    <row r="268" spans="1:11">
      <c r="A268" s="9">
        <f>IF(tblCompanies[[#This Row],[Company Name]]&lt;&gt;0,ROW()-1,"")</f>
        <v>267</v>
      </c>
      <c r="B268" s="10" t="s">
        <v>2325</v>
      </c>
      <c r="C268" s="10" t="s">
        <v>6</v>
      </c>
      <c r="D268" s="10" t="s">
        <v>2171</v>
      </c>
      <c r="E268" s="10" t="s">
        <v>463</v>
      </c>
      <c r="F268" s="10" t="s">
        <v>2824</v>
      </c>
      <c r="G268" s="10" t="s">
        <v>2560</v>
      </c>
      <c r="H268" s="10"/>
      <c r="I268" s="10" t="s">
        <v>464</v>
      </c>
      <c r="J268" s="7">
        <f>IFERROR(LOOKUP(2,1/('Outreach Log'!$E$2:$E$9998=B268),'Outreach Log'!$B$2:$B$9998),"")</f>
        <v>46126</v>
      </c>
      <c r="K268" s="5">
        <f>COUNTIF('Outreach Log'!$E:$E,B268)</f>
        <v>1</v>
      </c>
    </row>
    <row r="269" spans="1:11">
      <c r="A269" s="9">
        <f>IF(tblCompanies[[#This Row],[Company Name]]&lt;&gt;0,ROW()-1,"")</f>
        <v>268</v>
      </c>
      <c r="B269" s="10" t="s">
        <v>2177</v>
      </c>
      <c r="C269" s="10" t="s">
        <v>1</v>
      </c>
      <c r="D269" s="10" t="s">
        <v>2171</v>
      </c>
      <c r="E269" s="10" t="s">
        <v>47</v>
      </c>
      <c r="F269" s="10" t="s">
        <v>2824</v>
      </c>
      <c r="G269" s="10" t="s">
        <v>2573</v>
      </c>
      <c r="H269" s="10"/>
      <c r="I269" s="10" t="s">
        <v>2575</v>
      </c>
      <c r="J269" s="7" t="str">
        <f>IFERROR(LOOKUP(2,1/('Outreach Log'!$E$2:$E$9998=B269),'Outreach Log'!$B$2:$B$9998),"")</f>
        <v/>
      </c>
      <c r="K269" s="5">
        <f>COUNTIF('Outreach Log'!$E:$E,B269)</f>
        <v>0</v>
      </c>
    </row>
    <row r="270" spans="1:11">
      <c r="A270" s="9">
        <f>IF(tblCompanies[[#This Row],[Company Name]]&lt;&gt;0,ROW()-1,"")</f>
        <v>269</v>
      </c>
      <c r="B270" s="10" t="s">
        <v>2382</v>
      </c>
      <c r="C270" s="10" t="s">
        <v>3</v>
      </c>
      <c r="D270" s="10" t="s">
        <v>2171</v>
      </c>
      <c r="E270" s="10" t="s">
        <v>609</v>
      </c>
      <c r="F270" s="10" t="s">
        <v>2824</v>
      </c>
      <c r="G270" s="10" t="s">
        <v>2756</v>
      </c>
      <c r="H270" s="10"/>
      <c r="I270" s="10" t="s">
        <v>2771</v>
      </c>
      <c r="J270" s="7">
        <f>IFERROR(LOOKUP(2,1/('Outreach Log'!$E$2:$E$9998=B270),'Outreach Log'!$B$2:$B$9998),"")</f>
        <v>46126</v>
      </c>
      <c r="K270" s="5">
        <f>COUNTIF('Outreach Log'!$E:$E,B270)</f>
        <v>1</v>
      </c>
    </row>
    <row r="271" spans="1:11">
      <c r="A271" s="9">
        <f>IF(tblCompanies[[#This Row],[Company Name]]&lt;&gt;0,ROW()-1,"")</f>
        <v>270</v>
      </c>
      <c r="B271" s="10" t="s">
        <v>2225</v>
      </c>
      <c r="C271" s="10" t="s">
        <v>0</v>
      </c>
      <c r="D271" s="10" t="s">
        <v>2171</v>
      </c>
      <c r="E271" s="10" t="s">
        <v>191</v>
      </c>
      <c r="F271" s="10" t="s">
        <v>2824</v>
      </c>
      <c r="G271" s="10" t="s">
        <v>2756</v>
      </c>
      <c r="H271" s="10"/>
      <c r="I271" s="10" t="s">
        <v>2759</v>
      </c>
      <c r="J271" s="7" t="str">
        <f>IFERROR(LOOKUP(2,1/('Outreach Log'!$E$2:$E$9998=B271),'Outreach Log'!$B$2:$B$9998),"")</f>
        <v/>
      </c>
      <c r="K271" s="5">
        <f>COUNTIF('Outreach Log'!$E:$E,B271)</f>
        <v>0</v>
      </c>
    </row>
    <row r="272" spans="1:11">
      <c r="A272" s="9">
        <f>IF(tblCompanies[[#This Row],[Company Name]]&lt;&gt;0,ROW()-1,"")</f>
        <v>271</v>
      </c>
      <c r="B272" s="10" t="s">
        <v>2419</v>
      </c>
      <c r="C272" s="10" t="s">
        <v>0</v>
      </c>
      <c r="D272" s="10" t="s">
        <v>2171</v>
      </c>
      <c r="E272" s="10" t="s">
        <v>700</v>
      </c>
      <c r="F272" s="10" t="s">
        <v>2824</v>
      </c>
      <c r="G272" s="10" t="s">
        <v>217</v>
      </c>
      <c r="H272" s="10"/>
      <c r="I272" s="10" t="s">
        <v>2572</v>
      </c>
      <c r="J272" s="7">
        <f>IFERROR(LOOKUP(2,1/('Outreach Log'!$E$2:$E$9998=B272),'Outreach Log'!$B$2:$B$9998),"")</f>
        <v>46126</v>
      </c>
      <c r="K272" s="5">
        <f>COUNTIF('Outreach Log'!$E:$E,B272)</f>
        <v>1</v>
      </c>
    </row>
    <row r="273" spans="1:11">
      <c r="A273" s="43">
        <f>IF(tblCompanies[[#This Row],[Company Name]]&lt;&gt;0,ROW()-1,"")</f>
        <v>272</v>
      </c>
      <c r="B273" s="3" t="s">
        <v>3059</v>
      </c>
      <c r="D273" s="44" t="s">
        <v>3000</v>
      </c>
      <c r="E273" s="45" t="s">
        <v>3060</v>
      </c>
      <c r="F273" s="10" t="s">
        <v>2824</v>
      </c>
      <c r="G273" s="39"/>
      <c r="H273" s="3" t="s">
        <v>186</v>
      </c>
      <c r="I273" s="42" t="s">
        <v>3061</v>
      </c>
      <c r="J273" s="7" t="str">
        <f>IFERROR(LOOKUP(2,1/('Outreach Log'!$E$2:$E$9998=B273),'Outreach Log'!$B$2:$B$9998),"")</f>
        <v/>
      </c>
      <c r="K273" s="5">
        <f>COUNTIF('Outreach Log'!$E:$E,B273)</f>
        <v>0</v>
      </c>
    </row>
    <row r="274" spans="1:11">
      <c r="A274" s="9">
        <f>IF(tblCompanies[[#This Row],[Company Name]]&lt;&gt;0,ROW()-1,"")</f>
        <v>273</v>
      </c>
      <c r="B274" s="10" t="s">
        <v>2246</v>
      </c>
      <c r="C274" s="10" t="s">
        <v>4</v>
      </c>
      <c r="D274" s="10" t="s">
        <v>2171</v>
      </c>
      <c r="E274" s="10" t="s">
        <v>228</v>
      </c>
      <c r="F274" s="10" t="s">
        <v>2824</v>
      </c>
      <c r="G274" s="10" t="s">
        <v>120</v>
      </c>
      <c r="H274" s="10"/>
      <c r="I274" s="10" t="s">
        <v>2535</v>
      </c>
      <c r="J274" s="7">
        <f>IFERROR(LOOKUP(2,1/('Outreach Log'!$E$2:$E$9998=B274),'Outreach Log'!$B$2:$B$9998),"")</f>
        <v>46126</v>
      </c>
      <c r="K274" s="5">
        <f>COUNTIF('Outreach Log'!$E:$E,B274)</f>
        <v>1</v>
      </c>
    </row>
    <row r="275" spans="1:11">
      <c r="A275" s="9">
        <f>IF(tblCompanies[[#This Row],[Company Name]]&lt;&gt;0,ROW()-1,"")</f>
        <v>274</v>
      </c>
      <c r="B275" s="10" t="s">
        <v>2179</v>
      </c>
      <c r="C275" s="10" t="s">
        <v>3</v>
      </c>
      <c r="D275" s="10" t="s">
        <v>2171</v>
      </c>
      <c r="E275" s="10"/>
      <c r="F275" s="10" t="s">
        <v>2824</v>
      </c>
      <c r="G275" s="10" t="s">
        <v>2664</v>
      </c>
      <c r="H275" s="10"/>
      <c r="I275" s="10" t="s">
        <v>2665</v>
      </c>
      <c r="J275" s="7">
        <f>IFERROR(LOOKUP(2,1/('Outreach Log'!$E$2:$E$9998=B275),'Outreach Log'!$B$2:$B$9998),"")</f>
        <v>46126</v>
      </c>
      <c r="K275" s="5">
        <f>COUNTIF('Outreach Log'!$E:$E,B275)</f>
        <v>1</v>
      </c>
    </row>
    <row r="276" spans="1:11">
      <c r="A276" s="9">
        <f>IF(tblCompanies[[#This Row],[Company Name]]&lt;&gt;0,ROW()-1,"")</f>
        <v>275</v>
      </c>
      <c r="B276" s="10" t="s">
        <v>2232</v>
      </c>
      <c r="C276" s="10" t="s">
        <v>3</v>
      </c>
      <c r="D276" s="10" t="s">
        <v>2171</v>
      </c>
      <c r="E276" s="10" t="s">
        <v>198</v>
      </c>
      <c r="F276" s="10" t="s">
        <v>2824</v>
      </c>
      <c r="G276" s="10" t="s">
        <v>50</v>
      </c>
      <c r="H276" s="10"/>
      <c r="I276" s="10" t="s">
        <v>2550</v>
      </c>
      <c r="J276" s="7" t="str">
        <f>IFERROR(LOOKUP(2,1/('Outreach Log'!$E$2:$E$9998=B276),'Outreach Log'!$B$2:$B$9998),"")</f>
        <v/>
      </c>
      <c r="K276" s="5">
        <f>COUNTIF('Outreach Log'!$E:$E,B276)</f>
        <v>0</v>
      </c>
    </row>
    <row r="277" spans="1:11">
      <c r="A277" s="9">
        <f>IF(tblCompanies[[#This Row],[Company Name]]&lt;&gt;0,ROW()-1,"")</f>
        <v>276</v>
      </c>
      <c r="B277" s="10" t="s">
        <v>2339</v>
      </c>
      <c r="C277" s="10" t="s">
        <v>6</v>
      </c>
      <c r="D277" s="10" t="s">
        <v>2171</v>
      </c>
      <c r="E277" s="10" t="s">
        <v>500</v>
      </c>
      <c r="F277" s="10" t="s">
        <v>2824</v>
      </c>
      <c r="G277" s="10" t="s">
        <v>50</v>
      </c>
      <c r="H277" s="10"/>
      <c r="I277" s="10" t="s">
        <v>2552</v>
      </c>
      <c r="J277" s="7">
        <f>IFERROR(LOOKUP(2,1/('Outreach Log'!$E$2:$E$9998=B277),'Outreach Log'!$B$2:$B$9998),"")</f>
        <v>46126</v>
      </c>
      <c r="K277" s="5">
        <f>COUNTIF('Outreach Log'!$E:$E,B277)</f>
        <v>1</v>
      </c>
    </row>
    <row r="278" spans="1:11">
      <c r="A278" s="9">
        <f>IF(tblCompanies[[#This Row],[Company Name]]&lt;&gt;0,ROW()-1,"")</f>
        <v>277</v>
      </c>
      <c r="B278" s="10" t="s">
        <v>2278</v>
      </c>
      <c r="C278" s="10" t="s">
        <v>1</v>
      </c>
      <c r="D278" s="10" t="s">
        <v>2171</v>
      </c>
      <c r="E278" s="10" t="s">
        <v>368</v>
      </c>
      <c r="F278" s="10" t="s">
        <v>2824</v>
      </c>
      <c r="G278" s="10" t="s">
        <v>2712</v>
      </c>
      <c r="H278" s="10"/>
      <c r="I278" s="10" t="s">
        <v>2723</v>
      </c>
      <c r="J278" s="7" t="str">
        <f>IFERROR(LOOKUP(2,1/('Outreach Log'!$E$2:$E$9998=B278),'Outreach Log'!$B$2:$B$9998),"")</f>
        <v/>
      </c>
      <c r="K278" s="5">
        <f>COUNTIF('Outreach Log'!$E:$E,B278)</f>
        <v>0</v>
      </c>
    </row>
    <row r="279" spans="1:11">
      <c r="A279" s="9">
        <f>IF(tblCompanies[[#This Row],[Company Name]]&lt;&gt;0,ROW()-1,"")</f>
        <v>278</v>
      </c>
      <c r="B279" s="10" t="s">
        <v>2235</v>
      </c>
      <c r="C279" s="10" t="s">
        <v>0</v>
      </c>
      <c r="D279" s="10" t="s">
        <v>2171</v>
      </c>
      <c r="E279" s="10" t="s">
        <v>204</v>
      </c>
      <c r="F279" s="10" t="s">
        <v>2824</v>
      </c>
      <c r="G279" s="10" t="s">
        <v>2664</v>
      </c>
      <c r="H279" s="10"/>
      <c r="I279" s="10" t="s">
        <v>205</v>
      </c>
      <c r="J279" s="7" t="str">
        <f>IFERROR(LOOKUP(2,1/('Outreach Log'!$E$2:$E$9998=B279),'Outreach Log'!$B$2:$B$9998),"")</f>
        <v/>
      </c>
      <c r="K279" s="5">
        <f>COUNTIF('Outreach Log'!$E:$E,B279)</f>
        <v>0</v>
      </c>
    </row>
    <row r="280" spans="1:11">
      <c r="A280" s="9">
        <f>IF(tblCompanies[[#This Row],[Company Name]]&lt;&gt;0,ROW()-1,"")</f>
        <v>279</v>
      </c>
      <c r="B280" s="10" t="s">
        <v>2377</v>
      </c>
      <c r="C280" s="10" t="s">
        <v>5</v>
      </c>
      <c r="D280" s="10" t="s">
        <v>2171</v>
      </c>
      <c r="E280" s="10" t="s">
        <v>591</v>
      </c>
      <c r="F280" s="10" t="s">
        <v>2824</v>
      </c>
      <c r="G280" s="10" t="s">
        <v>2664</v>
      </c>
      <c r="H280" s="10"/>
      <c r="I280" s="10" t="s">
        <v>2682</v>
      </c>
      <c r="J280" s="7">
        <f>IFERROR(LOOKUP(2,1/('Outreach Log'!$E$2:$E$9998=B280),'Outreach Log'!$B$2:$B$9998),"")</f>
        <v>46126</v>
      </c>
      <c r="K280" s="5">
        <f>COUNTIF('Outreach Log'!$E:$E,B280)</f>
        <v>1</v>
      </c>
    </row>
    <row r="281" spans="1:11">
      <c r="A281" s="9">
        <f>IF(tblCompanies[[#This Row],[Company Name]]&lt;&gt;0,ROW()-1,"")</f>
        <v>280</v>
      </c>
      <c r="B281" s="10" t="s">
        <v>2340</v>
      </c>
      <c r="C281" s="10" t="s">
        <v>1</v>
      </c>
      <c r="D281" s="10" t="s">
        <v>2171</v>
      </c>
      <c r="E281" s="10" t="s">
        <v>501</v>
      </c>
      <c r="F281" s="10" t="s">
        <v>2824</v>
      </c>
      <c r="G281" s="10" t="s">
        <v>46</v>
      </c>
      <c r="H281" s="10"/>
      <c r="I281" s="10" t="s">
        <v>2521</v>
      </c>
      <c r="J281" s="7">
        <f>IFERROR(LOOKUP(2,1/('Outreach Log'!$E$2:$E$9998=B281),'Outreach Log'!$B$2:$B$9998),"")</f>
        <v>46126</v>
      </c>
      <c r="K281" s="5">
        <f>COUNTIF('Outreach Log'!$E:$E,B281)</f>
        <v>1</v>
      </c>
    </row>
    <row r="282" spans="1:11">
      <c r="A282" s="43">
        <f>IF(tblCompanies[[#This Row],[Company Name]]&lt;&gt;0,ROW()-1,"")</f>
        <v>281</v>
      </c>
      <c r="B282" s="3" t="s">
        <v>3062</v>
      </c>
      <c r="D282" s="44" t="s">
        <v>3000</v>
      </c>
      <c r="E282" s="45"/>
      <c r="F282" s="10" t="s">
        <v>2824</v>
      </c>
      <c r="G282" s="39"/>
      <c r="H282" s="3" t="s">
        <v>52</v>
      </c>
      <c r="I282" s="42" t="s">
        <v>3063</v>
      </c>
      <c r="J282" s="7" t="str">
        <f>IFERROR(LOOKUP(2,1/('Outreach Log'!$E$2:$E$9998=B282),'Outreach Log'!$B$2:$B$9998),"")</f>
        <v/>
      </c>
      <c r="K282" s="5">
        <f>COUNTIF('Outreach Log'!$E:$E,B282)</f>
        <v>0</v>
      </c>
    </row>
    <row r="283" spans="1:11">
      <c r="A283" s="9">
        <f>IF(tblCompanies[[#This Row],[Company Name]]&lt;&gt;0,ROW()-1,"")</f>
        <v>282</v>
      </c>
      <c r="B283" s="10" t="s">
        <v>576</v>
      </c>
      <c r="C283" s="10" t="s">
        <v>0</v>
      </c>
      <c r="D283" s="10" t="s">
        <v>2171</v>
      </c>
      <c r="E283" s="10" t="s">
        <v>577</v>
      </c>
      <c r="F283" s="10" t="s">
        <v>2824</v>
      </c>
      <c r="G283" s="10" t="s">
        <v>217</v>
      </c>
      <c r="H283" s="10"/>
      <c r="I283" s="10" t="s">
        <v>2570</v>
      </c>
      <c r="J283" s="7" t="str">
        <f>IFERROR(LOOKUP(2,1/('Outreach Log'!$E$2:$E$9998=B283),'Outreach Log'!$B$2:$B$9998),"")</f>
        <v/>
      </c>
      <c r="K283" s="5">
        <f>COUNTIF('Outreach Log'!$E:$E,B283)</f>
        <v>0</v>
      </c>
    </row>
    <row r="284" spans="1:11">
      <c r="A284" s="9">
        <f>IF(tblCompanies[[#This Row],[Company Name]]&lt;&gt;0,ROW()-1,"")</f>
        <v>283</v>
      </c>
      <c r="B284" s="10" t="s">
        <v>494</v>
      </c>
      <c r="C284" s="10" t="s">
        <v>1</v>
      </c>
      <c r="D284" s="10" t="s">
        <v>2171</v>
      </c>
      <c r="E284" s="10" t="s">
        <v>495</v>
      </c>
      <c r="F284" s="10" t="s">
        <v>2824</v>
      </c>
      <c r="G284" s="10" t="s">
        <v>2573</v>
      </c>
      <c r="H284" s="10"/>
      <c r="I284" s="10" t="s">
        <v>2594</v>
      </c>
      <c r="J284" s="7" t="str">
        <f>IFERROR(LOOKUP(2,1/('Outreach Log'!$E$2:$E$9998=B284),'Outreach Log'!$B$2:$B$9998),"")</f>
        <v/>
      </c>
      <c r="K284" s="5">
        <f>COUNTIF('Outreach Log'!$E:$E,B284)</f>
        <v>0</v>
      </c>
    </row>
    <row r="285" spans="1:11">
      <c r="A285" s="9">
        <f>IF(tblCompanies[[#This Row],[Company Name]]&lt;&gt;0,ROW()-1,"")</f>
        <v>284</v>
      </c>
      <c r="B285" s="10" t="s">
        <v>2181</v>
      </c>
      <c r="C285" s="10" t="s">
        <v>0</v>
      </c>
      <c r="D285" s="10" t="s">
        <v>2171</v>
      </c>
      <c r="E285" s="10" t="s">
        <v>60</v>
      </c>
      <c r="F285" s="10" t="s">
        <v>2824</v>
      </c>
      <c r="G285" s="10" t="s">
        <v>2752</v>
      </c>
      <c r="H285" s="10"/>
      <c r="I285" s="10" t="s">
        <v>2753</v>
      </c>
      <c r="J285" s="7">
        <f>IFERROR(LOOKUP(2,1/('Outreach Log'!$E$2:$E$9998=B285),'Outreach Log'!$B$2:$B$9998),"")</f>
        <v>46126</v>
      </c>
      <c r="K285" s="5">
        <f>COUNTIF('Outreach Log'!$E:$E,B285)</f>
        <v>1</v>
      </c>
    </row>
    <row r="286" spans="1:11">
      <c r="A286" s="9">
        <f>IF(tblCompanies[[#This Row],[Company Name]]&lt;&gt;0,ROW()-1,"")</f>
        <v>285</v>
      </c>
      <c r="B286" s="10" t="s">
        <v>2403</v>
      </c>
      <c r="C286" s="10" t="s">
        <v>4</v>
      </c>
      <c r="D286" s="10" t="s">
        <v>2171</v>
      </c>
      <c r="E286" s="10" t="s">
        <v>665</v>
      </c>
      <c r="F286" s="10" t="s">
        <v>2824</v>
      </c>
      <c r="G286" s="10" t="s">
        <v>2561</v>
      </c>
      <c r="H286" s="10"/>
      <c r="I286" s="10" t="s">
        <v>2562</v>
      </c>
      <c r="J286" s="7">
        <f>IFERROR(LOOKUP(2,1/('Outreach Log'!$E$2:$E$9998=B286),'Outreach Log'!$B$2:$B$9998),"")</f>
        <v>46126</v>
      </c>
      <c r="K286" s="5">
        <f>COUNTIF('Outreach Log'!$E:$E,B286)</f>
        <v>1</v>
      </c>
    </row>
    <row r="287" spans="1:11">
      <c r="A287" s="9">
        <f>IF(tblCompanies[[#This Row],[Company Name]]&lt;&gt;0,ROW()-1,"")</f>
        <v>286</v>
      </c>
      <c r="B287" s="10" t="s">
        <v>2250</v>
      </c>
      <c r="C287" s="10" t="s">
        <v>1</v>
      </c>
      <c r="D287" s="10" t="s">
        <v>2171</v>
      </c>
      <c r="E287" s="10" t="s">
        <v>240</v>
      </c>
      <c r="F287" s="10" t="s">
        <v>2824</v>
      </c>
      <c r="G287" s="10" t="s">
        <v>2573</v>
      </c>
      <c r="H287" s="10"/>
      <c r="I287" s="10" t="s">
        <v>2582</v>
      </c>
      <c r="J287" s="7" t="str">
        <f>IFERROR(LOOKUP(2,1/('Outreach Log'!$E$2:$E$9998=B287),'Outreach Log'!$B$2:$B$9998),"")</f>
        <v/>
      </c>
      <c r="K287" s="5">
        <f>COUNTIF('Outreach Log'!$E:$E,B287)</f>
        <v>0</v>
      </c>
    </row>
    <row r="288" spans="1:11">
      <c r="A288" s="9">
        <f>IF(tblCompanies[[#This Row],[Company Name]]&lt;&gt;0,ROW()-1,"")</f>
        <v>287</v>
      </c>
      <c r="B288" s="10" t="s">
        <v>456</v>
      </c>
      <c r="C288" s="10" t="s">
        <v>8</v>
      </c>
      <c r="D288" s="10" t="s">
        <v>2171</v>
      </c>
      <c r="E288" s="10" t="s">
        <v>457</v>
      </c>
      <c r="F288" s="10" t="s">
        <v>2824</v>
      </c>
      <c r="G288" s="10" t="s">
        <v>138</v>
      </c>
      <c r="H288" s="10"/>
      <c r="I288" s="10" t="s">
        <v>2739</v>
      </c>
      <c r="J288" s="7" t="str">
        <f>IFERROR(LOOKUP(2,1/('Outreach Log'!$E$2:$E$9998=B288),'Outreach Log'!$B$2:$B$9998),"")</f>
        <v/>
      </c>
      <c r="K288" s="5">
        <f>COUNTIF('Outreach Log'!$E:$E,B288)</f>
        <v>0</v>
      </c>
    </row>
    <row r="289" spans="1:11">
      <c r="A289" s="43">
        <f>IF(tblCompanies[[#This Row],[Company Name]]&lt;&gt;0,ROW()-1,"")</f>
        <v>288</v>
      </c>
      <c r="B289" s="3" t="s">
        <v>3066</v>
      </c>
      <c r="D289" s="44" t="s">
        <v>3000</v>
      </c>
      <c r="E289" s="45" t="s">
        <v>3067</v>
      </c>
      <c r="F289" s="10" t="s">
        <v>2824</v>
      </c>
      <c r="G289" s="39"/>
      <c r="H289" s="3" t="s">
        <v>283</v>
      </c>
      <c r="I289" s="42" t="s">
        <v>3068</v>
      </c>
      <c r="J289" s="7" t="str">
        <f>IFERROR(LOOKUP(2,1/('Outreach Log'!$E$2:$E$9998=B289),'Outreach Log'!$B$2:$B$9998),"")</f>
        <v/>
      </c>
      <c r="K289" s="5">
        <f>COUNTIF('Outreach Log'!$E:$E,B289)</f>
        <v>0</v>
      </c>
    </row>
    <row r="290" spans="1:11">
      <c r="A290" s="9">
        <f>IF(tblCompanies[[#This Row],[Company Name]]&lt;&gt;0,ROW()-1,"")</f>
        <v>289</v>
      </c>
      <c r="B290" s="10" t="s">
        <v>573</v>
      </c>
      <c r="C290" s="10"/>
      <c r="D290" s="10" t="s">
        <v>13</v>
      </c>
      <c r="E290" s="10" t="s">
        <v>574</v>
      </c>
      <c r="F290" s="10" t="s">
        <v>2824</v>
      </c>
      <c r="G290" s="10"/>
      <c r="H290" s="10"/>
      <c r="I290" s="10" t="s">
        <v>575</v>
      </c>
      <c r="J290" s="7">
        <f>IFERROR(LOOKUP(2,1/('Outreach Log'!$E$2:$E$9998=B290),'Outreach Log'!$B$2:$B$9998),"")</f>
        <v>46126</v>
      </c>
      <c r="K290" s="5">
        <f>COUNTIF('Outreach Log'!$E:$E,B290)</f>
        <v>1</v>
      </c>
    </row>
    <row r="291" spans="1:11">
      <c r="A291" s="9">
        <f>IF(tblCompanies[[#This Row],[Company Name]]&lt;&gt;0,ROW()-1,"")</f>
        <v>290</v>
      </c>
      <c r="B291" s="10" t="s">
        <v>2332</v>
      </c>
      <c r="C291" s="10" t="s">
        <v>4</v>
      </c>
      <c r="D291" s="10" t="s">
        <v>2171</v>
      </c>
      <c r="E291" s="10" t="s">
        <v>481</v>
      </c>
      <c r="F291" s="10" t="s">
        <v>2824</v>
      </c>
      <c r="G291" s="10" t="s">
        <v>2696</v>
      </c>
      <c r="H291" s="10"/>
      <c r="I291" s="10" t="s">
        <v>482</v>
      </c>
      <c r="J291" s="7" t="str">
        <f>IFERROR(LOOKUP(2,1/('Outreach Log'!$E$2:$E$9998=B291),'Outreach Log'!$B$2:$B$9998),"")</f>
        <v/>
      </c>
      <c r="K291" s="5">
        <f>COUNTIF('Outreach Log'!$E:$E,B291)</f>
        <v>0</v>
      </c>
    </row>
    <row r="292" spans="1:11">
      <c r="A292" s="9">
        <f>IF(tblCompanies[[#This Row],[Company Name]]&lt;&gt;0,ROW()-1,"")</f>
        <v>291</v>
      </c>
      <c r="B292" s="10" t="s">
        <v>2191</v>
      </c>
      <c r="C292" s="10" t="s">
        <v>3</v>
      </c>
      <c r="D292" s="10" t="s">
        <v>2171</v>
      </c>
      <c r="E292" s="10" t="s">
        <v>94</v>
      </c>
      <c r="F292" s="10" t="s">
        <v>2824</v>
      </c>
      <c r="G292" s="10" t="s">
        <v>2744</v>
      </c>
      <c r="H292" s="10"/>
      <c r="I292" s="10" t="s">
        <v>2746</v>
      </c>
      <c r="J292" s="7" t="str">
        <f>IFERROR(LOOKUP(2,1/('Outreach Log'!$E$2:$E$9998=B292),'Outreach Log'!$B$2:$B$9998),"")</f>
        <v/>
      </c>
      <c r="K292" s="5">
        <f>COUNTIF('Outreach Log'!$E:$E,B292)</f>
        <v>0</v>
      </c>
    </row>
    <row r="293" spans="1:11">
      <c r="A293" s="9">
        <f>IF(tblCompanies[[#This Row],[Company Name]]&lt;&gt;0,ROW()-1,"")</f>
        <v>292</v>
      </c>
      <c r="B293" s="10" t="s">
        <v>2216</v>
      </c>
      <c r="C293" s="10" t="s">
        <v>6</v>
      </c>
      <c r="D293" s="10" t="s">
        <v>2171</v>
      </c>
      <c r="E293" s="10" t="s">
        <v>165</v>
      </c>
      <c r="F293" s="10" t="s">
        <v>2824</v>
      </c>
      <c r="G293" s="10" t="s">
        <v>2777</v>
      </c>
      <c r="H293" s="10"/>
      <c r="I293" s="10" t="s">
        <v>2779</v>
      </c>
      <c r="J293" s="7">
        <f>IFERROR(LOOKUP(2,1/('Outreach Log'!$E$2:$E$9998=B293),'Outreach Log'!$B$2:$B$9998),"")</f>
        <v>46126</v>
      </c>
      <c r="K293" s="5">
        <f>COUNTIF('Outreach Log'!$E:$E,B293)</f>
        <v>1</v>
      </c>
    </row>
    <row r="294" spans="1:11">
      <c r="A294" s="9">
        <f>IF(tblCompanies[[#This Row],[Company Name]]&lt;&gt;0,ROW()-1,"")</f>
        <v>293</v>
      </c>
      <c r="B294" s="10" t="s">
        <v>2420</v>
      </c>
      <c r="C294" s="10" t="s">
        <v>3</v>
      </c>
      <c r="D294" s="10" t="s">
        <v>2171</v>
      </c>
      <c r="E294" s="10" t="s">
        <v>701</v>
      </c>
      <c r="F294" s="10" t="s">
        <v>2824</v>
      </c>
      <c r="G294" s="10" t="s">
        <v>2752</v>
      </c>
      <c r="H294" s="10"/>
      <c r="I294" s="10" t="s">
        <v>2755</v>
      </c>
      <c r="J294" s="7">
        <f>IFERROR(LOOKUP(2,1/('Outreach Log'!$E$2:$E$9998=B294),'Outreach Log'!$B$2:$B$9998),"")</f>
        <v>46126</v>
      </c>
      <c r="K294" s="5">
        <f>COUNTIF('Outreach Log'!$E:$E,B294)</f>
        <v>1</v>
      </c>
    </row>
    <row r="295" spans="1:11">
      <c r="A295" s="9">
        <f>IF(tblCompanies[[#This Row],[Company Name]]&lt;&gt;0,ROW()-1,"")</f>
        <v>294</v>
      </c>
      <c r="B295" s="10" t="s">
        <v>2280</v>
      </c>
      <c r="C295" s="10" t="s">
        <v>0</v>
      </c>
      <c r="D295" s="10" t="s">
        <v>2171</v>
      </c>
      <c r="E295" s="10" t="s">
        <v>370</v>
      </c>
      <c r="F295" s="10" t="s">
        <v>2824</v>
      </c>
      <c r="G295" s="10" t="s">
        <v>2744</v>
      </c>
      <c r="H295" s="10"/>
      <c r="I295" s="10" t="s">
        <v>2749</v>
      </c>
      <c r="J295" s="7">
        <f>IFERROR(LOOKUP(2,1/('Outreach Log'!$E$2:$E$9998=B295),'Outreach Log'!$B$2:$B$9998),"")</f>
        <v>46126</v>
      </c>
      <c r="K295" s="5">
        <f>COUNTIF('Outreach Log'!$E:$E,B295)</f>
        <v>1</v>
      </c>
    </row>
    <row r="296" spans="1:11">
      <c r="A296" s="9">
        <f>IF(tblCompanies[[#This Row],[Company Name]]&lt;&gt;0,ROW()-1,"")</f>
        <v>295</v>
      </c>
      <c r="B296" s="10" t="s">
        <v>2411</v>
      </c>
      <c r="C296" s="10" t="s">
        <v>1</v>
      </c>
      <c r="D296" s="10" t="s">
        <v>2171</v>
      </c>
      <c r="E296" s="10"/>
      <c r="F296" s="10" t="s">
        <v>2824</v>
      </c>
      <c r="G296" s="10" t="s">
        <v>46</v>
      </c>
      <c r="H296" s="10"/>
      <c r="I296" s="10" t="s">
        <v>2531</v>
      </c>
      <c r="J296" s="7">
        <f>IFERROR(LOOKUP(2,1/('Outreach Log'!$E$2:$E$9998=B296),'Outreach Log'!$B$2:$B$9998),"")</f>
        <v>46126</v>
      </c>
      <c r="K296" s="5">
        <f>COUNTIF('Outreach Log'!$E:$E,B296)</f>
        <v>1</v>
      </c>
    </row>
    <row r="297" spans="1:11">
      <c r="A297" s="9">
        <f>IF(tblCompanies[[#This Row],[Company Name]]&lt;&gt;0,ROW()-1,"")</f>
        <v>296</v>
      </c>
      <c r="B297" s="10" t="s">
        <v>2256</v>
      </c>
      <c r="C297" s="10" t="s">
        <v>3</v>
      </c>
      <c r="D297" s="10" t="s">
        <v>2171</v>
      </c>
      <c r="E297" s="10" t="s">
        <v>260</v>
      </c>
      <c r="F297" s="10" t="s">
        <v>2824</v>
      </c>
      <c r="G297" s="10" t="s">
        <v>2777</v>
      </c>
      <c r="H297" s="10"/>
      <c r="I297" s="10" t="s">
        <v>2783</v>
      </c>
      <c r="J297" s="7">
        <f>IFERROR(LOOKUP(2,1/('Outreach Log'!$E$2:$E$9998=B297),'Outreach Log'!$B$2:$B$9998),"")</f>
        <v>46126</v>
      </c>
      <c r="K297" s="5">
        <f>COUNTIF('Outreach Log'!$E:$E,B297)</f>
        <v>1</v>
      </c>
    </row>
    <row r="298" spans="1:11">
      <c r="A298" s="9">
        <f>IF(tblCompanies[[#This Row],[Company Name]]&lt;&gt;0,ROW()-1,"")</f>
        <v>297</v>
      </c>
      <c r="B298" s="10" t="s">
        <v>2228</v>
      </c>
      <c r="C298" s="10" t="s">
        <v>0</v>
      </c>
      <c r="D298" s="10" t="s">
        <v>2171</v>
      </c>
      <c r="E298" s="10" t="s">
        <v>193</v>
      </c>
      <c r="F298" s="10" t="s">
        <v>2824</v>
      </c>
      <c r="G298" s="10" t="s">
        <v>2702</v>
      </c>
      <c r="H298" s="10"/>
      <c r="I298" s="10" t="s">
        <v>2704</v>
      </c>
      <c r="J298" s="7">
        <f>IFERROR(LOOKUP(2,1/('Outreach Log'!$E$2:$E$9998=B298),'Outreach Log'!$B$2:$B$9998),"")</f>
        <v>46126</v>
      </c>
      <c r="K298" s="5">
        <f>COUNTIF('Outreach Log'!$E:$E,B298)</f>
        <v>1</v>
      </c>
    </row>
    <row r="299" spans="1:11">
      <c r="A299" s="9">
        <f>IF(tblCompanies[[#This Row],[Company Name]]&lt;&gt;0,ROW()-1,"")</f>
        <v>298</v>
      </c>
      <c r="B299" s="10" t="s">
        <v>2366</v>
      </c>
      <c r="C299" s="10" t="s">
        <v>0</v>
      </c>
      <c r="D299" s="10" t="s">
        <v>2171</v>
      </c>
      <c r="E299" s="10" t="s">
        <v>565</v>
      </c>
      <c r="F299" s="10" t="s">
        <v>2824</v>
      </c>
      <c r="G299" s="10" t="s">
        <v>2756</v>
      </c>
      <c r="H299" s="10"/>
      <c r="I299" s="10" t="s">
        <v>2770</v>
      </c>
      <c r="J299" s="7" t="str">
        <f>IFERROR(LOOKUP(2,1/('Outreach Log'!$E$2:$E$9998=B299),'Outreach Log'!$B$2:$B$9998),"")</f>
        <v/>
      </c>
      <c r="K299" s="5">
        <f>COUNTIF('Outreach Log'!$E:$E,B299)</f>
        <v>0</v>
      </c>
    </row>
    <row r="300" spans="1:11">
      <c r="A300" s="9">
        <f>IF(tblCompanies[[#This Row],[Company Name]]&lt;&gt;0,ROW()-1,"")</f>
        <v>299</v>
      </c>
      <c r="B300" s="10" t="s">
        <v>2367</v>
      </c>
      <c r="C300" s="10" t="s">
        <v>1</v>
      </c>
      <c r="D300" s="10" t="s">
        <v>2171</v>
      </c>
      <c r="E300" s="10" t="s">
        <v>566</v>
      </c>
      <c r="F300" s="10" t="s">
        <v>2824</v>
      </c>
      <c r="G300" s="10" t="s">
        <v>2650</v>
      </c>
      <c r="H300" s="10"/>
      <c r="I300" s="10" t="s">
        <v>2657</v>
      </c>
      <c r="J300" s="7">
        <f>IFERROR(LOOKUP(2,1/('Outreach Log'!$E$2:$E$9998=B300),'Outreach Log'!$B$2:$B$9998),"")</f>
        <v>46126</v>
      </c>
      <c r="K300" s="5">
        <f>COUNTIF('Outreach Log'!$E:$E,B300)</f>
        <v>1</v>
      </c>
    </row>
    <row r="301" spans="1:11">
      <c r="A301" s="9">
        <f>IF(tblCompanies[[#This Row],[Company Name]]&lt;&gt;0,ROW()-1,"")</f>
        <v>300</v>
      </c>
      <c r="B301" s="10" t="s">
        <v>2236</v>
      </c>
      <c r="C301" s="10" t="s">
        <v>4</v>
      </c>
      <c r="D301" s="10" t="s">
        <v>2171</v>
      </c>
      <c r="E301" s="10" t="s">
        <v>206</v>
      </c>
      <c r="F301" s="10" t="s">
        <v>2824</v>
      </c>
      <c r="G301" s="10" t="s">
        <v>2773</v>
      </c>
      <c r="H301" s="10"/>
      <c r="I301" s="10" t="s">
        <v>2774</v>
      </c>
      <c r="J301" s="7">
        <f>IFERROR(LOOKUP(2,1/('Outreach Log'!$E$2:$E$9998=B301),'Outreach Log'!$B$2:$B$9998),"")</f>
        <v>46126</v>
      </c>
      <c r="K301" s="5">
        <f>COUNTIF('Outreach Log'!$E:$E,B301)</f>
        <v>1</v>
      </c>
    </row>
    <row r="302" spans="1:11">
      <c r="A302" s="9">
        <f>IF(tblCompanies[[#This Row],[Company Name]]&lt;&gt;0,ROW()-1,"")</f>
        <v>301</v>
      </c>
      <c r="B302" s="10" t="s">
        <v>2276</v>
      </c>
      <c r="C302" s="10" t="s">
        <v>5</v>
      </c>
      <c r="D302" s="10" t="s">
        <v>2171</v>
      </c>
      <c r="E302" s="10" t="s">
        <v>358</v>
      </c>
      <c r="F302" s="10" t="s">
        <v>2824</v>
      </c>
      <c r="G302" s="10" t="s">
        <v>2712</v>
      </c>
      <c r="H302" s="10"/>
      <c r="I302" s="10" t="s">
        <v>2721</v>
      </c>
      <c r="J302" s="7">
        <f>IFERROR(LOOKUP(2,1/('Outreach Log'!$E$2:$E$9998=B302),'Outreach Log'!$B$2:$B$9998),"")</f>
        <v>46126</v>
      </c>
      <c r="K302" s="5">
        <f>COUNTIF('Outreach Log'!$E:$E,B302)</f>
        <v>1</v>
      </c>
    </row>
    <row r="303" spans="1:11">
      <c r="A303" s="9">
        <f>IF(tblCompanies[[#This Row],[Company Name]]&lt;&gt;0,ROW()-1,"")</f>
        <v>302</v>
      </c>
      <c r="B303" s="10" t="s">
        <v>2196</v>
      </c>
      <c r="C303" s="10" t="s">
        <v>5</v>
      </c>
      <c r="D303" s="10" t="s">
        <v>2171</v>
      </c>
      <c r="E303" s="10"/>
      <c r="F303" s="10" t="s">
        <v>2824</v>
      </c>
      <c r="G303" s="10" t="s">
        <v>2712</v>
      </c>
      <c r="H303" s="10"/>
      <c r="I303" s="10" t="s">
        <v>30</v>
      </c>
      <c r="J303" s="7" t="str">
        <f>IFERROR(LOOKUP(2,1/('Outreach Log'!$E$2:$E$9998=B303),'Outreach Log'!$B$2:$B$9998),"")</f>
        <v/>
      </c>
      <c r="K303" s="5">
        <f>COUNTIF('Outreach Log'!$E:$E,B303)</f>
        <v>0</v>
      </c>
    </row>
    <row r="304" spans="1:11">
      <c r="A304" s="9">
        <f>IF(tblCompanies[[#This Row],[Company Name]]&lt;&gt;0,ROW()-1,"")</f>
        <v>303</v>
      </c>
      <c r="B304" s="10" t="s">
        <v>2193</v>
      </c>
      <c r="C304" s="10" t="s">
        <v>6</v>
      </c>
      <c r="D304" s="10" t="s">
        <v>2171</v>
      </c>
      <c r="E304" s="10" t="s">
        <v>98</v>
      </c>
      <c r="F304" s="10" t="s">
        <v>2824</v>
      </c>
      <c r="G304" s="10" t="s">
        <v>2777</v>
      </c>
      <c r="H304" s="10"/>
      <c r="I304" s="10" t="s">
        <v>2778</v>
      </c>
      <c r="J304" s="7">
        <f>IFERROR(LOOKUP(2,1/('Outreach Log'!$E$2:$E$9998=B304),'Outreach Log'!$B$2:$B$9998),"")</f>
        <v>46126</v>
      </c>
      <c r="K304" s="5">
        <f>COUNTIF('Outreach Log'!$E:$E,B304)</f>
        <v>1</v>
      </c>
    </row>
    <row r="305" spans="1:11">
      <c r="A305" s="9">
        <f>IF(tblCompanies[[#This Row],[Company Name]]&lt;&gt;0,ROW()-1,"")</f>
        <v>304</v>
      </c>
      <c r="B305" s="10" t="s">
        <v>2396</v>
      </c>
      <c r="C305" s="10" t="s">
        <v>0</v>
      </c>
      <c r="D305" s="10" t="s">
        <v>2171</v>
      </c>
      <c r="E305" s="10" t="s">
        <v>649</v>
      </c>
      <c r="F305" s="10" t="s">
        <v>2824</v>
      </c>
      <c r="G305" s="10" t="s">
        <v>2604</v>
      </c>
      <c r="H305" s="10"/>
      <c r="I305" s="10" t="s">
        <v>2617</v>
      </c>
      <c r="J305" s="7">
        <f>IFERROR(LOOKUP(2,1/('Outreach Log'!$E$2:$E$9998=B305),'Outreach Log'!$B$2:$B$9998),"")</f>
        <v>46126</v>
      </c>
      <c r="K305" s="5">
        <f>COUNTIF('Outreach Log'!$E:$E,B305)</f>
        <v>1</v>
      </c>
    </row>
    <row r="306" spans="1:11">
      <c r="A306" s="9">
        <f>IF(tblCompanies[[#This Row],[Company Name]]&lt;&gt;0,ROW()-1,"")</f>
        <v>305</v>
      </c>
      <c r="B306" s="10" t="s">
        <v>2421</v>
      </c>
      <c r="C306" s="10" t="s">
        <v>3</v>
      </c>
      <c r="D306" s="10" t="s">
        <v>2171</v>
      </c>
      <c r="E306" s="10" t="s">
        <v>702</v>
      </c>
      <c r="F306" s="10" t="s">
        <v>2824</v>
      </c>
      <c r="G306" s="10" t="s">
        <v>2618</v>
      </c>
      <c r="H306" s="10"/>
      <c r="I306" s="10" t="s">
        <v>703</v>
      </c>
      <c r="J306" s="7">
        <f>IFERROR(LOOKUP(2,1/('Outreach Log'!$E$2:$E$9998=B306),'Outreach Log'!$B$2:$B$9998),"")</f>
        <v>46126</v>
      </c>
      <c r="K306" s="5">
        <f>COUNTIF('Outreach Log'!$E:$E,B306)</f>
        <v>1</v>
      </c>
    </row>
    <row r="307" spans="1:11">
      <c r="A307" s="9">
        <f>IF(tblCompanies[[#This Row],[Company Name]]&lt;&gt;0,ROW()-1,"")</f>
        <v>306</v>
      </c>
      <c r="B307" s="10" t="s">
        <v>2375</v>
      </c>
      <c r="C307" s="10" t="s">
        <v>3</v>
      </c>
      <c r="D307" s="10" t="s">
        <v>2171</v>
      </c>
      <c r="E307" s="10" t="s">
        <v>590</v>
      </c>
      <c r="F307" s="10" t="s">
        <v>2824</v>
      </c>
      <c r="G307" s="10" t="s">
        <v>2618</v>
      </c>
      <c r="H307" s="10"/>
      <c r="I307" s="10" t="s">
        <v>2637</v>
      </c>
      <c r="J307" s="7">
        <f>IFERROR(LOOKUP(2,1/('Outreach Log'!$E$2:$E$9998=B307),'Outreach Log'!$B$2:$B$9998),"")</f>
        <v>46126</v>
      </c>
      <c r="K307" s="5">
        <f>COUNTIF('Outreach Log'!$E:$E,B307)</f>
        <v>1</v>
      </c>
    </row>
    <row r="308" spans="1:11">
      <c r="A308" s="9">
        <f>IF(tblCompanies[[#This Row],[Company Name]]&lt;&gt;0,ROW()-1,"")</f>
        <v>307</v>
      </c>
      <c r="B308" s="10" t="s">
        <v>2198</v>
      </c>
      <c r="C308" s="10" t="s">
        <v>3</v>
      </c>
      <c r="D308" s="10" t="s">
        <v>2171</v>
      </c>
      <c r="E308" s="10" t="s">
        <v>106</v>
      </c>
      <c r="F308" s="10" t="s">
        <v>2824</v>
      </c>
      <c r="G308" s="10" t="s">
        <v>2573</v>
      </c>
      <c r="H308" s="10"/>
      <c r="I308" s="10" t="s">
        <v>2576</v>
      </c>
      <c r="J308" s="7" t="str">
        <f>IFERROR(LOOKUP(2,1/('Outreach Log'!$E$2:$E$9998=B308),'Outreach Log'!$B$2:$B$9998),"")</f>
        <v/>
      </c>
      <c r="K308" s="5">
        <f>COUNTIF('Outreach Log'!$E:$E,B308)</f>
        <v>0</v>
      </c>
    </row>
    <row r="309" spans="1:11">
      <c r="A309" s="9">
        <f>IF(tblCompanies[[#This Row],[Company Name]]&lt;&gt;0,ROW()-1,"")</f>
        <v>308</v>
      </c>
      <c r="B309" s="10" t="s">
        <v>2188</v>
      </c>
      <c r="C309" s="10" t="s">
        <v>1</v>
      </c>
      <c r="D309" s="10" t="s">
        <v>2171</v>
      </c>
      <c r="E309" s="10" t="s">
        <v>80</v>
      </c>
      <c r="F309" s="10" t="s">
        <v>2824</v>
      </c>
      <c r="G309" s="10" t="s">
        <v>2573</v>
      </c>
      <c r="H309" s="10"/>
      <c r="I309" s="10" t="s">
        <v>81</v>
      </c>
      <c r="J309" s="7">
        <f>IFERROR(LOOKUP(2,1/('Outreach Log'!$E$2:$E$9998=B309),'Outreach Log'!$B$2:$B$9998),"")</f>
        <v>46126</v>
      </c>
      <c r="K309" s="5">
        <f>COUNTIF('Outreach Log'!$E:$E,B309)</f>
        <v>1</v>
      </c>
    </row>
    <row r="310" spans="1:11">
      <c r="A310" s="9">
        <f>IF(tblCompanies[[#This Row],[Company Name]]&lt;&gt;0,ROW()-1,"")</f>
        <v>309</v>
      </c>
      <c r="B310" s="10" t="s">
        <v>2313</v>
      </c>
      <c r="C310" s="10" t="s">
        <v>0</v>
      </c>
      <c r="D310" s="10" t="s">
        <v>2171</v>
      </c>
      <c r="E310" s="10" t="s">
        <v>436</v>
      </c>
      <c r="F310" s="10" t="s">
        <v>2824</v>
      </c>
      <c r="G310" s="10" t="s">
        <v>2744</v>
      </c>
      <c r="H310" s="10"/>
      <c r="I310" s="10" t="s">
        <v>2750</v>
      </c>
      <c r="J310" s="7">
        <f>IFERROR(LOOKUP(2,1/('Outreach Log'!$E$2:$E$9998=B310),'Outreach Log'!$B$2:$B$9998),"")</f>
        <v>46126</v>
      </c>
      <c r="K310" s="5">
        <f>COUNTIF('Outreach Log'!$E:$E,B310)</f>
        <v>1</v>
      </c>
    </row>
    <row r="311" spans="1:11">
      <c r="A311" s="9">
        <f>IF(tblCompanies[[#This Row],[Company Name]]&lt;&gt;0,ROW()-1,"")</f>
        <v>310</v>
      </c>
      <c r="B311" s="10" t="s">
        <v>2268</v>
      </c>
      <c r="C311" s="10" t="s">
        <v>4</v>
      </c>
      <c r="D311" s="10" t="s">
        <v>2171</v>
      </c>
      <c r="E311" s="10" t="s">
        <v>287</v>
      </c>
      <c r="F311" s="10" t="s">
        <v>2824</v>
      </c>
      <c r="G311" s="10" t="s">
        <v>2563</v>
      </c>
      <c r="H311" s="10"/>
      <c r="I311" s="10" t="s">
        <v>2565</v>
      </c>
      <c r="J311" s="7">
        <f>IFERROR(LOOKUP(2,1/('Outreach Log'!$E$2:$E$9998=B311),'Outreach Log'!$B$2:$B$9998),"")</f>
        <v>46126</v>
      </c>
      <c r="K311" s="5">
        <f>COUNTIF('Outreach Log'!$E:$E,B311)</f>
        <v>1</v>
      </c>
    </row>
    <row r="312" spans="1:11">
      <c r="A312" s="9">
        <f>IF(tblCompanies[[#This Row],[Company Name]]&lt;&gt;0,ROW()-1,"")</f>
        <v>311</v>
      </c>
      <c r="B312" s="10" t="s">
        <v>2317</v>
      </c>
      <c r="C312" s="10" t="s">
        <v>5</v>
      </c>
      <c r="D312" s="10" t="s">
        <v>2171</v>
      </c>
      <c r="E312" s="10" t="s">
        <v>441</v>
      </c>
      <c r="F312" s="10" t="s">
        <v>2824</v>
      </c>
      <c r="G312" s="10" t="s">
        <v>2712</v>
      </c>
      <c r="H312" s="10"/>
      <c r="I312" s="10" t="s">
        <v>30</v>
      </c>
      <c r="J312" s="7" t="str">
        <f>IFERROR(LOOKUP(2,1/('Outreach Log'!$E$2:$E$9998=B312),'Outreach Log'!$B$2:$B$9998),"")</f>
        <v/>
      </c>
      <c r="K312" s="5">
        <f>COUNTIF('Outreach Log'!$E:$E,B312)</f>
        <v>0</v>
      </c>
    </row>
    <row r="313" spans="1:11">
      <c r="A313" s="9">
        <f>IF(tblCompanies[[#This Row],[Company Name]]&lt;&gt;0,ROW()-1,"")</f>
        <v>312</v>
      </c>
      <c r="B313" s="10" t="s">
        <v>2386</v>
      </c>
      <c r="C313" s="10" t="s">
        <v>4</v>
      </c>
      <c r="D313" s="10" t="s">
        <v>2171</v>
      </c>
      <c r="E313" s="10" t="s">
        <v>622</v>
      </c>
      <c r="F313" s="10" t="s">
        <v>2824</v>
      </c>
      <c r="G313" s="10" t="s">
        <v>623</v>
      </c>
      <c r="H313" s="10"/>
      <c r="I313" s="10" t="s">
        <v>2539</v>
      </c>
      <c r="J313" s="7">
        <f>IFERROR(LOOKUP(2,1/('Outreach Log'!$E$2:$E$9998=B313),'Outreach Log'!$B$2:$B$9998),"")</f>
        <v>46126</v>
      </c>
      <c r="K313" s="5">
        <f>COUNTIF('Outreach Log'!$E:$E,B313)</f>
        <v>1</v>
      </c>
    </row>
    <row r="314" spans="1:11">
      <c r="A314" s="43">
        <f>IF(tblCompanies[[#This Row],[Company Name]]&lt;&gt;0,ROW()-1,"")</f>
        <v>313</v>
      </c>
      <c r="B314" s="3" t="s">
        <v>3074</v>
      </c>
      <c r="D314" s="44" t="s">
        <v>3000</v>
      </c>
      <c r="E314" s="45"/>
      <c r="F314" s="10" t="s">
        <v>2824</v>
      </c>
      <c r="G314" s="39"/>
      <c r="H314" s="3" t="s">
        <v>3003</v>
      </c>
      <c r="I314" s="42" t="s">
        <v>3075</v>
      </c>
      <c r="J314" s="7" t="str">
        <f>IFERROR(LOOKUP(2,1/('Outreach Log'!$E$2:$E$9998=B314),'Outreach Log'!$B$2:$B$9998),"")</f>
        <v/>
      </c>
      <c r="K314" s="5">
        <f>COUNTIF('Outreach Log'!$E:$E,B314)</f>
        <v>0</v>
      </c>
    </row>
    <row r="315" spans="1:11">
      <c r="A315" s="9">
        <f>IF(tblCompanies[[#This Row],[Company Name]]&lt;&gt;0,ROW()-1,"")</f>
        <v>314</v>
      </c>
      <c r="B315" s="10" t="s">
        <v>2320</v>
      </c>
      <c r="C315" s="10" t="s">
        <v>1</v>
      </c>
      <c r="D315" s="10" t="s">
        <v>2171</v>
      </c>
      <c r="E315" s="10" t="s">
        <v>445</v>
      </c>
      <c r="F315" s="10" t="s">
        <v>2824</v>
      </c>
      <c r="G315" s="10" t="s">
        <v>2573</v>
      </c>
      <c r="H315" s="10"/>
      <c r="I315" s="10" t="s">
        <v>2592</v>
      </c>
      <c r="J315" s="7">
        <f>IFERROR(LOOKUP(2,1/('Outreach Log'!$E$2:$E$9998=B315),'Outreach Log'!$B$2:$B$9998),"")</f>
        <v>46126</v>
      </c>
      <c r="K315" s="5">
        <f>COUNTIF('Outreach Log'!$E:$E,B315)</f>
        <v>1</v>
      </c>
    </row>
    <row r="316" spans="1:11">
      <c r="A316" s="9">
        <f>IF(tblCompanies[[#This Row],[Company Name]]&lt;&gt;0,ROW()-1,"")</f>
        <v>315</v>
      </c>
      <c r="B316" s="10" t="s">
        <v>2180</v>
      </c>
      <c r="C316" s="10" t="s">
        <v>6</v>
      </c>
      <c r="D316" s="10" t="s">
        <v>2171</v>
      </c>
      <c r="E316" s="10" t="s">
        <v>58</v>
      </c>
      <c r="F316" s="10" t="s">
        <v>2824</v>
      </c>
      <c r="G316" s="10" t="s">
        <v>2702</v>
      </c>
      <c r="H316" s="10"/>
      <c r="I316" s="10" t="s">
        <v>59</v>
      </c>
      <c r="J316" s="7" t="str">
        <f>IFERROR(LOOKUP(2,1/('Outreach Log'!$E$2:$E$9998=B316),'Outreach Log'!$B$2:$B$9998),"")</f>
        <v/>
      </c>
      <c r="K316" s="5">
        <f>COUNTIF('Outreach Log'!$E:$E,B316)</f>
        <v>0</v>
      </c>
    </row>
    <row r="317" spans="1:11">
      <c r="A317" s="9">
        <f>IF(tblCompanies[[#This Row],[Company Name]]&lt;&gt;0,ROW()-1,"")</f>
        <v>316</v>
      </c>
      <c r="B317" s="10" t="s">
        <v>2408</v>
      </c>
      <c r="C317" s="10" t="s">
        <v>0</v>
      </c>
      <c r="D317" s="10" t="s">
        <v>2171</v>
      </c>
      <c r="E317" s="10" t="s">
        <v>672</v>
      </c>
      <c r="F317" s="10" t="s">
        <v>2824</v>
      </c>
      <c r="G317" s="10" t="s">
        <v>50</v>
      </c>
      <c r="H317" s="10"/>
      <c r="I317" s="10" t="s">
        <v>2557</v>
      </c>
      <c r="J317" s="7" t="str">
        <f>IFERROR(LOOKUP(2,1/('Outreach Log'!$E$2:$E$9998=B317),'Outreach Log'!$B$2:$B$9998),"")</f>
        <v/>
      </c>
      <c r="K317" s="5">
        <f>COUNTIF('Outreach Log'!$E:$E,B317)</f>
        <v>0</v>
      </c>
    </row>
    <row r="318" spans="1:11">
      <c r="A318" s="9">
        <f>IF(tblCompanies[[#This Row],[Company Name]]&lt;&gt;0,ROW()-1,"")</f>
        <v>317</v>
      </c>
      <c r="B318" s="10" t="s">
        <v>531</v>
      </c>
      <c r="C318" s="10" t="s">
        <v>3</v>
      </c>
      <c r="D318" s="10" t="s">
        <v>2171</v>
      </c>
      <c r="E318" s="10" t="s">
        <v>532</v>
      </c>
      <c r="F318" s="10" t="s">
        <v>2824</v>
      </c>
      <c r="G318" s="10" t="s">
        <v>2777</v>
      </c>
      <c r="H318" s="10"/>
      <c r="I318" s="10" t="s">
        <v>2791</v>
      </c>
      <c r="J318" s="7" t="str">
        <f>IFERROR(LOOKUP(2,1/('Outreach Log'!$E$2:$E$9998=B318),'Outreach Log'!$B$2:$B$9998),"")</f>
        <v/>
      </c>
      <c r="K318" s="5">
        <f>COUNTIF('Outreach Log'!$E:$E,B318)</f>
        <v>0</v>
      </c>
    </row>
    <row r="319" spans="1:11">
      <c r="A319" s="9">
        <f>IF(tblCompanies[[#This Row],[Company Name]]&lt;&gt;0,ROW()-1,"")</f>
        <v>318</v>
      </c>
      <c r="B319" s="10" t="s">
        <v>102</v>
      </c>
      <c r="C319" s="10" t="s">
        <v>5</v>
      </c>
      <c r="D319" s="10" t="s">
        <v>2171</v>
      </c>
      <c r="E319" s="10" t="s">
        <v>103</v>
      </c>
      <c r="F319" s="10" t="s">
        <v>2824</v>
      </c>
      <c r="G319" s="10" t="s">
        <v>2712</v>
      </c>
      <c r="H319" s="10"/>
      <c r="I319" s="10" t="s">
        <v>2716</v>
      </c>
      <c r="J319" s="7" t="str">
        <f>IFERROR(LOOKUP(2,1/('Outreach Log'!$E$2:$E$9998=B319),'Outreach Log'!$B$2:$B$9998),"")</f>
        <v/>
      </c>
      <c r="K319" s="5">
        <f>COUNTIF('Outreach Log'!$E:$E,B319)</f>
        <v>0</v>
      </c>
    </row>
    <row r="320" spans="1:11">
      <c r="A320" s="43">
        <f>IF(tblCompanies[[#This Row],[Company Name]]&lt;&gt;0,ROW()-1,"")</f>
        <v>319</v>
      </c>
      <c r="B320" s="3" t="s">
        <v>3079</v>
      </c>
      <c r="D320" s="44" t="s">
        <v>3000</v>
      </c>
      <c r="E320" s="45"/>
      <c r="F320" s="10" t="s">
        <v>2824</v>
      </c>
      <c r="G320" s="39"/>
      <c r="H320" s="3" t="s">
        <v>3003</v>
      </c>
      <c r="I320" s="42" t="s">
        <v>3080</v>
      </c>
      <c r="J320" s="7" t="str">
        <f>IFERROR(LOOKUP(2,1/('Outreach Log'!$E$2:$E$9998=B320),'Outreach Log'!$B$2:$B$9998),"")</f>
        <v/>
      </c>
      <c r="K320" s="5">
        <f>COUNTIF('Outreach Log'!$E:$E,B320)</f>
        <v>0</v>
      </c>
    </row>
    <row r="321" spans="1:11">
      <c r="A321" s="9">
        <f>IF(tblCompanies[[#This Row],[Company Name]]&lt;&gt;0,ROW()-1,"")</f>
        <v>320</v>
      </c>
      <c r="B321" s="10" t="s">
        <v>2378</v>
      </c>
      <c r="C321" s="10" t="s">
        <v>0</v>
      </c>
      <c r="D321" s="10" t="s">
        <v>2171</v>
      </c>
      <c r="E321" s="10" t="s">
        <v>592</v>
      </c>
      <c r="F321" s="10" t="s">
        <v>2824</v>
      </c>
      <c r="G321" s="10" t="s">
        <v>2618</v>
      </c>
      <c r="H321" s="10"/>
      <c r="I321" s="10" t="s">
        <v>2638</v>
      </c>
      <c r="J321" s="7" t="str">
        <f>IFERROR(LOOKUP(2,1/('Outreach Log'!$E$2:$E$9998=B321),'Outreach Log'!$B$2:$B$9998),"")</f>
        <v/>
      </c>
      <c r="K321" s="5">
        <f>COUNTIF('Outreach Log'!$E:$E,B321)</f>
        <v>0</v>
      </c>
    </row>
    <row r="322" spans="1:11">
      <c r="A322" s="9">
        <f>IF(tblCompanies[[#This Row],[Company Name]]&lt;&gt;0,ROW()-1,"")</f>
        <v>321</v>
      </c>
      <c r="B322" s="10" t="s">
        <v>545</v>
      </c>
      <c r="C322" s="10"/>
      <c r="D322" s="10" t="s">
        <v>13</v>
      </c>
      <c r="E322" s="10" t="s">
        <v>546</v>
      </c>
      <c r="F322" s="10" t="s">
        <v>2824</v>
      </c>
      <c r="G322" s="10"/>
      <c r="H322" s="10"/>
      <c r="I322" s="10" t="s">
        <v>2498</v>
      </c>
      <c r="J322" s="7">
        <f>IFERROR(LOOKUP(2,1/('Outreach Log'!$E$2:$E$9998=B322),'Outreach Log'!$B$2:$B$9998),"")</f>
        <v>46126</v>
      </c>
      <c r="K322" s="5">
        <f>COUNTIF('Outreach Log'!$E:$E,B322)</f>
        <v>1</v>
      </c>
    </row>
    <row r="323" spans="1:11">
      <c r="A323" s="9">
        <f>IF(tblCompanies[[#This Row],[Company Name]]&lt;&gt;0,ROW()-1,"")</f>
        <v>322</v>
      </c>
      <c r="B323" s="10" t="s">
        <v>2293</v>
      </c>
      <c r="C323" s="10" t="s">
        <v>3</v>
      </c>
      <c r="D323" s="10" t="s">
        <v>2171</v>
      </c>
      <c r="E323" s="10" t="s">
        <v>392</v>
      </c>
      <c r="F323" s="10" t="s">
        <v>2824</v>
      </c>
      <c r="G323" s="10" t="s">
        <v>2752</v>
      </c>
      <c r="H323" s="10"/>
      <c r="I323" s="10" t="s">
        <v>393</v>
      </c>
      <c r="J323" s="7" t="str">
        <f>IFERROR(LOOKUP(2,1/('Outreach Log'!$E$2:$E$9998=B323),'Outreach Log'!$B$2:$B$9998),"")</f>
        <v/>
      </c>
      <c r="K323" s="5">
        <f>COUNTIF('Outreach Log'!$E:$E,B323)</f>
        <v>0</v>
      </c>
    </row>
    <row r="324" spans="1:11">
      <c r="A324" s="9">
        <f>IF(tblCompanies[[#This Row],[Company Name]]&lt;&gt;0,ROW()-1,"")</f>
        <v>323</v>
      </c>
      <c r="B324" s="10" t="s">
        <v>2185</v>
      </c>
      <c r="C324" s="10" t="s">
        <v>1</v>
      </c>
      <c r="D324" s="10" t="s">
        <v>2171</v>
      </c>
      <c r="E324" s="10"/>
      <c r="F324" s="10" t="s">
        <v>2824</v>
      </c>
      <c r="G324" s="10" t="s">
        <v>2712</v>
      </c>
      <c r="H324" s="10"/>
      <c r="I324" s="10" t="s">
        <v>2713</v>
      </c>
      <c r="J324" s="7">
        <f>IFERROR(LOOKUP(2,1/('Outreach Log'!$E$2:$E$9998=B324),'Outreach Log'!$B$2:$B$9998),"")</f>
        <v>46126</v>
      </c>
      <c r="K324" s="5">
        <f>COUNTIF('Outreach Log'!$E:$E,B324)</f>
        <v>1</v>
      </c>
    </row>
    <row r="325" spans="1:11">
      <c r="A325" s="9">
        <f>IF(tblCompanies[[#This Row],[Company Name]]&lt;&gt;0,ROW()-1,"")</f>
        <v>324</v>
      </c>
      <c r="B325" s="10" t="s">
        <v>2226</v>
      </c>
      <c r="C325" s="10" t="s">
        <v>1</v>
      </c>
      <c r="D325" s="10" t="s">
        <v>2171</v>
      </c>
      <c r="E325" s="10" t="s">
        <v>192</v>
      </c>
      <c r="F325" s="10" t="s">
        <v>2824</v>
      </c>
      <c r="G325" s="10" t="s">
        <v>2650</v>
      </c>
      <c r="H325" s="10"/>
      <c r="I325" s="10" t="s">
        <v>2652</v>
      </c>
      <c r="J325" s="7" t="str">
        <f>IFERROR(LOOKUP(2,1/('Outreach Log'!$E$2:$E$9998=B325),'Outreach Log'!$B$2:$B$9998),"")</f>
        <v/>
      </c>
      <c r="K325" s="5">
        <f>COUNTIF('Outreach Log'!$E:$E,B325)</f>
        <v>0</v>
      </c>
    </row>
    <row r="326" spans="1:11">
      <c r="A326" s="43">
        <f>IF(tblCompanies[[#This Row],[Company Name]]&lt;&gt;0,ROW()-1,"")</f>
        <v>325</v>
      </c>
      <c r="B326" s="3" t="s">
        <v>3081</v>
      </c>
      <c r="D326" s="44" t="s">
        <v>3000</v>
      </c>
      <c r="E326" s="45" t="s">
        <v>3082</v>
      </c>
      <c r="F326" s="10" t="s">
        <v>2824</v>
      </c>
      <c r="G326" s="39"/>
      <c r="H326" s="3" t="s">
        <v>283</v>
      </c>
      <c r="I326" s="42" t="s">
        <v>3083</v>
      </c>
      <c r="J326" s="7" t="str">
        <f>IFERROR(LOOKUP(2,1/('Outreach Log'!$E$2:$E$9998=B326),'Outreach Log'!$B$2:$B$9998),"")</f>
        <v/>
      </c>
      <c r="K326" s="5">
        <f>COUNTIF('Outreach Log'!$E:$E,B326)</f>
        <v>0</v>
      </c>
    </row>
    <row r="327" spans="1:11">
      <c r="A327" s="9">
        <f>IF(tblCompanies[[#This Row],[Company Name]]&lt;&gt;0,ROW()-1,"")</f>
        <v>326</v>
      </c>
      <c r="B327" s="10" t="s">
        <v>2178</v>
      </c>
      <c r="C327" s="10" t="s">
        <v>5</v>
      </c>
      <c r="D327" s="10" t="s">
        <v>2171</v>
      </c>
      <c r="E327" s="10" t="s">
        <v>54</v>
      </c>
      <c r="F327" s="10" t="s">
        <v>2824</v>
      </c>
      <c r="G327" s="10" t="s">
        <v>2797</v>
      </c>
      <c r="H327" s="10"/>
      <c r="I327" s="10" t="s">
        <v>2798</v>
      </c>
      <c r="J327" s="7" t="str">
        <f>IFERROR(LOOKUP(2,1/('Outreach Log'!$E$2:$E$9998=B327),'Outreach Log'!$B$2:$B$9998),"")</f>
        <v/>
      </c>
      <c r="K327" s="5">
        <f>COUNTIF('Outreach Log'!$E:$E,B327)</f>
        <v>0</v>
      </c>
    </row>
    <row r="328" spans="1:11">
      <c r="A328" s="9">
        <f>IF(tblCompanies[[#This Row],[Company Name]]&lt;&gt;0,ROW()-1,"")</f>
        <v>327</v>
      </c>
      <c r="B328" s="10" t="s">
        <v>2247</v>
      </c>
      <c r="C328" s="10" t="s">
        <v>6</v>
      </c>
      <c r="D328" s="10" t="s">
        <v>2171</v>
      </c>
      <c r="E328" s="10" t="s">
        <v>229</v>
      </c>
      <c r="F328" s="10" t="s">
        <v>2824</v>
      </c>
      <c r="G328" s="10" t="s">
        <v>2777</v>
      </c>
      <c r="H328" s="10"/>
      <c r="I328" s="10" t="s">
        <v>2780</v>
      </c>
      <c r="J328" s="7">
        <f>IFERROR(LOOKUP(2,1/('Outreach Log'!$E$2:$E$9998=B328),'Outreach Log'!$B$2:$B$9998),"")</f>
        <v>46126</v>
      </c>
      <c r="K328" s="5">
        <f>COUNTIF('Outreach Log'!$E:$E,B328)</f>
        <v>1</v>
      </c>
    </row>
    <row r="329" spans="1:11">
      <c r="A329" s="9">
        <f>IF(tblCompanies[[#This Row],[Company Name]]&lt;&gt;0,ROW()-1,"")</f>
        <v>328</v>
      </c>
      <c r="B329" s="10" t="s">
        <v>2224</v>
      </c>
      <c r="C329" s="10" t="s">
        <v>0</v>
      </c>
      <c r="D329" s="10" t="s">
        <v>2171</v>
      </c>
      <c r="E329" s="10" t="s">
        <v>187</v>
      </c>
      <c r="F329" s="10" t="s">
        <v>2824</v>
      </c>
      <c r="G329" s="10" t="s">
        <v>2604</v>
      </c>
      <c r="H329" s="10"/>
      <c r="I329" s="10" t="s">
        <v>2608</v>
      </c>
      <c r="J329" s="7">
        <f>IFERROR(LOOKUP(2,1/('Outreach Log'!$E$2:$E$9998=B329),'Outreach Log'!$B$2:$B$9998),"")</f>
        <v>46126</v>
      </c>
      <c r="K329" s="5">
        <f>COUNTIF('Outreach Log'!$E:$E,B329)</f>
        <v>1</v>
      </c>
    </row>
    <row r="330" spans="1:11">
      <c r="A330" s="9">
        <f>IF(tblCompanies[[#This Row],[Company Name]]&lt;&gt;0,ROW()-1,"")</f>
        <v>329</v>
      </c>
      <c r="B330" s="10" t="s">
        <v>2305</v>
      </c>
      <c r="C330" s="10" t="s">
        <v>3</v>
      </c>
      <c r="D330" s="10" t="s">
        <v>2171</v>
      </c>
      <c r="E330" s="10" t="s">
        <v>424</v>
      </c>
      <c r="F330" s="10" t="s">
        <v>2824</v>
      </c>
      <c r="G330" s="10" t="s">
        <v>2618</v>
      </c>
      <c r="H330" s="10"/>
      <c r="I330" s="10" t="s">
        <v>2629</v>
      </c>
      <c r="J330" s="7" t="str">
        <f>IFERROR(LOOKUP(2,1/('Outreach Log'!$E$2:$E$9998=B330),'Outreach Log'!$B$2:$B$9998),"")</f>
        <v/>
      </c>
      <c r="K330" s="5">
        <f>COUNTIF('Outreach Log'!$E:$E,B330)</f>
        <v>0</v>
      </c>
    </row>
    <row r="331" spans="1:11">
      <c r="A331" s="9">
        <f>IF(tblCompanies[[#This Row],[Company Name]]&lt;&gt;0,ROW()-1,"")</f>
        <v>330</v>
      </c>
      <c r="B331" s="10" t="s">
        <v>2303</v>
      </c>
      <c r="C331" s="10" t="s">
        <v>0</v>
      </c>
      <c r="D331" s="10" t="s">
        <v>2171</v>
      </c>
      <c r="E331" s="10" t="s">
        <v>421</v>
      </c>
      <c r="F331" s="10" t="s">
        <v>2824</v>
      </c>
      <c r="G331" s="10" t="s">
        <v>2664</v>
      </c>
      <c r="H331" s="10"/>
      <c r="I331" s="10" t="s">
        <v>2679</v>
      </c>
      <c r="J331" s="7" t="str">
        <f>IFERROR(LOOKUP(2,1/('Outreach Log'!$E$2:$E$9998=B331),'Outreach Log'!$B$2:$B$9998),"")</f>
        <v/>
      </c>
      <c r="K331" s="5">
        <f>COUNTIF('Outreach Log'!$E:$E,B331)</f>
        <v>0</v>
      </c>
    </row>
    <row r="332" spans="1:11">
      <c r="A332" s="9">
        <f>IF(tblCompanies[[#This Row],[Company Name]]&lt;&gt;0,ROW()-1,"")</f>
        <v>331</v>
      </c>
      <c r="B332" s="10" t="s">
        <v>2321</v>
      </c>
      <c r="C332" s="10" t="s">
        <v>6</v>
      </c>
      <c r="D332" s="10" t="s">
        <v>2171</v>
      </c>
      <c r="E332" s="10" t="s">
        <v>447</v>
      </c>
      <c r="F332" s="10" t="s">
        <v>2824</v>
      </c>
      <c r="G332" s="10" t="s">
        <v>2540</v>
      </c>
      <c r="H332" s="10"/>
      <c r="I332" s="10" t="s">
        <v>2541</v>
      </c>
      <c r="J332" s="7">
        <f>IFERROR(LOOKUP(2,1/('Outreach Log'!$E$2:$E$9998=B332),'Outreach Log'!$B$2:$B$9998),"")</f>
        <v>46126</v>
      </c>
      <c r="K332" s="5">
        <f>COUNTIF('Outreach Log'!$E:$E,B332)</f>
        <v>1</v>
      </c>
    </row>
    <row r="333" spans="1:11">
      <c r="A333" s="43">
        <f>IF(tblCompanies[[#This Row],[Company Name]]&lt;&gt;0,ROW()-1,"")</f>
        <v>332</v>
      </c>
      <c r="B333" s="3" t="s">
        <v>3084</v>
      </c>
      <c r="D333" s="44" t="s">
        <v>3000</v>
      </c>
      <c r="E333" s="47"/>
      <c r="F333" s="10" t="s">
        <v>2824</v>
      </c>
      <c r="G333" s="41"/>
      <c r="H333" s="3" t="s">
        <v>3003</v>
      </c>
      <c r="I333" s="42" t="s">
        <v>3085</v>
      </c>
      <c r="J333" s="7" t="str">
        <f>IFERROR(LOOKUP(2,1/('Outreach Log'!$E$2:$E$9998=B333),'Outreach Log'!$B$2:$B$9998),"")</f>
        <v/>
      </c>
      <c r="K333" s="5">
        <f>COUNTIF('Outreach Log'!$E:$E,B333)</f>
        <v>0</v>
      </c>
    </row>
    <row r="334" spans="1:11">
      <c r="A334" s="9">
        <f>IF(tblCompanies[[#This Row],[Company Name]]&lt;&gt;0,ROW()-1,"")</f>
        <v>333</v>
      </c>
      <c r="B334" s="10" t="s">
        <v>2219</v>
      </c>
      <c r="C334" s="10" t="s">
        <v>6</v>
      </c>
      <c r="D334" s="10" t="s">
        <v>2171</v>
      </c>
      <c r="E334" s="10" t="s">
        <v>174</v>
      </c>
      <c r="F334" s="10" t="s">
        <v>2824</v>
      </c>
      <c r="G334" s="10" t="s">
        <v>2711</v>
      </c>
      <c r="H334" s="10"/>
      <c r="I334" s="10" t="s">
        <v>30</v>
      </c>
      <c r="J334" s="7" t="str">
        <f>IFERROR(LOOKUP(2,1/('Outreach Log'!$E$2:$E$9998=B334),'Outreach Log'!$B$2:$B$9998),"")</f>
        <v/>
      </c>
      <c r="K334" s="5">
        <f>COUNTIF('Outreach Log'!$E:$E,B334)</f>
        <v>0</v>
      </c>
    </row>
    <row r="335" spans="1:11">
      <c r="A335" s="43">
        <f>IF(tblCompanies[[#This Row],[Company Name]]&lt;&gt;0,ROW()-1,"")</f>
        <v>334</v>
      </c>
      <c r="B335" s="3" t="s">
        <v>3091</v>
      </c>
      <c r="D335" s="44" t="s">
        <v>3000</v>
      </c>
      <c r="E335" s="45" t="s">
        <v>3092</v>
      </c>
      <c r="F335" s="10" t="s">
        <v>2824</v>
      </c>
      <c r="G335" s="39"/>
      <c r="H335" s="3" t="s">
        <v>186</v>
      </c>
      <c r="I335" s="42" t="s">
        <v>3093</v>
      </c>
      <c r="J335" s="7" t="str">
        <f>IFERROR(LOOKUP(2,1/('Outreach Log'!$E$2:$E$9998=B335),'Outreach Log'!$B$2:$B$9998),"")</f>
        <v/>
      </c>
      <c r="K335" s="5">
        <f>COUNTIF('Outreach Log'!$E:$E,B335)</f>
        <v>0</v>
      </c>
    </row>
    <row r="336" spans="1:11">
      <c r="A336" s="9">
        <f>IF(tblCompanies[[#This Row],[Company Name]]&lt;&gt;0,ROW()-1,"")</f>
        <v>335</v>
      </c>
      <c r="B336" s="10" t="s">
        <v>2330</v>
      </c>
      <c r="C336" s="10" t="s">
        <v>3</v>
      </c>
      <c r="D336" s="10" t="s">
        <v>2171</v>
      </c>
      <c r="E336" s="10" t="s">
        <v>473</v>
      </c>
      <c r="F336" s="10" t="s">
        <v>2824</v>
      </c>
      <c r="G336" s="10" t="s">
        <v>2618</v>
      </c>
      <c r="H336" s="10"/>
      <c r="I336" s="10" t="s">
        <v>2633</v>
      </c>
      <c r="J336" s="7" t="str">
        <f>IFERROR(LOOKUP(2,1/('Outreach Log'!$E$2:$E$9998=B336),'Outreach Log'!$B$2:$B$9998),"")</f>
        <v/>
      </c>
      <c r="K336" s="5">
        <f>COUNTIF('Outreach Log'!$E:$E,B336)</f>
        <v>0</v>
      </c>
    </row>
    <row r="337" spans="1:11">
      <c r="A337" s="9">
        <f>IF(tblCompanies[[#This Row],[Company Name]]&lt;&gt;0,ROW()-1,"")</f>
        <v>336</v>
      </c>
      <c r="B337" s="10" t="s">
        <v>2206</v>
      </c>
      <c r="C337" s="10" t="s">
        <v>3</v>
      </c>
      <c r="D337" s="10" t="s">
        <v>2171</v>
      </c>
      <c r="E337" s="10" t="s">
        <v>122</v>
      </c>
      <c r="F337" s="10" t="s">
        <v>2824</v>
      </c>
      <c r="G337" s="10" t="s">
        <v>2573</v>
      </c>
      <c r="H337" s="10"/>
      <c r="I337" s="10" t="s">
        <v>2577</v>
      </c>
      <c r="J337" s="7">
        <f>IFERROR(LOOKUP(2,1/('Outreach Log'!$E$2:$E$9998=B337),'Outreach Log'!$B$2:$B$9998),"")</f>
        <v>46126</v>
      </c>
      <c r="K337" s="5">
        <f>COUNTIF('Outreach Log'!$E:$E,B337)</f>
        <v>1</v>
      </c>
    </row>
    <row r="338" spans="1:11">
      <c r="A338" s="43">
        <f>IF(tblCompanies[[#This Row],[Company Name]]&lt;&gt;0,ROW()-1,"")</f>
        <v>337</v>
      </c>
      <c r="B338" s="3" t="s">
        <v>3094</v>
      </c>
      <c r="D338" s="44" t="s">
        <v>3000</v>
      </c>
      <c r="E338" s="45" t="s">
        <v>3095</v>
      </c>
      <c r="F338" s="10" t="s">
        <v>2824</v>
      </c>
      <c r="G338" s="39"/>
      <c r="H338" s="3" t="s">
        <v>3003</v>
      </c>
      <c r="I338" s="42" t="s">
        <v>3096</v>
      </c>
      <c r="J338" s="7">
        <f>IFERROR(LOOKUP(2,1/('Outreach Log'!$E$2:$E$9998=B338),'Outreach Log'!$B$2:$B$9998),"")</f>
        <v>46104</v>
      </c>
      <c r="K338" s="5">
        <f>COUNTIF('Outreach Log'!$E:$E,B338)</f>
        <v>1</v>
      </c>
    </row>
    <row r="339" spans="1:11">
      <c r="A339" s="9">
        <f>IF(tblCompanies[[#This Row],[Company Name]]&lt;&gt;0,ROW()-1,"")</f>
        <v>338</v>
      </c>
      <c r="B339" s="10" t="s">
        <v>2259</v>
      </c>
      <c r="C339" s="10" t="s">
        <v>4</v>
      </c>
      <c r="D339" s="10" t="s">
        <v>2171</v>
      </c>
      <c r="E339" s="10" t="s">
        <v>265</v>
      </c>
      <c r="F339" s="10" t="s">
        <v>2824</v>
      </c>
      <c r="G339" s="10" t="s">
        <v>2664</v>
      </c>
      <c r="H339" s="10"/>
      <c r="I339" s="10" t="s">
        <v>2671</v>
      </c>
      <c r="J339" s="7">
        <f>IFERROR(LOOKUP(2,1/('Outreach Log'!$E$2:$E$9998=B339),'Outreach Log'!$B$2:$B$9998),"")</f>
        <v>46126</v>
      </c>
      <c r="K339" s="5">
        <f>COUNTIF('Outreach Log'!$E:$E,B339)</f>
        <v>1</v>
      </c>
    </row>
    <row r="340" spans="1:11">
      <c r="A340" s="43">
        <f>IF(tblCompanies[[#This Row],[Company Name]]&lt;&gt;0,ROW()-1,"")</f>
        <v>339</v>
      </c>
      <c r="B340" s="3" t="s">
        <v>3097</v>
      </c>
      <c r="D340" s="44" t="s">
        <v>3000</v>
      </c>
      <c r="E340" s="45" t="s">
        <v>3098</v>
      </c>
      <c r="F340" s="10" t="s">
        <v>2824</v>
      </c>
      <c r="G340" s="39"/>
      <c r="H340" s="3" t="s">
        <v>37</v>
      </c>
      <c r="I340" s="42" t="s">
        <v>3099</v>
      </c>
      <c r="J340" s="7" t="str">
        <f>IFERROR(LOOKUP(2,1/('Outreach Log'!$E$2:$E$9998=B340),'Outreach Log'!$B$2:$B$9998),"")</f>
        <v/>
      </c>
      <c r="K340" s="5">
        <f>COUNTIF('Outreach Log'!$E:$E,B340)</f>
        <v>0</v>
      </c>
    </row>
    <row r="341" spans="1:11">
      <c r="A341" s="9">
        <f>IF(tblCompanies[[#This Row],[Company Name]]&lt;&gt;0,ROW()-1,"")</f>
        <v>340</v>
      </c>
      <c r="B341" s="10" t="s">
        <v>2399</v>
      </c>
      <c r="C341" s="10" t="s">
        <v>6</v>
      </c>
      <c r="D341" s="10" t="s">
        <v>2171</v>
      </c>
      <c r="E341" s="10" t="s">
        <v>659</v>
      </c>
      <c r="F341" s="10" t="s">
        <v>2824</v>
      </c>
      <c r="G341" s="10" t="s">
        <v>2777</v>
      </c>
      <c r="H341" s="10"/>
      <c r="I341" s="10" t="s">
        <v>2794</v>
      </c>
      <c r="J341" s="7">
        <f>IFERROR(LOOKUP(2,1/('Outreach Log'!$E$2:$E$9998=B341),'Outreach Log'!$B$2:$B$9998),"")</f>
        <v>46126</v>
      </c>
      <c r="K341" s="5">
        <f>COUNTIF('Outreach Log'!$E:$E,B341)</f>
        <v>1</v>
      </c>
    </row>
    <row r="342" spans="1:11">
      <c r="A342" s="9">
        <f>IF(tblCompanies[[#This Row],[Company Name]]&lt;&gt;0,ROW()-1,"")</f>
        <v>341</v>
      </c>
      <c r="B342" s="10" t="s">
        <v>2391</v>
      </c>
      <c r="C342" s="10" t="s">
        <v>3</v>
      </c>
      <c r="D342" s="10" t="s">
        <v>2171</v>
      </c>
      <c r="E342" s="10" t="s">
        <v>639</v>
      </c>
      <c r="F342" s="10" t="s">
        <v>2824</v>
      </c>
      <c r="G342" s="10" t="s">
        <v>2618</v>
      </c>
      <c r="H342" s="10"/>
      <c r="I342" s="10" t="s">
        <v>640</v>
      </c>
      <c r="J342" s="7" t="str">
        <f>IFERROR(LOOKUP(2,1/('Outreach Log'!$E$2:$E$9998=B342),'Outreach Log'!$B$2:$B$9998),"")</f>
        <v/>
      </c>
      <c r="K342" s="5">
        <f>COUNTIF('Outreach Log'!$E:$E,B342)</f>
        <v>0</v>
      </c>
    </row>
    <row r="343" spans="1:11">
      <c r="A343" s="9">
        <f>IF(tblCompanies[[#This Row],[Company Name]]&lt;&gt;0,ROW()-1,"")</f>
        <v>342</v>
      </c>
      <c r="B343" s="10" t="s">
        <v>400</v>
      </c>
      <c r="C343" s="10" t="s">
        <v>3</v>
      </c>
      <c r="D343" s="10" t="s">
        <v>2171</v>
      </c>
      <c r="E343" s="10" t="s">
        <v>401</v>
      </c>
      <c r="F343" s="10" t="s">
        <v>2824</v>
      </c>
      <c r="G343" s="10" t="s">
        <v>2618</v>
      </c>
      <c r="H343" s="10"/>
      <c r="I343" s="10" t="s">
        <v>2625</v>
      </c>
      <c r="J343" s="7" t="str">
        <f>IFERROR(LOOKUP(2,1/('Outreach Log'!$E$2:$E$9998=B343),'Outreach Log'!$B$2:$B$9998),"")</f>
        <v/>
      </c>
      <c r="K343" s="5">
        <f>COUNTIF('Outreach Log'!$E:$E,B343)</f>
        <v>0</v>
      </c>
    </row>
    <row r="344" spans="1:11">
      <c r="A344" s="9">
        <f>IF(tblCompanies[[#This Row],[Company Name]]&lt;&gt;0,ROW()-1,"")</f>
        <v>343</v>
      </c>
      <c r="B344" s="10" t="s">
        <v>2335</v>
      </c>
      <c r="C344" s="10" t="s">
        <v>0</v>
      </c>
      <c r="D344" s="10" t="s">
        <v>2171</v>
      </c>
      <c r="E344" s="10" t="s">
        <v>487</v>
      </c>
      <c r="F344" s="10" t="s">
        <v>2824</v>
      </c>
      <c r="G344" s="10" t="s">
        <v>2604</v>
      </c>
      <c r="H344" s="10"/>
      <c r="I344" s="10" t="s">
        <v>2612</v>
      </c>
      <c r="J344" s="7" t="str">
        <f>IFERROR(LOOKUP(2,1/('Outreach Log'!$E$2:$E$9998=B344),'Outreach Log'!$B$2:$B$9998),"")</f>
        <v/>
      </c>
      <c r="K344" s="5">
        <f>COUNTIF('Outreach Log'!$E:$E,B344)</f>
        <v>0</v>
      </c>
    </row>
    <row r="345" spans="1:11">
      <c r="A345" s="9">
        <f>IF(tblCompanies[[#This Row],[Company Name]]&lt;&gt;0,ROW()-1,"")</f>
        <v>344</v>
      </c>
      <c r="B345" s="10" t="s">
        <v>2212</v>
      </c>
      <c r="C345" s="10" t="s">
        <v>0</v>
      </c>
      <c r="D345" s="10" t="s">
        <v>2171</v>
      </c>
      <c r="E345" s="10" t="s">
        <v>151</v>
      </c>
      <c r="F345" s="10" t="s">
        <v>2824</v>
      </c>
      <c r="G345" s="10" t="s">
        <v>2664</v>
      </c>
      <c r="H345" s="10"/>
      <c r="I345" s="10" t="s">
        <v>2667</v>
      </c>
      <c r="J345" s="7">
        <f>IFERROR(LOOKUP(2,1/('Outreach Log'!$E$2:$E$9998=B345),'Outreach Log'!$B$2:$B$9998),"")</f>
        <v>46126</v>
      </c>
      <c r="K345" s="5">
        <f>COUNTIF('Outreach Log'!$E:$E,B345)</f>
        <v>1</v>
      </c>
    </row>
    <row r="346" spans="1:11">
      <c r="A346" s="9">
        <f>IF(tblCompanies[[#This Row],[Company Name]]&lt;&gt;0,ROW()-1,"")</f>
        <v>345</v>
      </c>
      <c r="B346" s="10" t="s">
        <v>2356</v>
      </c>
      <c r="C346" s="10" t="s">
        <v>3</v>
      </c>
      <c r="D346" s="10" t="s">
        <v>2171</v>
      </c>
      <c r="E346" s="10" t="s">
        <v>536</v>
      </c>
      <c r="F346" s="10" t="s">
        <v>2824</v>
      </c>
      <c r="G346" s="10" t="s">
        <v>50</v>
      </c>
      <c r="H346" s="10"/>
      <c r="I346" s="10" t="s">
        <v>2554</v>
      </c>
      <c r="J346" s="7" t="str">
        <f>IFERROR(LOOKUP(2,1/('Outreach Log'!$E$2:$E$9998=B346),'Outreach Log'!$B$2:$B$9998),"")</f>
        <v/>
      </c>
      <c r="K346" s="5">
        <f>COUNTIF('Outreach Log'!$E:$E,B346)</f>
        <v>0</v>
      </c>
    </row>
    <row r="347" spans="1:11">
      <c r="A347" s="9">
        <f>IF(tblCompanies[[#This Row],[Company Name]]&lt;&gt;0,ROW()-1,"")</f>
        <v>346</v>
      </c>
      <c r="B347" s="10" t="s">
        <v>2264</v>
      </c>
      <c r="C347" s="10" t="s">
        <v>3</v>
      </c>
      <c r="D347" s="10" t="s">
        <v>2171</v>
      </c>
      <c r="E347" s="10" t="s">
        <v>273</v>
      </c>
      <c r="F347" s="10" t="s">
        <v>2824</v>
      </c>
      <c r="G347" s="10" t="s">
        <v>2702</v>
      </c>
      <c r="H347" s="10"/>
      <c r="I347" s="10" t="s">
        <v>2706</v>
      </c>
      <c r="J347" s="7">
        <f>IFERROR(LOOKUP(2,1/('Outreach Log'!$E$2:$E$9998=B347),'Outreach Log'!$B$2:$B$9998),"")</f>
        <v>46126</v>
      </c>
      <c r="K347" s="5">
        <f>COUNTIF('Outreach Log'!$E:$E,B347)</f>
        <v>1</v>
      </c>
    </row>
    <row r="348" spans="1:11">
      <c r="A348" s="9">
        <f>IF(tblCompanies[[#This Row],[Company Name]]&lt;&gt;0,ROW()-1,"")</f>
        <v>347</v>
      </c>
      <c r="B348" s="10" t="s">
        <v>2341</v>
      </c>
      <c r="C348" s="10" t="s">
        <v>3</v>
      </c>
      <c r="D348" s="10" t="s">
        <v>2171</v>
      </c>
      <c r="E348" s="10" t="s">
        <v>320</v>
      </c>
      <c r="F348" s="10" t="s">
        <v>2824</v>
      </c>
      <c r="G348" s="10" t="s">
        <v>2618</v>
      </c>
      <c r="H348" s="10"/>
      <c r="I348" s="10" t="s">
        <v>502</v>
      </c>
      <c r="J348" s="7">
        <f>IFERROR(LOOKUP(2,1/('Outreach Log'!$E$2:$E$9998=B348),'Outreach Log'!$B$2:$B$9998),"")</f>
        <v>46126</v>
      </c>
      <c r="K348" s="5">
        <f>COUNTIF('Outreach Log'!$E:$E,B348)</f>
        <v>1</v>
      </c>
    </row>
    <row r="349" spans="1:11">
      <c r="A349" s="9">
        <f>IF(tblCompanies[[#This Row],[Company Name]]&lt;&gt;0,ROW()-1,"")</f>
        <v>348</v>
      </c>
      <c r="B349" s="10" t="s">
        <v>2195</v>
      </c>
      <c r="C349" s="10" t="s">
        <v>0</v>
      </c>
      <c r="D349" s="10" t="s">
        <v>2171</v>
      </c>
      <c r="E349" s="10" t="s">
        <v>105</v>
      </c>
      <c r="F349" s="10" t="s">
        <v>2824</v>
      </c>
      <c r="G349" s="10" t="s">
        <v>2702</v>
      </c>
      <c r="H349" s="10"/>
      <c r="I349" s="10" t="s">
        <v>2703</v>
      </c>
      <c r="J349" s="7" t="str">
        <f>IFERROR(LOOKUP(2,1/('Outreach Log'!$E$2:$E$9998=B349),'Outreach Log'!$B$2:$B$9998),"")</f>
        <v/>
      </c>
      <c r="K349" s="5">
        <f>COUNTIF('Outreach Log'!$E:$E,B349)</f>
        <v>0</v>
      </c>
    </row>
    <row r="350" spans="1:11">
      <c r="A350" s="9">
        <f>IF(tblCompanies[[#This Row],[Company Name]]&lt;&gt;0,ROW()-1,"")</f>
        <v>349</v>
      </c>
      <c r="B350" s="10" t="s">
        <v>2384</v>
      </c>
      <c r="C350" s="10" t="s">
        <v>3</v>
      </c>
      <c r="D350" s="10" t="s">
        <v>2171</v>
      </c>
      <c r="E350" s="10" t="s">
        <v>611</v>
      </c>
      <c r="F350" s="10" t="s">
        <v>2824</v>
      </c>
      <c r="G350" s="10" t="s">
        <v>2618</v>
      </c>
      <c r="H350" s="10"/>
      <c r="I350" s="10" t="s">
        <v>2639</v>
      </c>
      <c r="J350" s="7" t="str">
        <f>IFERROR(LOOKUP(2,1/('Outreach Log'!$E$2:$E$9998=B350),'Outreach Log'!$B$2:$B$9998),"")</f>
        <v/>
      </c>
      <c r="K350" s="5">
        <f>COUNTIF('Outreach Log'!$E:$E,B350)</f>
        <v>0</v>
      </c>
    </row>
    <row r="351" spans="1:11">
      <c r="A351" s="9">
        <f>IF(tblCompanies[[#This Row],[Company Name]]&lt;&gt;0,ROW()-1,"")</f>
        <v>350</v>
      </c>
      <c r="B351" s="10" t="s">
        <v>2175</v>
      </c>
      <c r="C351" s="10" t="s">
        <v>3</v>
      </c>
      <c r="D351" s="10" t="s">
        <v>2171</v>
      </c>
      <c r="E351" s="10" t="s">
        <v>41</v>
      </c>
      <c r="F351" s="10" t="s">
        <v>2824</v>
      </c>
      <c r="G351" s="10" t="s">
        <v>2744</v>
      </c>
      <c r="H351" s="10"/>
      <c r="I351" s="10" t="s">
        <v>2745</v>
      </c>
      <c r="J351" s="7" t="str">
        <f>IFERROR(LOOKUP(2,1/('Outreach Log'!$E$2:$E$9998=B351),'Outreach Log'!$B$2:$B$9998),"")</f>
        <v/>
      </c>
      <c r="K351" s="5">
        <f>COUNTIF('Outreach Log'!$E:$E,B351)</f>
        <v>0</v>
      </c>
    </row>
    <row r="352" spans="1:11">
      <c r="A352" s="43">
        <f>IF(tblCompanies[[#This Row],[Company Name]]&lt;&gt;0,ROW()-1,"")</f>
        <v>351</v>
      </c>
      <c r="B352" s="3" t="s">
        <v>3100</v>
      </c>
      <c r="D352" s="44" t="s">
        <v>3000</v>
      </c>
      <c r="E352" s="47"/>
      <c r="F352" s="10" t="s">
        <v>2824</v>
      </c>
      <c r="G352" s="41"/>
      <c r="H352" s="3" t="s">
        <v>3003</v>
      </c>
      <c r="I352" s="42" t="s">
        <v>3101</v>
      </c>
      <c r="J352" s="7" t="str">
        <f>IFERROR(LOOKUP(2,1/('Outreach Log'!$E$2:$E$9998=B352),'Outreach Log'!$B$2:$B$9998),"")</f>
        <v/>
      </c>
      <c r="K352" s="5">
        <f>COUNTIF('Outreach Log'!$E:$E,B352)</f>
        <v>0</v>
      </c>
    </row>
    <row r="353" spans="1:11">
      <c r="A353" s="43">
        <f>IF(tblCompanies[[#This Row],[Company Name]]&lt;&gt;0,ROW()-1,"")</f>
        <v>352</v>
      </c>
      <c r="B353" s="3" t="s">
        <v>3102</v>
      </c>
      <c r="D353" s="44" t="s">
        <v>3000</v>
      </c>
      <c r="E353" s="45" t="s">
        <v>182</v>
      </c>
      <c r="F353" s="10" t="s">
        <v>2824</v>
      </c>
      <c r="G353" s="39"/>
      <c r="H353" s="3" t="s">
        <v>88</v>
      </c>
      <c r="I353" s="42" t="s">
        <v>3103</v>
      </c>
      <c r="J353" s="7" t="str">
        <f>IFERROR(LOOKUP(2,1/('Outreach Log'!$E$2:$E$9998=B353),'Outreach Log'!$B$2:$B$9998),"")</f>
        <v/>
      </c>
      <c r="K353" s="5">
        <f>COUNTIF('Outreach Log'!$E:$E,B353)</f>
        <v>0</v>
      </c>
    </row>
    <row r="354" spans="1:11">
      <c r="A354" s="43">
        <f>IF(tblCompanies[[#This Row],[Company Name]]&lt;&gt;0,ROW()-1,"")</f>
        <v>353</v>
      </c>
      <c r="B354" s="3" t="s">
        <v>3104</v>
      </c>
      <c r="D354" s="44" t="s">
        <v>3000</v>
      </c>
      <c r="E354" s="47"/>
      <c r="F354" s="10" t="s">
        <v>2824</v>
      </c>
      <c r="G354" s="41"/>
      <c r="H354" s="3" t="s">
        <v>3003</v>
      </c>
      <c r="I354" s="42" t="s">
        <v>3105</v>
      </c>
      <c r="J354" s="7" t="str">
        <f>IFERROR(LOOKUP(2,1/('Outreach Log'!$E$2:$E$9998=B354),'Outreach Log'!$B$2:$B$9998),"")</f>
        <v/>
      </c>
      <c r="K354" s="5">
        <f>COUNTIF('Outreach Log'!$E:$E,B354)</f>
        <v>0</v>
      </c>
    </row>
    <row r="355" spans="1:11">
      <c r="A355" s="9">
        <f>IF(tblCompanies[[#This Row],[Company Name]]&lt;&gt;0,ROW()-1,"")</f>
        <v>354</v>
      </c>
      <c r="B355" s="10" t="s">
        <v>2374</v>
      </c>
      <c r="C355" s="10" t="s">
        <v>3</v>
      </c>
      <c r="D355" s="10" t="s">
        <v>2171</v>
      </c>
      <c r="E355" s="10" t="s">
        <v>587</v>
      </c>
      <c r="F355" s="10" t="s">
        <v>2824</v>
      </c>
      <c r="G355" s="10" t="s">
        <v>50</v>
      </c>
      <c r="H355" s="10"/>
      <c r="I355" s="10" t="s">
        <v>2556</v>
      </c>
      <c r="J355" s="7">
        <f>IFERROR(LOOKUP(2,1/('Outreach Log'!$E$2:$E$9998=B355),'Outreach Log'!$B$2:$B$9998),"")</f>
        <v>46126</v>
      </c>
      <c r="K355" s="5">
        <f>COUNTIF('Outreach Log'!$E:$E,B355)</f>
        <v>1</v>
      </c>
    </row>
    <row r="356" spans="1:11">
      <c r="A356" s="9">
        <f>IF(tblCompanies[[#This Row],[Company Name]]&lt;&gt;0,ROW()-1,"")</f>
        <v>355</v>
      </c>
      <c r="B356" s="10" t="s">
        <v>2297</v>
      </c>
      <c r="C356" s="10" t="s">
        <v>1</v>
      </c>
      <c r="D356" s="10" t="s">
        <v>2171</v>
      </c>
      <c r="E356" s="10" t="s">
        <v>404</v>
      </c>
      <c r="F356" s="10" t="s">
        <v>2824</v>
      </c>
      <c r="G356" s="10" t="s">
        <v>2573</v>
      </c>
      <c r="H356" s="10"/>
      <c r="I356" s="10" t="s">
        <v>2589</v>
      </c>
      <c r="J356" s="7" t="str">
        <f>IFERROR(LOOKUP(2,1/('Outreach Log'!$E$2:$E$9998=B356),'Outreach Log'!$B$2:$B$9998),"")</f>
        <v/>
      </c>
      <c r="K356" s="5">
        <f>COUNTIF('Outreach Log'!$E:$E,B356)</f>
        <v>0</v>
      </c>
    </row>
    <row r="357" spans="1:11">
      <c r="A357" s="9">
        <f>IF(tblCompanies[[#This Row],[Company Name]]&lt;&gt;0,ROW()-1,"")</f>
        <v>356</v>
      </c>
      <c r="B357" s="10" t="s">
        <v>262</v>
      </c>
      <c r="C357" s="10"/>
      <c r="D357" s="10" t="s">
        <v>13</v>
      </c>
      <c r="E357" s="10" t="s">
        <v>263</v>
      </c>
      <c r="F357" s="10" t="s">
        <v>2824</v>
      </c>
      <c r="G357" s="10"/>
      <c r="H357" s="10"/>
      <c r="I357" s="10" t="s">
        <v>2480</v>
      </c>
      <c r="J357" s="7" t="str">
        <f>IFERROR(LOOKUP(2,1/('Outreach Log'!$E$2:$E$9998=B357),'Outreach Log'!$B$2:$B$9998),"")</f>
        <v/>
      </c>
      <c r="K357" s="5">
        <f>COUNTIF('Outreach Log'!$E:$E,B357)</f>
        <v>0</v>
      </c>
    </row>
    <row r="358" spans="1:11">
      <c r="A358" s="9">
        <f>IF(tblCompanies[[#This Row],[Company Name]]&lt;&gt;0,ROW()-1,"")</f>
        <v>357</v>
      </c>
      <c r="B358" s="10" t="s">
        <v>2253</v>
      </c>
      <c r="C358" s="10" t="s">
        <v>6</v>
      </c>
      <c r="D358" s="10" t="s">
        <v>2171</v>
      </c>
      <c r="E358" s="10" t="s">
        <v>252</v>
      </c>
      <c r="F358" s="10" t="s">
        <v>2824</v>
      </c>
      <c r="G358" s="10" t="s">
        <v>2744</v>
      </c>
      <c r="H358" s="10"/>
      <c r="I358" s="10" t="s">
        <v>253</v>
      </c>
      <c r="J358" s="7">
        <f>IFERROR(LOOKUP(2,1/('Outreach Log'!$E$2:$E$9998=B358),'Outreach Log'!$B$2:$B$9998),"")</f>
        <v>46126</v>
      </c>
      <c r="K358" s="5">
        <f>COUNTIF('Outreach Log'!$E:$E,B358)</f>
        <v>1</v>
      </c>
    </row>
    <row r="359" spans="1:11">
      <c r="A359" s="9">
        <f>IF(tblCompanies[[#This Row],[Company Name]]&lt;&gt;0,ROW()-1,"")</f>
        <v>358</v>
      </c>
      <c r="B359" s="10" t="s">
        <v>124</v>
      </c>
      <c r="C359" s="10" t="s">
        <v>0</v>
      </c>
      <c r="D359" s="10" t="s">
        <v>2171</v>
      </c>
      <c r="E359" s="10" t="s">
        <v>125</v>
      </c>
      <c r="F359" s="10" t="s">
        <v>2824</v>
      </c>
      <c r="G359" s="10" t="s">
        <v>2604</v>
      </c>
      <c r="H359" s="10"/>
      <c r="I359" s="10" t="s">
        <v>126</v>
      </c>
      <c r="J359" s="7">
        <f>IFERROR(LOOKUP(2,1/('Outreach Log'!$E$2:$E$9998=B359),'Outreach Log'!$B$2:$B$9998),"")</f>
        <v>46126</v>
      </c>
      <c r="K359" s="5">
        <f>COUNTIF('Outreach Log'!$E:$E,B359)</f>
        <v>1</v>
      </c>
    </row>
    <row r="360" spans="1:11">
      <c r="A360" s="9">
        <f>IF(tblCompanies[[#This Row],[Company Name]]&lt;&gt;0,ROW()-1,"")</f>
        <v>359</v>
      </c>
      <c r="B360" s="10" t="s">
        <v>2252</v>
      </c>
      <c r="C360" s="10" t="s">
        <v>6</v>
      </c>
      <c r="D360" s="10" t="s">
        <v>2171</v>
      </c>
      <c r="E360" s="10" t="s">
        <v>251</v>
      </c>
      <c r="F360" s="10" t="s">
        <v>2824</v>
      </c>
      <c r="G360" s="10" t="s">
        <v>2756</v>
      </c>
      <c r="H360" s="10"/>
      <c r="I360" s="10" t="s">
        <v>2761</v>
      </c>
      <c r="J360" s="7" t="str">
        <f>IFERROR(LOOKUP(2,1/('Outreach Log'!$E$2:$E$9998=B360),'Outreach Log'!$B$2:$B$9998),"")</f>
        <v/>
      </c>
      <c r="K360" s="5">
        <f>COUNTIF('Outreach Log'!$E:$E,B360)</f>
        <v>0</v>
      </c>
    </row>
    <row r="361" spans="1:11">
      <c r="A361" s="9">
        <f>IF(tblCompanies[[#This Row],[Company Name]]&lt;&gt;0,ROW()-1,"")</f>
        <v>360</v>
      </c>
      <c r="B361" s="10" t="s">
        <v>2383</v>
      </c>
      <c r="C361" s="10" t="s">
        <v>1</v>
      </c>
      <c r="D361" s="10" t="s">
        <v>2171</v>
      </c>
      <c r="E361" s="10" t="s">
        <v>610</v>
      </c>
      <c r="F361" s="10" t="s">
        <v>2824</v>
      </c>
      <c r="G361" s="10" t="s">
        <v>46</v>
      </c>
      <c r="H361" s="10"/>
      <c r="I361" s="10" t="s">
        <v>2526</v>
      </c>
      <c r="J361" s="7" t="str">
        <f>IFERROR(LOOKUP(2,1/('Outreach Log'!$E$2:$E$9998=B361),'Outreach Log'!$B$2:$B$9998),"")</f>
        <v/>
      </c>
      <c r="K361" s="5">
        <f>COUNTIF('Outreach Log'!$E:$E,B361)</f>
        <v>0</v>
      </c>
    </row>
    <row r="362" spans="1:11">
      <c r="A362" s="9">
        <f>IF(tblCompanies[[#This Row],[Company Name]]&lt;&gt;0,ROW()-1,"")</f>
        <v>361</v>
      </c>
      <c r="B362" s="10" t="s">
        <v>279</v>
      </c>
      <c r="C362" s="10"/>
      <c r="D362" s="10" t="s">
        <v>13</v>
      </c>
      <c r="E362" s="10" t="s">
        <v>280</v>
      </c>
      <c r="F362" s="10" t="s">
        <v>2824</v>
      </c>
      <c r="G362" s="10"/>
      <c r="H362" s="10"/>
      <c r="I362" s="10" t="s">
        <v>281</v>
      </c>
      <c r="J362" s="7" t="str">
        <f>IFERROR(LOOKUP(2,1/('Outreach Log'!$E$2:$E$9998=B362),'Outreach Log'!$B$2:$B$9998),"")</f>
        <v/>
      </c>
      <c r="K362" s="5">
        <f>COUNTIF('Outreach Log'!$E:$E,B362)</f>
        <v>0</v>
      </c>
    </row>
    <row r="363" spans="1:11">
      <c r="A363" s="9">
        <f>IF(tblCompanies[[#This Row],[Company Name]]&lt;&gt;0,ROW()-1,"")</f>
        <v>362</v>
      </c>
      <c r="B363" s="10" t="s">
        <v>2241</v>
      </c>
      <c r="C363" s="10" t="s">
        <v>3</v>
      </c>
      <c r="D363" s="10" t="s">
        <v>2171</v>
      </c>
      <c r="E363" s="10" t="s">
        <v>219</v>
      </c>
      <c r="F363" s="10" t="s">
        <v>2824</v>
      </c>
      <c r="G363" s="10" t="s">
        <v>2756</v>
      </c>
      <c r="H363" s="10"/>
      <c r="I363" s="10" t="s">
        <v>2760</v>
      </c>
      <c r="J363" s="7">
        <f>IFERROR(LOOKUP(2,1/('Outreach Log'!$E$2:$E$9998=B363),'Outreach Log'!$B$2:$B$9998),"")</f>
        <v>46126</v>
      </c>
      <c r="K363" s="5">
        <f>COUNTIF('Outreach Log'!$E:$E,B363)</f>
        <v>1</v>
      </c>
    </row>
    <row r="364" spans="1:11">
      <c r="A364" s="9">
        <f>IF(tblCompanies[[#This Row],[Company Name]]&lt;&gt;0,ROW()-1,"")</f>
        <v>363</v>
      </c>
      <c r="B364" s="10" t="s">
        <v>2251</v>
      </c>
      <c r="C364" s="10" t="s">
        <v>6</v>
      </c>
      <c r="D364" s="10" t="s">
        <v>2171</v>
      </c>
      <c r="E364" s="10" t="s">
        <v>241</v>
      </c>
      <c r="F364" s="10" t="s">
        <v>2824</v>
      </c>
      <c r="G364" s="10" t="s">
        <v>217</v>
      </c>
      <c r="H364" s="10"/>
      <c r="I364" s="10" t="s">
        <v>30</v>
      </c>
      <c r="J364" s="7" t="str">
        <f>IFERROR(LOOKUP(2,1/('Outreach Log'!$E$2:$E$9998=B364),'Outreach Log'!$B$2:$B$9998),"")</f>
        <v/>
      </c>
      <c r="K364" s="5">
        <f>COUNTIF('Outreach Log'!$E:$E,B364)</f>
        <v>0</v>
      </c>
    </row>
    <row r="365" spans="1:11">
      <c r="A365" s="43">
        <f>IF(tblCompanies[[#This Row],[Company Name]]&lt;&gt;0,ROW()-1,"")</f>
        <v>364</v>
      </c>
      <c r="B365" s="3" t="s">
        <v>3108</v>
      </c>
      <c r="D365" s="44" t="s">
        <v>3000</v>
      </c>
      <c r="E365" s="45" t="s">
        <v>568</v>
      </c>
      <c r="F365" s="10" t="s">
        <v>2824</v>
      </c>
      <c r="G365" s="39"/>
      <c r="H365" s="3" t="s">
        <v>37</v>
      </c>
      <c r="I365" s="42" t="s">
        <v>3109</v>
      </c>
      <c r="J365" s="7" t="str">
        <f>IFERROR(LOOKUP(2,1/('Outreach Log'!$E$2:$E$9998=B365),'Outreach Log'!$B$2:$B$9998),"")</f>
        <v/>
      </c>
      <c r="K365" s="5">
        <f>COUNTIF('Outreach Log'!$E:$E,B365)</f>
        <v>0</v>
      </c>
    </row>
    <row r="366" spans="1:11">
      <c r="A366" s="9">
        <f>IF(tblCompanies[[#This Row],[Company Name]]&lt;&gt;0,ROW()-1,"")</f>
        <v>365</v>
      </c>
      <c r="B366" s="10" t="s">
        <v>2373</v>
      </c>
      <c r="C366" s="10" t="s">
        <v>3</v>
      </c>
      <c r="D366" s="10" t="s">
        <v>2171</v>
      </c>
      <c r="E366" s="10" t="s">
        <v>583</v>
      </c>
      <c r="F366" s="10" t="s">
        <v>2824</v>
      </c>
      <c r="G366" s="10" t="s">
        <v>2752</v>
      </c>
      <c r="H366" s="10"/>
      <c r="I366" s="10" t="s">
        <v>2754</v>
      </c>
      <c r="J366" s="7" t="str">
        <f>IFERROR(LOOKUP(2,1/('Outreach Log'!$E$2:$E$9998=B366),'Outreach Log'!$B$2:$B$9998),"")</f>
        <v/>
      </c>
      <c r="K366" s="5">
        <f>COUNTIF('Outreach Log'!$E:$E,B366)</f>
        <v>0</v>
      </c>
    </row>
    <row r="367" spans="1:11">
      <c r="A367" s="9">
        <f>IF(tblCompanies[[#This Row],[Company Name]]&lt;&gt;0,ROW()-1,"")</f>
        <v>366</v>
      </c>
      <c r="B367" s="10" t="s">
        <v>2301</v>
      </c>
      <c r="C367" s="10" t="s">
        <v>5</v>
      </c>
      <c r="D367" s="10" t="s">
        <v>2171</v>
      </c>
      <c r="E367" s="10"/>
      <c r="F367" s="10" t="s">
        <v>2824</v>
      </c>
      <c r="G367" s="10" t="s">
        <v>2712</v>
      </c>
      <c r="H367" s="10"/>
      <c r="I367" s="10" t="s">
        <v>418</v>
      </c>
      <c r="J367" s="7">
        <f>IFERROR(LOOKUP(2,1/('Outreach Log'!$E$2:$E$9998=B367),'Outreach Log'!$B$2:$B$9998),"")</f>
        <v>46126</v>
      </c>
      <c r="K367" s="5">
        <f>COUNTIF('Outreach Log'!$E:$E,B367)</f>
        <v>1</v>
      </c>
    </row>
    <row r="368" spans="1:11">
      <c r="A368" s="9">
        <f>IF(tblCompanies[[#This Row],[Company Name]]&lt;&gt;0,ROW()-1,"")</f>
        <v>367</v>
      </c>
      <c r="B368" s="10" t="s">
        <v>2176</v>
      </c>
      <c r="C368" s="10" t="s">
        <v>1</v>
      </c>
      <c r="D368" s="10" t="s">
        <v>2171</v>
      </c>
      <c r="E368" s="10" t="s">
        <v>42</v>
      </c>
      <c r="F368" s="10" t="s">
        <v>2824</v>
      </c>
      <c r="G368" s="10" t="s">
        <v>43</v>
      </c>
      <c r="H368" s="10"/>
      <c r="I368" s="10" t="s">
        <v>2532</v>
      </c>
      <c r="J368" s="7">
        <f>IFERROR(LOOKUP(2,1/('Outreach Log'!$E$2:$E$9998=B368),'Outreach Log'!$B$2:$B$9998),"")</f>
        <v>46126</v>
      </c>
      <c r="K368" s="5">
        <f>COUNTIF('Outreach Log'!$E:$E,B368)</f>
        <v>1</v>
      </c>
    </row>
    <row r="369" spans="1:11">
      <c r="A369" s="43">
        <f>IF(tblCompanies[[#This Row],[Company Name]]&lt;&gt;0,ROW()-1,"")</f>
        <v>368</v>
      </c>
      <c r="B369" s="3" t="s">
        <v>3110</v>
      </c>
      <c r="D369" s="44" t="s">
        <v>3000</v>
      </c>
      <c r="E369" s="47"/>
      <c r="F369" s="10" t="s">
        <v>2824</v>
      </c>
      <c r="G369" s="41"/>
      <c r="H369" s="3" t="s">
        <v>3003</v>
      </c>
      <c r="I369" s="42" t="s">
        <v>3111</v>
      </c>
      <c r="J369" s="7" t="str">
        <f>IFERROR(LOOKUP(2,1/('Outreach Log'!$E$2:$E$9998=B369),'Outreach Log'!$B$2:$B$9998),"")</f>
        <v/>
      </c>
      <c r="K369" s="5">
        <f>COUNTIF('Outreach Log'!$E:$E,B369)</f>
        <v>0</v>
      </c>
    </row>
    <row r="370" spans="1:11">
      <c r="A370" s="9">
        <f>IF(tblCompanies[[#This Row],[Company Name]]&lt;&gt;0,ROW()-1,"")</f>
        <v>369</v>
      </c>
      <c r="B370" s="10" t="s">
        <v>2334</v>
      </c>
      <c r="C370" s="10" t="s">
        <v>0</v>
      </c>
      <c r="D370" s="10" t="s">
        <v>2171</v>
      </c>
      <c r="E370" s="10" t="s">
        <v>486</v>
      </c>
      <c r="F370" s="10" t="s">
        <v>2824</v>
      </c>
      <c r="G370" s="10" t="s">
        <v>2756</v>
      </c>
      <c r="H370" s="10"/>
      <c r="I370" s="10" t="s">
        <v>2766</v>
      </c>
      <c r="J370" s="7" t="str">
        <f>IFERROR(LOOKUP(2,1/('Outreach Log'!$E$2:$E$9998=B370),'Outreach Log'!$B$2:$B$9998),"")</f>
        <v/>
      </c>
      <c r="K370" s="5">
        <f>COUNTIF('Outreach Log'!$E:$E,B370)</f>
        <v>0</v>
      </c>
    </row>
    <row r="371" spans="1:11">
      <c r="A371" s="9">
        <f>IF(tblCompanies[[#This Row],[Company Name]]&lt;&gt;0,ROW()-1,"")</f>
        <v>370</v>
      </c>
      <c r="B371" s="10" t="s">
        <v>673</v>
      </c>
      <c r="C371" s="10"/>
      <c r="D371" s="10" t="s">
        <v>13</v>
      </c>
      <c r="E371" s="10" t="s">
        <v>674</v>
      </c>
      <c r="F371" s="10" t="s">
        <v>2824</v>
      </c>
      <c r="G371" s="10"/>
      <c r="H371" s="10"/>
      <c r="I371" s="10" t="s">
        <v>675</v>
      </c>
      <c r="J371" s="7" t="str">
        <f>IFERROR(LOOKUP(2,1/('Outreach Log'!$E$2:$E$9998=B371),'Outreach Log'!$B$2:$B$9998),"")</f>
        <v/>
      </c>
      <c r="K371" s="5">
        <f>COUNTIF('Outreach Log'!$E:$E,B371)</f>
        <v>0</v>
      </c>
    </row>
    <row r="372" spans="1:11">
      <c r="A372" s="9">
        <f>IF(tblCompanies[[#This Row],[Company Name]]&lt;&gt;0,ROW()-1,"")</f>
        <v>371</v>
      </c>
      <c r="B372" s="10" t="s">
        <v>2267</v>
      </c>
      <c r="C372" s="10" t="s">
        <v>3</v>
      </c>
      <c r="D372" s="10" t="s">
        <v>2171</v>
      </c>
      <c r="E372" s="10" t="s">
        <v>278</v>
      </c>
      <c r="F372" s="10" t="s">
        <v>2824</v>
      </c>
      <c r="G372" s="10" t="s">
        <v>2744</v>
      </c>
      <c r="H372" s="10"/>
      <c r="I372" s="10" t="s">
        <v>2748</v>
      </c>
      <c r="J372" s="7" t="str">
        <f>IFERROR(LOOKUP(2,1/('Outreach Log'!$E$2:$E$9998=B372),'Outreach Log'!$B$2:$B$9998),"")</f>
        <v/>
      </c>
      <c r="K372" s="5">
        <f>COUNTIF('Outreach Log'!$E:$E,B372)</f>
        <v>0</v>
      </c>
    </row>
    <row r="373" spans="1:11">
      <c r="A373" s="43">
        <f>IF(tblCompanies[[#This Row],[Company Name]]&lt;&gt;0,ROW()-1,"")</f>
        <v>372</v>
      </c>
      <c r="B373" s="3" t="s">
        <v>3114</v>
      </c>
      <c r="D373" s="44" t="s">
        <v>3000</v>
      </c>
      <c r="E373" s="45" t="s">
        <v>3115</v>
      </c>
      <c r="F373" s="10" t="s">
        <v>2824</v>
      </c>
      <c r="G373" s="39"/>
      <c r="H373" s="3" t="s">
        <v>71</v>
      </c>
      <c r="I373" s="42" t="s">
        <v>3116</v>
      </c>
      <c r="J373" s="7" t="str">
        <f>IFERROR(LOOKUP(2,1/('Outreach Log'!$E$2:$E$9998=B373),'Outreach Log'!$B$2:$B$9998),"")</f>
        <v/>
      </c>
      <c r="K373" s="5">
        <f>COUNTIF('Outreach Log'!$E:$E,B373)</f>
        <v>0</v>
      </c>
    </row>
    <row r="374" spans="1:11">
      <c r="A374" s="9">
        <f>IF(tblCompanies[[#This Row],[Company Name]]&lt;&gt;0,ROW()-1,"")</f>
        <v>373</v>
      </c>
      <c r="B374" s="10" t="s">
        <v>2266</v>
      </c>
      <c r="C374" s="10" t="s">
        <v>1</v>
      </c>
      <c r="D374" s="10" t="s">
        <v>2171</v>
      </c>
      <c r="E374" s="10" t="s">
        <v>277</v>
      </c>
      <c r="F374" s="10" t="s">
        <v>2824</v>
      </c>
      <c r="G374" s="10" t="s">
        <v>2573</v>
      </c>
      <c r="H374" s="10"/>
      <c r="I374" s="10" t="s">
        <v>2585</v>
      </c>
      <c r="J374" s="7">
        <f>IFERROR(LOOKUP(2,1/('Outreach Log'!$E$2:$E$9998=B374),'Outreach Log'!$B$2:$B$9998),"")</f>
        <v>46126</v>
      </c>
      <c r="K374" s="5">
        <f>COUNTIF('Outreach Log'!$E:$E,B374)</f>
        <v>1</v>
      </c>
    </row>
    <row r="375" spans="1:11">
      <c r="A375" s="9">
        <f>IF(tblCompanies[[#This Row],[Company Name]]&lt;&gt;0,ROW()-1,"")</f>
        <v>374</v>
      </c>
      <c r="B375" s="10" t="s">
        <v>2388</v>
      </c>
      <c r="C375" s="10" t="s">
        <v>3</v>
      </c>
      <c r="D375" s="10" t="s">
        <v>2171</v>
      </c>
      <c r="E375" s="10" t="s">
        <v>631</v>
      </c>
      <c r="F375" s="10" t="s">
        <v>2824</v>
      </c>
      <c r="G375" s="10" t="s">
        <v>2650</v>
      </c>
      <c r="H375" s="10"/>
      <c r="I375" s="10" t="s">
        <v>2659</v>
      </c>
      <c r="J375" s="7" t="str">
        <f>IFERROR(LOOKUP(2,1/('Outreach Log'!$E$2:$E$9998=B375),'Outreach Log'!$B$2:$B$9998),"")</f>
        <v/>
      </c>
      <c r="K375" s="5">
        <f>COUNTIF('Outreach Log'!$E:$E,B375)</f>
        <v>0</v>
      </c>
    </row>
    <row r="376" spans="1:11">
      <c r="A376" s="9">
        <f>IF(tblCompanies[[#This Row],[Company Name]]&lt;&gt;0,ROW()-1,"")</f>
        <v>375</v>
      </c>
      <c r="B376" s="10" t="s">
        <v>31</v>
      </c>
      <c r="C376" s="10"/>
      <c r="D376" s="10" t="s">
        <v>13</v>
      </c>
      <c r="E376" s="10" t="s">
        <v>32</v>
      </c>
      <c r="F376" s="10" t="s">
        <v>2824</v>
      </c>
      <c r="G376" s="10"/>
      <c r="H376" s="10"/>
      <c r="I376" s="10" t="s">
        <v>33</v>
      </c>
      <c r="J376" s="7">
        <f>IFERROR(LOOKUP(2,1/('Outreach Log'!$E$2:$E$9998=B376),'Outreach Log'!$B$2:$B$9998),"")</f>
        <v>46126</v>
      </c>
      <c r="K376" s="5">
        <f>COUNTIF('Outreach Log'!$E:$E,B376)</f>
        <v>1</v>
      </c>
    </row>
    <row r="377" spans="1:11">
      <c r="A377" s="9">
        <f>IF(tblCompanies[[#This Row],[Company Name]]&lt;&gt;0,ROW()-1,"")</f>
        <v>376</v>
      </c>
      <c r="B377" s="10" t="s">
        <v>2324</v>
      </c>
      <c r="C377" s="10" t="s">
        <v>2</v>
      </c>
      <c r="D377" s="10" t="s">
        <v>2171</v>
      </c>
      <c r="E377" s="10" t="s">
        <v>458</v>
      </c>
      <c r="F377" s="10" t="s">
        <v>2824</v>
      </c>
      <c r="G377" s="10" t="s">
        <v>2664</v>
      </c>
      <c r="H377" s="10"/>
      <c r="I377" s="10" t="s">
        <v>459</v>
      </c>
      <c r="J377" s="7">
        <f>IFERROR(LOOKUP(2,1/('Outreach Log'!$E$2:$E$9998=B377),'Outreach Log'!$B$2:$B$9998),"")</f>
        <v>46126</v>
      </c>
      <c r="K377" s="5">
        <f>COUNTIF('Outreach Log'!$E:$E,B377)</f>
        <v>1</v>
      </c>
    </row>
    <row r="378" spans="1:11">
      <c r="A378" s="9">
        <f>IF(tblCompanies[[#This Row],[Company Name]]&lt;&gt;0,ROW()-1,"")</f>
        <v>377</v>
      </c>
      <c r="B378" s="10" t="s">
        <v>2353</v>
      </c>
      <c r="C378" s="10"/>
      <c r="D378" s="10" t="s">
        <v>13</v>
      </c>
      <c r="E378" s="10" t="s">
        <v>524</v>
      </c>
      <c r="F378" s="10" t="s">
        <v>2824</v>
      </c>
      <c r="G378" s="10"/>
      <c r="H378" s="10"/>
      <c r="I378" s="10" t="s">
        <v>2496</v>
      </c>
      <c r="J378" s="7">
        <f>IFERROR(LOOKUP(2,1/('Outreach Log'!$E$2:$E$9998=B378),'Outreach Log'!$B$2:$B$9998),"")</f>
        <v>46126</v>
      </c>
      <c r="K378" s="5">
        <f>COUNTIF('Outreach Log'!$E:$E,B378)</f>
        <v>1</v>
      </c>
    </row>
    <row r="379" spans="1:11">
      <c r="A379" s="9">
        <f>IF(tblCompanies[[#This Row],[Company Name]]&lt;&gt;0,ROW()-1,"")</f>
        <v>378</v>
      </c>
      <c r="B379" s="10" t="s">
        <v>2409</v>
      </c>
      <c r="C379" s="10" t="s">
        <v>0</v>
      </c>
      <c r="D379" s="10" t="s">
        <v>2171</v>
      </c>
      <c r="E379" s="10" t="s">
        <v>676</v>
      </c>
      <c r="F379" s="10" t="s">
        <v>2824</v>
      </c>
      <c r="G379" s="10" t="s">
        <v>217</v>
      </c>
      <c r="H379" s="10"/>
      <c r="I379" s="10" t="s">
        <v>2571</v>
      </c>
      <c r="J379" s="7" t="str">
        <f>IFERROR(LOOKUP(2,1/('Outreach Log'!$E$2:$E$9998=B379),'Outreach Log'!$B$2:$B$9998),"")</f>
        <v/>
      </c>
      <c r="K379" s="5">
        <f>COUNTIF('Outreach Log'!$E:$E,B379)</f>
        <v>0</v>
      </c>
    </row>
    <row r="380" spans="1:11">
      <c r="A380" s="9">
        <f>IF(tblCompanies[[#This Row],[Company Name]]&lt;&gt;0,ROW()-1,"")</f>
        <v>379</v>
      </c>
      <c r="B380" s="10" t="s">
        <v>2289</v>
      </c>
      <c r="C380" s="10" t="s">
        <v>0</v>
      </c>
      <c r="D380" s="10" t="s">
        <v>2171</v>
      </c>
      <c r="E380" s="10" t="s">
        <v>387</v>
      </c>
      <c r="F380" s="10" t="s">
        <v>2824</v>
      </c>
      <c r="G380" s="10" t="s">
        <v>46</v>
      </c>
      <c r="H380" s="10"/>
      <c r="I380" s="10" t="s">
        <v>2516</v>
      </c>
      <c r="J380" s="7" t="str">
        <f>IFERROR(LOOKUP(2,1/('Outreach Log'!$E$2:$E$9998=B380),'Outreach Log'!$B$2:$B$9998),"")</f>
        <v/>
      </c>
      <c r="K380" s="5">
        <f>COUNTIF('Outreach Log'!$E:$E,B380)</f>
        <v>0</v>
      </c>
    </row>
    <row r="381" spans="1:11">
      <c r="A381" s="9">
        <f>IF(tblCompanies[[#This Row],[Company Name]]&lt;&gt;0,ROW()-1,"")</f>
        <v>380</v>
      </c>
      <c r="B381" s="10" t="s">
        <v>2333</v>
      </c>
      <c r="C381" s="10" t="s">
        <v>6</v>
      </c>
      <c r="D381" s="10" t="s">
        <v>2171</v>
      </c>
      <c r="E381" s="10" t="s">
        <v>483</v>
      </c>
      <c r="F381" s="10" t="s">
        <v>2824</v>
      </c>
      <c r="G381" s="10" t="s">
        <v>46</v>
      </c>
      <c r="H381" s="10"/>
      <c r="I381" s="10" t="s">
        <v>2520</v>
      </c>
      <c r="J381" s="7" t="str">
        <f>IFERROR(LOOKUP(2,1/('Outreach Log'!$E$2:$E$9998=B381),'Outreach Log'!$B$2:$B$9998),"")</f>
        <v/>
      </c>
      <c r="K381" s="5">
        <f>COUNTIF('Outreach Log'!$E:$E,B381)</f>
        <v>0</v>
      </c>
    </row>
    <row r="382" spans="1:11">
      <c r="A382" s="43">
        <f>IF(tblCompanies[[#This Row],[Company Name]]&lt;&gt;0,ROW()-1,"")</f>
        <v>381</v>
      </c>
      <c r="B382" s="3" t="s">
        <v>3117</v>
      </c>
      <c r="D382" s="44" t="s">
        <v>3000</v>
      </c>
      <c r="E382" s="45" t="s">
        <v>3118</v>
      </c>
      <c r="F382" s="10" t="s">
        <v>2824</v>
      </c>
      <c r="G382" s="39"/>
      <c r="H382" s="3" t="s">
        <v>325</v>
      </c>
      <c r="I382" s="42" t="s">
        <v>3119</v>
      </c>
      <c r="J382" s="7" t="str">
        <f>IFERROR(LOOKUP(2,1/('Outreach Log'!$E$2:$E$9998=B382),'Outreach Log'!$B$2:$B$9998),"")</f>
        <v/>
      </c>
      <c r="K382" s="5">
        <f>COUNTIF('Outreach Log'!$E:$E,B382)</f>
        <v>0</v>
      </c>
    </row>
    <row r="383" spans="1:11">
      <c r="A383" s="9">
        <f>IF(tblCompanies[[#This Row],[Company Name]]&lt;&gt;0,ROW()-1,"")</f>
        <v>382</v>
      </c>
      <c r="B383" s="10" t="s">
        <v>580</v>
      </c>
      <c r="C383" s="10" t="s">
        <v>8</v>
      </c>
      <c r="D383" s="10" t="s">
        <v>2171</v>
      </c>
      <c r="E383" s="10" t="s">
        <v>581</v>
      </c>
      <c r="F383" s="10" t="s">
        <v>2824</v>
      </c>
      <c r="G383" s="10" t="s">
        <v>138</v>
      </c>
      <c r="H383" s="10"/>
      <c r="I383" s="10" t="s">
        <v>582</v>
      </c>
      <c r="J383" s="7">
        <f>IFERROR(LOOKUP(2,1/('Outreach Log'!$E$2:$E$9998=B383),'Outreach Log'!$B$2:$B$9998),"")</f>
        <v>46126</v>
      </c>
      <c r="K383" s="5">
        <f>COUNTIF('Outreach Log'!$E:$E,B383)</f>
        <v>1</v>
      </c>
    </row>
    <row r="384" spans="1:11">
      <c r="A384" s="43">
        <f>IF(tblCompanies[[#This Row],[Company Name]]&lt;&gt;0,ROW()-1,"")</f>
        <v>383</v>
      </c>
      <c r="B384" s="3" t="s">
        <v>3120</v>
      </c>
      <c r="D384" s="44" t="s">
        <v>3000</v>
      </c>
      <c r="E384" s="45"/>
      <c r="F384" s="10" t="s">
        <v>2824</v>
      </c>
      <c r="G384" s="39"/>
      <c r="H384" s="3" t="s">
        <v>283</v>
      </c>
      <c r="I384" s="42" t="s">
        <v>3121</v>
      </c>
      <c r="J384" s="7" t="str">
        <f>IFERROR(LOOKUP(2,1/('Outreach Log'!$E$2:$E$9998=B384),'Outreach Log'!$B$2:$B$9998),"")</f>
        <v/>
      </c>
      <c r="K384" s="5">
        <f>COUNTIF('Outreach Log'!$E:$E,B384)</f>
        <v>0</v>
      </c>
    </row>
    <row r="385" spans="1:11">
      <c r="A385" s="9">
        <f>IF(tblCompanies[[#This Row],[Company Name]]&lt;&gt;0,ROW()-1,"")</f>
        <v>384</v>
      </c>
      <c r="B385" s="10" t="s">
        <v>2425</v>
      </c>
      <c r="C385" s="10" t="s">
        <v>3</v>
      </c>
      <c r="D385" s="10" t="s">
        <v>2171</v>
      </c>
      <c r="E385" s="10" t="s">
        <v>708</v>
      </c>
      <c r="F385" s="10" t="s">
        <v>2824</v>
      </c>
      <c r="G385" s="10" t="s">
        <v>2777</v>
      </c>
      <c r="H385" s="10"/>
      <c r="I385" s="10" t="s">
        <v>2796</v>
      </c>
      <c r="J385" s="7" t="str">
        <f>IFERROR(LOOKUP(2,1/('Outreach Log'!$E$2:$E$9998=B385),'Outreach Log'!$B$2:$B$9998),"")</f>
        <v/>
      </c>
      <c r="K385" s="5">
        <f>COUNTIF('Outreach Log'!$E:$E,B385)</f>
        <v>0</v>
      </c>
    </row>
    <row r="386" spans="1:11">
      <c r="A386" s="9">
        <f>IF(tblCompanies[[#This Row],[Company Name]]&lt;&gt;0,ROW()-1,"")</f>
        <v>385</v>
      </c>
      <c r="B386" s="10" t="s">
        <v>2392</v>
      </c>
      <c r="C386" s="10" t="s">
        <v>0</v>
      </c>
      <c r="D386" s="10" t="s">
        <v>2171</v>
      </c>
      <c r="E386" s="10" t="s">
        <v>641</v>
      </c>
      <c r="F386" s="10" t="s">
        <v>2824</v>
      </c>
      <c r="G386" s="10" t="s">
        <v>2604</v>
      </c>
      <c r="H386" s="10"/>
      <c r="I386" s="10" t="s">
        <v>2616</v>
      </c>
      <c r="J386" s="7" t="str">
        <f>IFERROR(LOOKUP(2,1/('Outreach Log'!$E$2:$E$9998=B386),'Outreach Log'!$B$2:$B$9998),"")</f>
        <v/>
      </c>
      <c r="K386" s="5">
        <f>COUNTIF('Outreach Log'!$E:$E,B386)</f>
        <v>0</v>
      </c>
    </row>
    <row r="387" spans="1:11">
      <c r="A387" s="9">
        <f>IF(tblCompanies[[#This Row],[Company Name]]&lt;&gt;0,ROW()-1,"")</f>
        <v>386</v>
      </c>
      <c r="B387" s="10" t="s">
        <v>2412</v>
      </c>
      <c r="C387" s="10" t="s">
        <v>8</v>
      </c>
      <c r="D387" s="10" t="s">
        <v>2171</v>
      </c>
      <c r="E387" s="10" t="s">
        <v>683</v>
      </c>
      <c r="F387" s="10" t="s">
        <v>2824</v>
      </c>
      <c r="G387" s="10" t="s">
        <v>138</v>
      </c>
      <c r="H387" s="10"/>
      <c r="I387" s="10" t="s">
        <v>2742</v>
      </c>
      <c r="J387" s="7" t="str">
        <f>IFERROR(LOOKUP(2,1/('Outreach Log'!$E$2:$E$9998=B387),'Outreach Log'!$B$2:$B$9998),"")</f>
        <v/>
      </c>
      <c r="K387" s="5">
        <f>COUNTIF('Outreach Log'!$E:$E,B387)</f>
        <v>0</v>
      </c>
    </row>
    <row r="388" spans="1:11">
      <c r="A388" s="9">
        <f>IF(tblCompanies[[#This Row],[Company Name]]&lt;&gt;0,ROW()-1,"")</f>
        <v>387</v>
      </c>
      <c r="B388" s="10" t="s">
        <v>534</v>
      </c>
      <c r="C388" s="10" t="s">
        <v>3</v>
      </c>
      <c r="D388" s="10" t="s">
        <v>2171</v>
      </c>
      <c r="E388" s="10" t="s">
        <v>535</v>
      </c>
      <c r="F388" s="10" t="s">
        <v>2824</v>
      </c>
      <c r="G388" s="10" t="s">
        <v>46</v>
      </c>
      <c r="H388" s="10"/>
      <c r="I388" s="10" t="s">
        <v>2525</v>
      </c>
      <c r="J388" s="7">
        <f>IFERROR(LOOKUP(2,1/('Outreach Log'!$E$2:$E$9998=B388),'Outreach Log'!$B$2:$B$9998),"")</f>
        <v>46126</v>
      </c>
      <c r="K388" s="5">
        <f>COUNTIF('Outreach Log'!$E:$E,B388)</f>
        <v>1</v>
      </c>
    </row>
    <row r="389" spans="1:11">
      <c r="A389" s="9">
        <f>IF(tblCompanies[[#This Row],[Company Name]]&lt;&gt;0,ROW()-1,"")</f>
        <v>388</v>
      </c>
      <c r="B389" s="10" t="s">
        <v>2417</v>
      </c>
      <c r="C389" s="10" t="s">
        <v>0</v>
      </c>
      <c r="D389" s="10" t="s">
        <v>2171</v>
      </c>
      <c r="E389" s="10" t="s">
        <v>691</v>
      </c>
      <c r="F389" s="10" t="s">
        <v>2824</v>
      </c>
      <c r="G389" s="10" t="s">
        <v>692</v>
      </c>
      <c r="H389" s="10"/>
      <c r="I389" s="10" t="s">
        <v>2546</v>
      </c>
      <c r="J389" s="7" t="str">
        <f>IFERROR(LOOKUP(2,1/('Outreach Log'!$E$2:$E$9998=B389),'Outreach Log'!$B$2:$B$9998),"")</f>
        <v/>
      </c>
      <c r="K389" s="5">
        <f>COUNTIF('Outreach Log'!$E:$E,B389)</f>
        <v>0</v>
      </c>
    </row>
    <row r="390" spans="1:11">
      <c r="A390" s="9">
        <f>IF(tblCompanies[[#This Row],[Company Name]]&lt;&gt;0,ROW()-1,"")</f>
        <v>389</v>
      </c>
      <c r="B390" s="10" t="s">
        <v>300</v>
      </c>
      <c r="C390" s="10" t="s">
        <v>0</v>
      </c>
      <c r="D390" s="10" t="s">
        <v>2171</v>
      </c>
      <c r="E390" s="10" t="s">
        <v>301</v>
      </c>
      <c r="F390" s="10" t="s">
        <v>2824</v>
      </c>
      <c r="G390" s="10" t="s">
        <v>2756</v>
      </c>
      <c r="H390" s="10"/>
      <c r="I390" s="10" t="s">
        <v>302</v>
      </c>
      <c r="J390" s="7">
        <f>IFERROR(LOOKUP(2,1/('Outreach Log'!$E$2:$E$9998=B390),'Outreach Log'!$B$2:$B$9998),"")</f>
        <v>46126</v>
      </c>
      <c r="K390" s="5">
        <f>COUNTIF('Outreach Log'!$E:$E,B390)</f>
        <v>1</v>
      </c>
    </row>
    <row r="391" spans="1:11">
      <c r="A391" s="9">
        <f>IF(tblCompanies[[#This Row],[Company Name]]&lt;&gt;0,ROW()-1,"")</f>
        <v>390</v>
      </c>
      <c r="B391" s="10" t="s">
        <v>693</v>
      </c>
      <c r="C391" s="10"/>
      <c r="D391" s="10" t="s">
        <v>13</v>
      </c>
      <c r="E391" s="10" t="s">
        <v>694</v>
      </c>
      <c r="F391" s="10" t="s">
        <v>2824</v>
      </c>
      <c r="G391" s="10"/>
      <c r="H391" s="10"/>
      <c r="I391" s="10" t="s">
        <v>695</v>
      </c>
      <c r="J391" s="7" t="str">
        <f>IFERROR(LOOKUP(2,1/('Outreach Log'!$E$2:$E$9998=B391),'Outreach Log'!$B$2:$B$9998),"")</f>
        <v/>
      </c>
      <c r="K391" s="5">
        <f>COUNTIF('Outreach Log'!$E:$E,B391)</f>
        <v>0</v>
      </c>
    </row>
    <row r="392" spans="1:11">
      <c r="A392" s="9">
        <f>IF(tblCompanies[[#This Row],[Company Name]]&lt;&gt;0,ROW()-1,"")</f>
        <v>391</v>
      </c>
      <c r="B392" s="10" t="s">
        <v>2190</v>
      </c>
      <c r="C392" s="10" t="s">
        <v>3</v>
      </c>
      <c r="D392" s="10" t="s">
        <v>2171</v>
      </c>
      <c r="E392" s="10" t="s">
        <v>93</v>
      </c>
      <c r="F392" s="10" t="s">
        <v>2824</v>
      </c>
      <c r="G392" s="10" t="s">
        <v>2618</v>
      </c>
      <c r="H392" s="10"/>
      <c r="I392" s="10" t="s">
        <v>30</v>
      </c>
      <c r="J392" s="7" t="str">
        <f>IFERROR(LOOKUP(2,1/('Outreach Log'!$E$2:$E$9998=B392),'Outreach Log'!$B$2:$B$9998),"")</f>
        <v/>
      </c>
      <c r="K392" s="5">
        <f>COUNTIF('Outreach Log'!$E:$E,B392)</f>
        <v>0</v>
      </c>
    </row>
    <row r="393" spans="1:11">
      <c r="A393" s="9">
        <f>IF(tblCompanies[[#This Row],[Company Name]]&lt;&gt;0,ROW()-1,"")</f>
        <v>392</v>
      </c>
      <c r="B393" s="10" t="s">
        <v>2286</v>
      </c>
      <c r="C393" s="10" t="s">
        <v>1</v>
      </c>
      <c r="D393" s="10" t="s">
        <v>2171</v>
      </c>
      <c r="E393" s="10" t="s">
        <v>380</v>
      </c>
      <c r="F393" s="10" t="s">
        <v>2824</v>
      </c>
      <c r="G393" s="10" t="s">
        <v>2573</v>
      </c>
      <c r="H393" s="10"/>
      <c r="I393" s="10" t="s">
        <v>2587</v>
      </c>
      <c r="J393" s="7" t="str">
        <f>IFERROR(LOOKUP(2,1/('Outreach Log'!$E$2:$E$9998=B393),'Outreach Log'!$B$2:$B$9998),"")</f>
        <v/>
      </c>
      <c r="K393" s="5">
        <f>COUNTIF('Outreach Log'!$E:$E,B393)</f>
        <v>0</v>
      </c>
    </row>
    <row r="394" spans="1:11">
      <c r="A394" s="9">
        <f>IF(tblCompanies[[#This Row],[Company Name]]&lt;&gt;0,ROW()-1,"")</f>
        <v>393</v>
      </c>
      <c r="B394" s="10" t="s">
        <v>2184</v>
      </c>
      <c r="C394" s="10" t="s">
        <v>4</v>
      </c>
      <c r="D394" s="10" t="s">
        <v>2171</v>
      </c>
      <c r="E394" s="10" t="s">
        <v>72</v>
      </c>
      <c r="F394" s="10" t="s">
        <v>2824</v>
      </c>
      <c r="G394" s="10" t="s">
        <v>2696</v>
      </c>
      <c r="H394" s="10"/>
      <c r="I394" s="10" t="s">
        <v>2698</v>
      </c>
      <c r="J394" s="7" t="str">
        <f>IFERROR(LOOKUP(2,1/('Outreach Log'!$E$2:$E$9998=B394),'Outreach Log'!$B$2:$B$9998),"")</f>
        <v/>
      </c>
      <c r="K394" s="5">
        <f>COUNTIF('Outreach Log'!$E:$E,B394)</f>
        <v>0</v>
      </c>
    </row>
    <row r="395" spans="1:11">
      <c r="A395" s="9">
        <f>IF(tblCompanies[[#This Row],[Company Name]]&lt;&gt;0,ROW()-1,"")</f>
        <v>394</v>
      </c>
      <c r="B395" s="10" t="s">
        <v>2189</v>
      </c>
      <c r="C395" s="10" t="s">
        <v>1</v>
      </c>
      <c r="D395" s="10" t="s">
        <v>2171</v>
      </c>
      <c r="E395" s="10" t="s">
        <v>92</v>
      </c>
      <c r="F395" s="10" t="s">
        <v>2824</v>
      </c>
      <c r="G395" s="10" t="s">
        <v>2647</v>
      </c>
      <c r="H395" s="10"/>
      <c r="I395" s="10" t="s">
        <v>2648</v>
      </c>
      <c r="J395" s="7" t="str">
        <f>IFERROR(LOOKUP(2,1/('Outreach Log'!$E$2:$E$9998=B395),'Outreach Log'!$B$2:$B$9998),"")</f>
        <v/>
      </c>
      <c r="K395" s="5">
        <f>COUNTIF('Outreach Log'!$E:$E,B395)</f>
        <v>0</v>
      </c>
    </row>
    <row r="396" spans="1:11">
      <c r="A396" s="9">
        <f>IF(tblCompanies[[#This Row],[Company Name]]&lt;&gt;0,ROW()-1,"")</f>
        <v>395</v>
      </c>
      <c r="B396" s="10" t="s">
        <v>2240</v>
      </c>
      <c r="C396" s="10" t="s">
        <v>0</v>
      </c>
      <c r="D396" s="10" t="s">
        <v>2171</v>
      </c>
      <c r="E396" s="10" t="s">
        <v>216</v>
      </c>
      <c r="F396" s="10" t="s">
        <v>2824</v>
      </c>
      <c r="G396" s="10" t="s">
        <v>217</v>
      </c>
      <c r="H396" s="10"/>
      <c r="I396" s="10" t="s">
        <v>218</v>
      </c>
      <c r="J396" s="7" t="str">
        <f>IFERROR(LOOKUP(2,1/('Outreach Log'!$E$2:$E$9998=B396),'Outreach Log'!$B$2:$B$9998),"")</f>
        <v/>
      </c>
      <c r="K396" s="5">
        <f>COUNTIF('Outreach Log'!$E:$E,B396)</f>
        <v>0</v>
      </c>
    </row>
    <row r="397" spans="1:11">
      <c r="A397" s="9">
        <f>IF(tblCompanies[[#This Row],[Company Name]]&lt;&gt;0,ROW()-1,"")</f>
        <v>396</v>
      </c>
      <c r="B397" s="10" t="s">
        <v>2424</v>
      </c>
      <c r="C397" s="10" t="s">
        <v>3</v>
      </c>
      <c r="D397" s="10" t="s">
        <v>2171</v>
      </c>
      <c r="E397" s="10" t="s">
        <v>705</v>
      </c>
      <c r="F397" s="10" t="s">
        <v>2824</v>
      </c>
      <c r="G397" s="10" t="s">
        <v>184</v>
      </c>
      <c r="H397" s="10"/>
      <c r="I397" s="10" t="s">
        <v>2695</v>
      </c>
      <c r="J397" s="7">
        <f>IFERROR(LOOKUP(2,1/('Outreach Log'!$E$2:$E$9998=B397),'Outreach Log'!$B$2:$B$9998),"")</f>
        <v>46126</v>
      </c>
      <c r="K397" s="5">
        <f>COUNTIF('Outreach Log'!$E:$E,B397)</f>
        <v>1</v>
      </c>
    </row>
    <row r="398" spans="1:11">
      <c r="A398" s="9">
        <f>IF(tblCompanies[[#This Row],[Company Name]]&lt;&gt;0,ROW()-1,"")</f>
        <v>397</v>
      </c>
      <c r="B398" s="10" t="s">
        <v>2365</v>
      </c>
      <c r="C398" s="10" t="s">
        <v>5</v>
      </c>
      <c r="D398" s="10" t="s">
        <v>2171</v>
      </c>
      <c r="E398" s="10"/>
      <c r="F398" s="10" t="s">
        <v>2824</v>
      </c>
      <c r="G398" s="10" t="s">
        <v>2712</v>
      </c>
      <c r="H398" s="10"/>
      <c r="I398" s="10" t="s">
        <v>2729</v>
      </c>
      <c r="J398" s="7" t="str">
        <f>IFERROR(LOOKUP(2,1/('Outreach Log'!$E$2:$E$9998=B398),'Outreach Log'!$B$2:$B$9998),"")</f>
        <v/>
      </c>
      <c r="K398" s="5">
        <f>COUNTIF('Outreach Log'!$E:$E,B398)</f>
        <v>0</v>
      </c>
    </row>
    <row r="399" spans="1:11">
      <c r="A399" s="9">
        <f>IF(tblCompanies[[#This Row],[Company Name]]&lt;&gt;0,ROW()-1,"")</f>
        <v>398</v>
      </c>
      <c r="B399" s="10" t="s">
        <v>2406</v>
      </c>
      <c r="C399" s="10" t="s">
        <v>3</v>
      </c>
      <c r="D399" s="10" t="s">
        <v>2171</v>
      </c>
      <c r="E399" s="10" t="s">
        <v>670</v>
      </c>
      <c r="F399" s="10" t="s">
        <v>2824</v>
      </c>
      <c r="G399" s="10" t="s">
        <v>2618</v>
      </c>
      <c r="H399" s="10"/>
      <c r="I399" s="10" t="s">
        <v>2642</v>
      </c>
      <c r="J399" s="7">
        <f>IFERROR(LOOKUP(2,1/('Outreach Log'!$E$2:$E$9998=B399),'Outreach Log'!$B$2:$B$9998),"")</f>
        <v>46126</v>
      </c>
      <c r="K399" s="5">
        <f>COUNTIF('Outreach Log'!$E:$E,B399)</f>
        <v>1</v>
      </c>
    </row>
    <row r="400" spans="1:11">
      <c r="A400" s="9">
        <f>IF(tblCompanies[[#This Row],[Company Name]]&lt;&gt;0,ROW()-1,"")</f>
        <v>399</v>
      </c>
      <c r="B400" s="10" t="s">
        <v>2344</v>
      </c>
      <c r="C400" s="10" t="s">
        <v>0</v>
      </c>
      <c r="D400" s="10" t="s">
        <v>2171</v>
      </c>
      <c r="E400" s="10" t="s">
        <v>505</v>
      </c>
      <c r="F400" s="10" t="s">
        <v>2824</v>
      </c>
      <c r="G400" s="10" t="s">
        <v>46</v>
      </c>
      <c r="H400" s="10"/>
      <c r="I400" s="10" t="s">
        <v>2522</v>
      </c>
      <c r="J400" s="7" t="str">
        <f>IFERROR(LOOKUP(2,1/('Outreach Log'!$E$2:$E$9998=B400),'Outreach Log'!$B$2:$B$9998),"")</f>
        <v/>
      </c>
      <c r="K400" s="5">
        <f>COUNTIF('Outreach Log'!$E:$E,B400)</f>
        <v>0</v>
      </c>
    </row>
    <row r="401" spans="1:11">
      <c r="A401" s="9">
        <f>IF(tblCompanies[[#This Row],[Company Name]]&lt;&gt;0,ROW()-1,"")</f>
        <v>400</v>
      </c>
      <c r="B401" s="10" t="s">
        <v>2400</v>
      </c>
      <c r="C401" s="10" t="s">
        <v>3</v>
      </c>
      <c r="D401" s="10" t="s">
        <v>2171</v>
      </c>
      <c r="E401" s="10"/>
      <c r="F401" s="10" t="s">
        <v>2824</v>
      </c>
      <c r="G401" s="10" t="s">
        <v>2618</v>
      </c>
      <c r="H401" s="10"/>
      <c r="I401" s="10" t="s">
        <v>2641</v>
      </c>
      <c r="J401" s="7">
        <f>IFERROR(LOOKUP(2,1/('Outreach Log'!$E$2:$E$9998=B401),'Outreach Log'!$B$2:$B$9998),"")</f>
        <v>46126</v>
      </c>
      <c r="K401" s="5">
        <f>COUNTIF('Outreach Log'!$E:$E,B401)</f>
        <v>1</v>
      </c>
    </row>
    <row r="402" spans="1:11">
      <c r="A402" s="9">
        <f>IF(tblCompanies[[#This Row],[Company Name]]&lt;&gt;0,ROW()-1,"")</f>
        <v>401</v>
      </c>
      <c r="B402" s="10" t="s">
        <v>2387</v>
      </c>
      <c r="C402" s="10" t="s">
        <v>0</v>
      </c>
      <c r="D402" s="10" t="s">
        <v>2171</v>
      </c>
      <c r="E402" s="10" t="s">
        <v>629</v>
      </c>
      <c r="F402" s="10" t="s">
        <v>2824</v>
      </c>
      <c r="G402" s="10" t="s">
        <v>46</v>
      </c>
      <c r="H402" s="10"/>
      <c r="I402" s="10" t="s">
        <v>630</v>
      </c>
      <c r="J402" s="7" t="str">
        <f>IFERROR(LOOKUP(2,1/('Outreach Log'!$E$2:$E$9998=B402),'Outreach Log'!$B$2:$B$9998),"")</f>
        <v/>
      </c>
      <c r="K402" s="5">
        <f>COUNTIF('Outreach Log'!$E:$E,B402)</f>
        <v>0</v>
      </c>
    </row>
    <row r="403" spans="1:11">
      <c r="A403" s="9">
        <f>IF(tblCompanies[[#This Row],[Company Name]]&lt;&gt;0,ROW()-1,"")</f>
        <v>402</v>
      </c>
      <c r="B403" s="10" t="s">
        <v>2416</v>
      </c>
      <c r="C403" s="10" t="s">
        <v>4</v>
      </c>
      <c r="D403" s="10" t="s">
        <v>2171</v>
      </c>
      <c r="E403" s="10" t="s">
        <v>689</v>
      </c>
      <c r="F403" s="10" t="s">
        <v>2824</v>
      </c>
      <c r="G403" s="10" t="s">
        <v>2563</v>
      </c>
      <c r="H403" s="10"/>
      <c r="I403" s="10" t="s">
        <v>690</v>
      </c>
      <c r="J403" s="7" t="str">
        <f>IFERROR(LOOKUP(2,1/('Outreach Log'!$E$2:$E$9998=B403),'Outreach Log'!$B$2:$B$9998),"")</f>
        <v/>
      </c>
      <c r="K403" s="5">
        <f>COUNTIF('Outreach Log'!$E:$E,B403)</f>
        <v>0</v>
      </c>
    </row>
    <row r="404" spans="1:11">
      <c r="A404" s="9">
        <f>IF(tblCompanies[[#This Row],[Company Name]]&lt;&gt;0,ROW()-1,"")</f>
        <v>403</v>
      </c>
      <c r="B404" s="10" t="s">
        <v>2279</v>
      </c>
      <c r="C404" s="10" t="s">
        <v>0</v>
      </c>
      <c r="D404" s="10" t="s">
        <v>2171</v>
      </c>
      <c r="E404" s="10" t="s">
        <v>369</v>
      </c>
      <c r="F404" s="10" t="s">
        <v>2824</v>
      </c>
      <c r="G404" s="10" t="s">
        <v>334</v>
      </c>
      <c r="H404" s="10"/>
      <c r="I404" s="10" t="s">
        <v>2734</v>
      </c>
      <c r="J404" s="7" t="str">
        <f>IFERROR(LOOKUP(2,1/('Outreach Log'!$E$2:$E$9998=B404),'Outreach Log'!$B$2:$B$9998),"")</f>
        <v/>
      </c>
      <c r="K404" s="5">
        <f>COUNTIF('Outreach Log'!$E:$E,B404)</f>
        <v>0</v>
      </c>
    </row>
    <row r="405" spans="1:11">
      <c r="A405" s="9">
        <f>IF(tblCompanies[[#This Row],[Company Name]]&lt;&gt;0,ROW()-1,"")</f>
        <v>404</v>
      </c>
      <c r="B405" s="10" t="s">
        <v>2346</v>
      </c>
      <c r="C405" s="10" t="s">
        <v>3</v>
      </c>
      <c r="D405" s="10" t="s">
        <v>2171</v>
      </c>
      <c r="E405" s="10" t="s">
        <v>511</v>
      </c>
      <c r="F405" s="10" t="s">
        <v>2824</v>
      </c>
      <c r="G405" s="10" t="s">
        <v>2685</v>
      </c>
      <c r="H405" s="10"/>
      <c r="I405" s="10" t="s">
        <v>2689</v>
      </c>
      <c r="J405" s="7">
        <f>IFERROR(LOOKUP(2,1/('Outreach Log'!$E$2:$E$9998=B405),'Outreach Log'!$B$2:$B$9998),"")</f>
        <v>46126</v>
      </c>
      <c r="K405" s="5">
        <f>COUNTIF('Outreach Log'!$E:$E,B405)</f>
        <v>1</v>
      </c>
    </row>
    <row r="406" spans="1:11">
      <c r="A406" s="9">
        <f>IF(tblCompanies[[#This Row],[Company Name]]&lt;&gt;0,ROW()-1,"")</f>
        <v>405</v>
      </c>
      <c r="B406" s="10" t="s">
        <v>2404</v>
      </c>
      <c r="C406" s="10" t="s">
        <v>5</v>
      </c>
      <c r="D406" s="10" t="s">
        <v>2171</v>
      </c>
      <c r="E406" s="10" t="s">
        <v>669</v>
      </c>
      <c r="F406" s="10" t="s">
        <v>2824</v>
      </c>
      <c r="G406" s="10" t="s">
        <v>2797</v>
      </c>
      <c r="H406" s="10"/>
      <c r="I406" s="10" t="s">
        <v>2800</v>
      </c>
      <c r="J406" s="7">
        <f>IFERROR(LOOKUP(2,1/('Outreach Log'!$E$2:$E$9998=B406),'Outreach Log'!$B$2:$B$9998),"")</f>
        <v>46126</v>
      </c>
      <c r="K406" s="5">
        <f>COUNTIF('Outreach Log'!$E:$E,B406)</f>
        <v>1</v>
      </c>
    </row>
    <row r="407" spans="1:11">
      <c r="A407" s="43">
        <f>IF(tblCompanies[[#This Row],[Company Name]]&lt;&gt;0,ROW()-1,"")</f>
        <v>406</v>
      </c>
      <c r="B407" s="3" t="s">
        <v>3128</v>
      </c>
      <c r="D407" s="44" t="s">
        <v>3000</v>
      </c>
      <c r="E407" s="45" t="s">
        <v>419</v>
      </c>
      <c r="F407" s="10" t="s">
        <v>2824</v>
      </c>
      <c r="G407" s="39"/>
      <c r="H407" s="3" t="s">
        <v>88</v>
      </c>
      <c r="I407" s="42" t="s">
        <v>3129</v>
      </c>
      <c r="J407" s="7">
        <f>IFERROR(LOOKUP(2,1/('Outreach Log'!$E$2:$E$9998=B407),'Outreach Log'!$B$2:$B$9998),"")</f>
        <v>46104</v>
      </c>
      <c r="K407" s="5">
        <f>COUNTIF('Outreach Log'!$E:$E,B407)</f>
        <v>1</v>
      </c>
    </row>
    <row r="408" spans="1:11">
      <c r="A408" s="9">
        <f>IF(tblCompanies[[#This Row],[Company Name]]&lt;&gt;0,ROW()-1,"")</f>
        <v>407</v>
      </c>
      <c r="B408" s="10" t="s">
        <v>2401</v>
      </c>
      <c r="C408" s="10" t="s">
        <v>4</v>
      </c>
      <c r="D408" s="10" t="s">
        <v>2171</v>
      </c>
      <c r="E408" s="10" t="s">
        <v>660</v>
      </c>
      <c r="F408" s="10" t="s">
        <v>2824</v>
      </c>
      <c r="G408" s="10" t="s">
        <v>2563</v>
      </c>
      <c r="H408" s="10"/>
      <c r="I408" s="10" t="s">
        <v>661</v>
      </c>
      <c r="J408" s="7">
        <f>IFERROR(LOOKUP(2,1/('Outreach Log'!$E$2:$E$9998=B408),'Outreach Log'!$B$2:$B$9998),"")</f>
        <v>46126</v>
      </c>
      <c r="K408" s="5">
        <f>COUNTIF('Outreach Log'!$E:$E,B408)</f>
        <v>1</v>
      </c>
    </row>
    <row r="409" spans="1:11">
      <c r="A409" s="9">
        <f>IF(tblCompanies[[#This Row],[Company Name]]&lt;&gt;0,ROW()-1,"")</f>
        <v>408</v>
      </c>
      <c r="B409" s="10" t="s">
        <v>307</v>
      </c>
      <c r="C409" s="10" t="s">
        <v>1</v>
      </c>
      <c r="D409" s="10" t="s">
        <v>2171</v>
      </c>
      <c r="E409" s="10"/>
      <c r="F409" s="10" t="s">
        <v>2824</v>
      </c>
      <c r="G409" s="10" t="s">
        <v>184</v>
      </c>
      <c r="H409" s="10"/>
      <c r="I409" s="10" t="s">
        <v>2694</v>
      </c>
      <c r="J409" s="7">
        <f>IFERROR(LOOKUP(2,1/('Outreach Log'!$E$2:$E$9998=B409),'Outreach Log'!$B$2:$B$9998),"")</f>
        <v>46126</v>
      </c>
      <c r="K409" s="5">
        <f>COUNTIF('Outreach Log'!$E:$E,B409)</f>
        <v>1</v>
      </c>
    </row>
    <row r="410" spans="1:11">
      <c r="A410" s="9">
        <f>IF(tblCompanies[[#This Row],[Company Name]]&lt;&gt;0,ROW()-1,"")</f>
        <v>409</v>
      </c>
      <c r="B410" s="10" t="s">
        <v>2309</v>
      </c>
      <c r="C410" s="10" t="s">
        <v>3</v>
      </c>
      <c r="D410" s="10" t="s">
        <v>2171</v>
      </c>
      <c r="E410" s="10"/>
      <c r="F410" s="10" t="s">
        <v>2824</v>
      </c>
      <c r="G410" s="10" t="s">
        <v>2650</v>
      </c>
      <c r="H410" s="10"/>
      <c r="I410" s="10" t="s">
        <v>2654</v>
      </c>
      <c r="J410" s="7">
        <f>IFERROR(LOOKUP(2,1/('Outreach Log'!$E$2:$E$9998=B410),'Outreach Log'!$B$2:$B$9998),"")</f>
        <v>46126</v>
      </c>
      <c r="K410" s="5">
        <f>COUNTIF('Outreach Log'!$E:$E,B410)</f>
        <v>1</v>
      </c>
    </row>
    <row r="411" spans="1:11">
      <c r="A411" s="9">
        <f>IF(tblCompanies[[#This Row],[Company Name]]&lt;&gt;0,ROW()-1,"")</f>
        <v>410</v>
      </c>
      <c r="B411" s="10" t="s">
        <v>2360</v>
      </c>
      <c r="C411" s="10" t="s">
        <v>0</v>
      </c>
      <c r="D411" s="10" t="s">
        <v>2171</v>
      </c>
      <c r="E411" s="10" t="s">
        <v>557</v>
      </c>
      <c r="F411" s="10" t="s">
        <v>2824</v>
      </c>
      <c r="G411" s="10" t="s">
        <v>217</v>
      </c>
      <c r="H411" s="10"/>
      <c r="I411" s="10" t="s">
        <v>2569</v>
      </c>
      <c r="J411" s="7" t="str">
        <f>IFERROR(LOOKUP(2,1/('Outreach Log'!$E$2:$E$9998=B411),'Outreach Log'!$B$2:$B$9998),"")</f>
        <v/>
      </c>
      <c r="K411" s="5">
        <f>COUNTIF('Outreach Log'!$E:$E,B411)</f>
        <v>0</v>
      </c>
    </row>
    <row r="412" spans="1:11">
      <c r="A412" s="9">
        <f>IF(tblCompanies[[#This Row],[Company Name]]&lt;&gt;0,ROW()-1,"")</f>
        <v>411</v>
      </c>
      <c r="B412" s="10" t="s">
        <v>2314</v>
      </c>
      <c r="C412" s="10" t="s">
        <v>3</v>
      </c>
      <c r="D412" s="10" t="s">
        <v>2171</v>
      </c>
      <c r="E412" s="10" t="s">
        <v>437</v>
      </c>
      <c r="F412" s="10" t="s">
        <v>2824</v>
      </c>
      <c r="G412" s="10" t="s">
        <v>2702</v>
      </c>
      <c r="H412" s="10"/>
      <c r="I412" s="10" t="s">
        <v>438</v>
      </c>
      <c r="J412" s="7" t="str">
        <f>IFERROR(LOOKUP(2,1/('Outreach Log'!$E$2:$E$9998=B412),'Outreach Log'!$B$2:$B$9998),"")</f>
        <v/>
      </c>
      <c r="K412" s="5">
        <f>COUNTIF('Outreach Log'!$E:$E,B412)</f>
        <v>0</v>
      </c>
    </row>
    <row r="413" spans="1:11">
      <c r="A413" s="9">
        <f>IF(tblCompanies[[#This Row],[Company Name]]&lt;&gt;0,ROW()-1,"")</f>
        <v>412</v>
      </c>
      <c r="B413" s="10" t="s">
        <v>416</v>
      </c>
      <c r="C413" s="10" t="s">
        <v>3</v>
      </c>
      <c r="D413" s="10" t="s">
        <v>2171</v>
      </c>
      <c r="E413" s="10" t="s">
        <v>417</v>
      </c>
      <c r="F413" s="10" t="s">
        <v>2824</v>
      </c>
      <c r="G413" s="10" t="s">
        <v>2618</v>
      </c>
      <c r="H413" s="10"/>
      <c r="I413" s="10" t="s">
        <v>2628</v>
      </c>
      <c r="J413" s="7" t="str">
        <f>IFERROR(LOOKUP(2,1/('Outreach Log'!$E$2:$E$9998=B413),'Outreach Log'!$B$2:$B$9998),"")</f>
        <v/>
      </c>
      <c r="K413" s="5">
        <f>COUNTIF('Outreach Log'!$E:$E,B413)</f>
        <v>0</v>
      </c>
    </row>
    <row r="414" spans="1:11">
      <c r="A414" s="9">
        <f>IF(tblCompanies[[#This Row],[Company Name]]&lt;&gt;0,ROW()-1,"")</f>
        <v>413</v>
      </c>
      <c r="B414" s="10" t="s">
        <v>136</v>
      </c>
      <c r="C414" s="10" t="s">
        <v>6</v>
      </c>
      <c r="D414" s="10" t="s">
        <v>2171</v>
      </c>
      <c r="E414" s="10" t="s">
        <v>137</v>
      </c>
      <c r="F414" s="10" t="s">
        <v>2824</v>
      </c>
      <c r="G414" s="10" t="s">
        <v>138</v>
      </c>
      <c r="H414" s="10"/>
      <c r="I414" s="10" t="s">
        <v>30</v>
      </c>
      <c r="J414" s="7" t="str">
        <f>IFERROR(LOOKUP(2,1/('Outreach Log'!$E$2:$E$9998=B414),'Outreach Log'!$B$2:$B$9998),"")</f>
        <v/>
      </c>
      <c r="K414" s="5">
        <f>COUNTIF('Outreach Log'!$E:$E,B414)</f>
        <v>0</v>
      </c>
    </row>
    <row r="415" spans="1:11">
      <c r="A415" s="43">
        <f>IF(tblCompanies[[#This Row],[Company Name]]&lt;&gt;0,ROW()-1,"")</f>
        <v>414</v>
      </c>
      <c r="B415" s="15" t="s">
        <v>3130</v>
      </c>
      <c r="C415" s="15"/>
      <c r="D415" s="44" t="s">
        <v>3000</v>
      </c>
      <c r="E415" s="45" t="s">
        <v>3131</v>
      </c>
      <c r="F415" s="10" t="s">
        <v>2824</v>
      </c>
      <c r="G415" s="39"/>
      <c r="H415" s="3" t="s">
        <v>176</v>
      </c>
      <c r="I415" s="42" t="s">
        <v>3132</v>
      </c>
      <c r="J415" s="7">
        <f>IFERROR(LOOKUP(2,1/('Outreach Log'!$E$2:$E$9998=B415),'Outreach Log'!$B$2:$B$9998),"")</f>
        <v>46104</v>
      </c>
      <c r="K415" s="5">
        <f>COUNTIF('Outreach Log'!$E:$E,B415)</f>
        <v>1</v>
      </c>
    </row>
    <row r="416" spans="1:11">
      <c r="A416" s="9">
        <f>IF(tblCompanies[[#This Row],[Company Name]]&lt;&gt;0,ROW()-1,"")</f>
        <v>415</v>
      </c>
      <c r="B416" s="10" t="s">
        <v>2307</v>
      </c>
      <c r="C416" s="10" t="s">
        <v>0</v>
      </c>
      <c r="D416" s="10" t="s">
        <v>2171</v>
      </c>
      <c r="E416" s="10" t="s">
        <v>426</v>
      </c>
      <c r="F416" s="10" t="s">
        <v>2824</v>
      </c>
      <c r="G416" s="10" t="s">
        <v>2756</v>
      </c>
      <c r="H416" s="10"/>
      <c r="I416" s="10" t="s">
        <v>2763</v>
      </c>
      <c r="J416" s="7" t="str">
        <f>IFERROR(LOOKUP(2,1/('Outreach Log'!$E$2:$E$9998=B416),'Outreach Log'!$B$2:$B$9998),"")</f>
        <v/>
      </c>
      <c r="K416" s="5">
        <f>COUNTIF('Outreach Log'!$E:$E,B416)</f>
        <v>0</v>
      </c>
    </row>
    <row r="417" spans="1:11">
      <c r="A417" s="9">
        <f>IF(tblCompanies[[#This Row],[Company Name]]&lt;&gt;0,ROW()-1,"")</f>
        <v>416</v>
      </c>
      <c r="B417" s="10" t="s">
        <v>2277</v>
      </c>
      <c r="C417" s="10" t="s">
        <v>3</v>
      </c>
      <c r="D417" s="10" t="s">
        <v>2171</v>
      </c>
      <c r="E417" s="10" t="s">
        <v>362</v>
      </c>
      <c r="F417" s="10" t="s">
        <v>2824</v>
      </c>
      <c r="G417" s="10" t="s">
        <v>2664</v>
      </c>
      <c r="H417" s="10"/>
      <c r="I417" s="10" t="s">
        <v>2677</v>
      </c>
      <c r="J417" s="7">
        <f>IFERROR(LOOKUP(2,1/('Outreach Log'!$E$2:$E$9998=B417),'Outreach Log'!$B$2:$B$9998),"")</f>
        <v>46126</v>
      </c>
      <c r="K417" s="5">
        <f>COUNTIF('Outreach Log'!$E:$E,B417)</f>
        <v>1</v>
      </c>
    </row>
    <row r="418" spans="1:11">
      <c r="A418" s="43">
        <f>IF(tblCompanies[[#This Row],[Company Name]]&lt;&gt;0,ROW()-1,"")</f>
        <v>417</v>
      </c>
      <c r="B418" s="3" t="s">
        <v>3133</v>
      </c>
      <c r="D418" s="44" t="s">
        <v>3000</v>
      </c>
      <c r="E418" s="45" t="s">
        <v>3134</v>
      </c>
      <c r="F418" s="10" t="s">
        <v>2824</v>
      </c>
      <c r="G418" s="39"/>
      <c r="H418" s="3" t="s">
        <v>100</v>
      </c>
      <c r="I418" s="42" t="s">
        <v>3135</v>
      </c>
      <c r="J418" s="7">
        <f>IFERROR(LOOKUP(2,1/('Outreach Log'!$E$2:$E$9998=B418),'Outreach Log'!$B$2:$B$9998),"")</f>
        <v>46104</v>
      </c>
      <c r="K418" s="5">
        <f>COUNTIF('Outreach Log'!$E:$E,B418)</f>
        <v>1</v>
      </c>
    </row>
    <row r="419" spans="1:11">
      <c r="A419" s="9">
        <f>IF(tblCompanies[[#This Row],[Company Name]]&lt;&gt;0,ROW()-1,"")</f>
        <v>418</v>
      </c>
      <c r="B419" s="10" t="s">
        <v>2239</v>
      </c>
      <c r="C419" s="10" t="s">
        <v>4</v>
      </c>
      <c r="D419" s="10" t="s">
        <v>2171</v>
      </c>
      <c r="E419" s="10"/>
      <c r="F419" s="10" t="s">
        <v>2824</v>
      </c>
      <c r="G419" s="10" t="s">
        <v>2660</v>
      </c>
      <c r="H419" s="10"/>
      <c r="I419" s="10" t="s">
        <v>2661</v>
      </c>
      <c r="J419" s="7">
        <f>IFERROR(LOOKUP(2,1/('Outreach Log'!$E$2:$E$9998=B419),'Outreach Log'!$B$2:$B$9998),"")</f>
        <v>46126</v>
      </c>
      <c r="K419" s="5">
        <f>COUNTIF('Outreach Log'!$E:$E,B419)</f>
        <v>1</v>
      </c>
    </row>
    <row r="420" spans="1:11">
      <c r="A420" s="9">
        <f>IF(tblCompanies[[#This Row],[Company Name]]&lt;&gt;0,ROW()-1,"")</f>
        <v>419</v>
      </c>
      <c r="B420" s="10" t="s">
        <v>2322</v>
      </c>
      <c r="C420" s="10" t="s">
        <v>3</v>
      </c>
      <c r="D420" s="10" t="s">
        <v>2171</v>
      </c>
      <c r="E420" s="10" t="s">
        <v>448</v>
      </c>
      <c r="F420" s="10" t="s">
        <v>2824</v>
      </c>
      <c r="G420" s="10" t="s">
        <v>50</v>
      </c>
      <c r="H420" s="10"/>
      <c r="I420" s="10" t="s">
        <v>2551</v>
      </c>
      <c r="J420" s="7" t="str">
        <f>IFERROR(LOOKUP(2,1/('Outreach Log'!$E$2:$E$9998=B420),'Outreach Log'!$B$2:$B$9998),"")</f>
        <v/>
      </c>
      <c r="K420" s="5">
        <f>COUNTIF('Outreach Log'!$E:$E,B420)</f>
        <v>0</v>
      </c>
    </row>
    <row r="421" spans="1:11">
      <c r="A421" s="9">
        <f>IF(tblCompanies[[#This Row],[Company Name]]&lt;&gt;0,ROW()-1,"")</f>
        <v>420</v>
      </c>
      <c r="B421" s="10" t="s">
        <v>2336</v>
      </c>
      <c r="C421" s="10" t="s">
        <v>1</v>
      </c>
      <c r="D421" s="10" t="s">
        <v>2171</v>
      </c>
      <c r="E421" s="10" t="s">
        <v>491</v>
      </c>
      <c r="F421" s="10" t="s">
        <v>2824</v>
      </c>
      <c r="G421" s="10" t="s">
        <v>2573</v>
      </c>
      <c r="H421" s="10"/>
      <c r="I421" s="10" t="s">
        <v>2593</v>
      </c>
      <c r="J421" s="7" t="str">
        <f>IFERROR(LOOKUP(2,1/('Outreach Log'!$E$2:$E$9998=B421),'Outreach Log'!$B$2:$B$9998),"")</f>
        <v/>
      </c>
      <c r="K421" s="5">
        <f>COUNTIF('Outreach Log'!$E:$E,B421)</f>
        <v>0</v>
      </c>
    </row>
    <row r="422" spans="1:11">
      <c r="A422" s="9">
        <f>IF(tblCompanies[[#This Row],[Company Name]]&lt;&gt;0,ROW()-1,"")</f>
        <v>421</v>
      </c>
      <c r="B422" s="10" t="s">
        <v>2326</v>
      </c>
      <c r="C422" s="10" t="s">
        <v>3</v>
      </c>
      <c r="D422" s="10" t="s">
        <v>2171</v>
      </c>
      <c r="E422" s="10" t="s">
        <v>467</v>
      </c>
      <c r="F422" s="10" t="s">
        <v>2824</v>
      </c>
      <c r="G422" s="10" t="s">
        <v>2756</v>
      </c>
      <c r="H422" s="10"/>
      <c r="I422" s="10" t="s">
        <v>2765</v>
      </c>
      <c r="J422" s="7" t="str">
        <f>IFERROR(LOOKUP(2,1/('Outreach Log'!$E$2:$E$9998=B422),'Outreach Log'!$B$2:$B$9998),"")</f>
        <v/>
      </c>
      <c r="K422" s="5">
        <f>COUNTIF('Outreach Log'!$E:$E,B422)</f>
        <v>0</v>
      </c>
    </row>
    <row r="423" spans="1:11">
      <c r="A423" s="9">
        <f>IF(tblCompanies[[#This Row],[Company Name]]&lt;&gt;0,ROW()-1,"")</f>
        <v>422</v>
      </c>
      <c r="B423" s="10" t="s">
        <v>62</v>
      </c>
      <c r="C423" s="10" t="s">
        <v>3</v>
      </c>
      <c r="D423" s="10" t="s">
        <v>2171</v>
      </c>
      <c r="E423" s="10" t="s">
        <v>63</v>
      </c>
      <c r="F423" s="10" t="s">
        <v>2824</v>
      </c>
      <c r="G423" s="10" t="s">
        <v>46</v>
      </c>
      <c r="H423" s="10"/>
      <c r="I423" s="10" t="s">
        <v>64</v>
      </c>
      <c r="J423" s="7" t="str">
        <f>IFERROR(LOOKUP(2,1/('Outreach Log'!$E$2:$E$9998=B423),'Outreach Log'!$B$2:$B$9998),"")</f>
        <v/>
      </c>
      <c r="K423" s="5">
        <f>COUNTIF('Outreach Log'!$E:$E,B423)</f>
        <v>0</v>
      </c>
    </row>
    <row r="424" spans="1:11">
      <c r="A424" s="43">
        <f>IF(tblCompanies[[#This Row],[Company Name]]&lt;&gt;0,ROW()-1,"")</f>
        <v>423</v>
      </c>
      <c r="B424" s="3" t="s">
        <v>3138</v>
      </c>
      <c r="D424" s="44" t="s">
        <v>3000</v>
      </c>
      <c r="E424" s="45" t="s">
        <v>185</v>
      </c>
      <c r="F424" s="10" t="s">
        <v>2824</v>
      </c>
      <c r="G424" s="39"/>
      <c r="H424" s="3" t="s">
        <v>186</v>
      </c>
      <c r="I424" s="42" t="s">
        <v>3139</v>
      </c>
      <c r="J424" s="7" t="str">
        <f>IFERROR(LOOKUP(2,1/('Outreach Log'!$E$2:$E$9998=B424),'Outreach Log'!$B$2:$B$9998),"")</f>
        <v/>
      </c>
      <c r="K424" s="5">
        <f>COUNTIF('Outreach Log'!$E:$E,B424)</f>
        <v>0</v>
      </c>
    </row>
    <row r="425" spans="1:11">
      <c r="A425" s="9">
        <f>IF(tblCompanies[[#This Row],[Company Name]]&lt;&gt;0,ROW()-1,"")</f>
        <v>424</v>
      </c>
      <c r="B425" s="10" t="s">
        <v>2284</v>
      </c>
      <c r="C425" s="10" t="s">
        <v>5</v>
      </c>
      <c r="D425" s="10" t="s">
        <v>2171</v>
      </c>
      <c r="E425" s="10" t="s">
        <v>379</v>
      </c>
      <c r="F425" s="10" t="s">
        <v>2824</v>
      </c>
      <c r="G425" s="10" t="s">
        <v>2712</v>
      </c>
      <c r="H425" s="10"/>
      <c r="I425" s="10" t="s">
        <v>2724</v>
      </c>
      <c r="J425" s="7" t="str">
        <f>IFERROR(LOOKUP(2,1/('Outreach Log'!$E$2:$E$9998=B425),'Outreach Log'!$B$2:$B$9998),"")</f>
        <v/>
      </c>
      <c r="K425" s="5">
        <f>COUNTIF('Outreach Log'!$E:$E,B425)</f>
        <v>0</v>
      </c>
    </row>
    <row r="426" spans="1:11">
      <c r="A426" s="9">
        <f>IF(tblCompanies[[#This Row],[Company Name]]&lt;&gt;0,ROW()-1,"")</f>
        <v>425</v>
      </c>
      <c r="B426" s="10" t="s">
        <v>2311</v>
      </c>
      <c r="C426" s="10" t="s">
        <v>2</v>
      </c>
      <c r="D426" s="10" t="s">
        <v>2171</v>
      </c>
      <c r="E426" s="10" t="s">
        <v>432</v>
      </c>
      <c r="F426" s="10" t="s">
        <v>2824</v>
      </c>
      <c r="G426" s="10" t="s">
        <v>433</v>
      </c>
      <c r="H426" s="10"/>
      <c r="I426" s="10" t="s">
        <v>2544</v>
      </c>
      <c r="J426" s="7" t="str">
        <f>IFERROR(LOOKUP(2,1/('Outreach Log'!$E$2:$E$9998=B426),'Outreach Log'!$B$2:$B$9998),"")</f>
        <v/>
      </c>
      <c r="K426" s="5">
        <f>COUNTIF('Outreach Log'!$E:$E,B426)</f>
        <v>0</v>
      </c>
    </row>
    <row r="427" spans="1:11">
      <c r="A427" s="9">
        <f>IF(tblCompanies[[#This Row],[Company Name]]&lt;&gt;0,ROW()-1,"")</f>
        <v>426</v>
      </c>
      <c r="B427" s="10" t="s">
        <v>284</v>
      </c>
      <c r="C427" s="10" t="s">
        <v>1</v>
      </c>
      <c r="D427" s="10" t="s">
        <v>2171</v>
      </c>
      <c r="E427" s="10" t="s">
        <v>285</v>
      </c>
      <c r="F427" s="10" t="s">
        <v>2824</v>
      </c>
      <c r="G427" s="10" t="s">
        <v>2690</v>
      </c>
      <c r="H427" s="10"/>
      <c r="I427" s="10" t="s">
        <v>286</v>
      </c>
      <c r="J427" s="7">
        <f>IFERROR(LOOKUP(2,1/('Outreach Log'!$E$2:$E$9998=B427),'Outreach Log'!$B$2:$B$9998),"")</f>
        <v>46126</v>
      </c>
      <c r="K427" s="5">
        <f>COUNTIF('Outreach Log'!$E:$E,B427)</f>
        <v>1</v>
      </c>
    </row>
    <row r="428" spans="1:11">
      <c r="A428" s="9">
        <f>IF(tblCompanies[[#This Row],[Company Name]]&lt;&gt;0,ROW()-1,"")</f>
        <v>427</v>
      </c>
      <c r="B428" s="10" t="s">
        <v>170</v>
      </c>
      <c r="C428" s="10"/>
      <c r="D428" s="10" t="s">
        <v>13</v>
      </c>
      <c r="E428" s="10"/>
      <c r="F428" s="10" t="s">
        <v>2824</v>
      </c>
      <c r="G428" s="10"/>
      <c r="H428" s="10"/>
      <c r="I428" s="10"/>
      <c r="J428" s="7" t="str">
        <f>IFERROR(LOOKUP(2,1/('Outreach Log'!$E$2:$E$9998=B428),'Outreach Log'!$B$2:$B$9998),"")</f>
        <v/>
      </c>
      <c r="K428" s="5">
        <f>COUNTIF('Outreach Log'!$E:$E,B428)</f>
        <v>0</v>
      </c>
    </row>
    <row r="429" spans="1:11">
      <c r="A429" s="9">
        <f>IF(tblCompanies[[#This Row],[Company Name]]&lt;&gt;0,ROW()-1,"")</f>
        <v>428</v>
      </c>
      <c r="B429" s="10" t="s">
        <v>2318</v>
      </c>
      <c r="C429" s="10" t="s">
        <v>3</v>
      </c>
      <c r="D429" s="10" t="s">
        <v>2171</v>
      </c>
      <c r="E429" s="10"/>
      <c r="F429" s="10" t="s">
        <v>2824</v>
      </c>
      <c r="G429" s="10" t="s">
        <v>2618</v>
      </c>
      <c r="H429" s="10"/>
      <c r="I429" s="10" t="s">
        <v>2631</v>
      </c>
      <c r="J429" s="7" t="str">
        <f>IFERROR(LOOKUP(2,1/('Outreach Log'!$E$2:$E$9998=B429),'Outreach Log'!$B$2:$B$9998),"")</f>
        <v/>
      </c>
      <c r="K429" s="5">
        <f>COUNTIF('Outreach Log'!$E:$E,B429)</f>
        <v>0</v>
      </c>
    </row>
    <row r="430" spans="1:11">
      <c r="A430" s="9">
        <f>IF(tblCompanies[[#This Row],[Company Name]]&lt;&gt;0,ROW()-1,"")</f>
        <v>429</v>
      </c>
      <c r="B430" s="10" t="s">
        <v>2352</v>
      </c>
      <c r="C430" s="10" t="s">
        <v>5</v>
      </c>
      <c r="D430" s="10" t="s">
        <v>2171</v>
      </c>
      <c r="E430" s="10" t="s">
        <v>523</v>
      </c>
      <c r="F430" s="10" t="s">
        <v>2824</v>
      </c>
      <c r="G430" s="10" t="s">
        <v>2650</v>
      </c>
      <c r="H430" s="10"/>
      <c r="I430" s="10" t="s">
        <v>2656</v>
      </c>
      <c r="J430" s="7" t="str">
        <f>IFERROR(LOOKUP(2,1/('Outreach Log'!$E$2:$E$9998=B430),'Outreach Log'!$B$2:$B$9998),"")</f>
        <v/>
      </c>
      <c r="K430" s="5">
        <f>COUNTIF('Outreach Log'!$E:$E,B430)</f>
        <v>0</v>
      </c>
    </row>
    <row r="431" spans="1:11">
      <c r="A431" s="9">
        <f>IF(tblCompanies[[#This Row],[Company Name]]&lt;&gt;0,ROW()-1,"")</f>
        <v>430</v>
      </c>
      <c r="B431" s="10" t="s">
        <v>2418</v>
      </c>
      <c r="C431" s="10" t="s">
        <v>1</v>
      </c>
      <c r="D431" s="10" t="s">
        <v>2171</v>
      </c>
      <c r="E431" s="10" t="s">
        <v>698</v>
      </c>
      <c r="F431" s="10" t="s">
        <v>2824</v>
      </c>
      <c r="G431" s="10" t="s">
        <v>2647</v>
      </c>
      <c r="H431" s="10"/>
      <c r="I431" s="10" t="s">
        <v>699</v>
      </c>
      <c r="J431" s="7" t="str">
        <f>IFERROR(LOOKUP(2,1/('Outreach Log'!$E$2:$E$9998=B431),'Outreach Log'!$B$2:$B$9998),"")</f>
        <v/>
      </c>
      <c r="K431" s="5">
        <f>COUNTIF('Outreach Log'!$E:$E,B431)</f>
        <v>0</v>
      </c>
    </row>
    <row r="432" spans="1:11">
      <c r="A432" s="9">
        <f>IF(tblCompanies[[#This Row],[Company Name]]&lt;&gt;0,ROW()-1,"")</f>
        <v>431</v>
      </c>
      <c r="B432" s="10" t="s">
        <v>295</v>
      </c>
      <c r="C432" s="10" t="s">
        <v>1</v>
      </c>
      <c r="D432" s="10" t="s">
        <v>2171</v>
      </c>
      <c r="E432" s="10" t="s">
        <v>296</v>
      </c>
      <c r="F432" s="10" t="s">
        <v>2824</v>
      </c>
      <c r="G432" s="10" t="s">
        <v>2573</v>
      </c>
      <c r="H432" s="10"/>
      <c r="I432" s="10" t="s">
        <v>297</v>
      </c>
      <c r="J432" s="7">
        <f>IFERROR(LOOKUP(2,1/('Outreach Log'!$E$2:$E$9998=B432),'Outreach Log'!$B$2:$B$9998),"")</f>
        <v>46126</v>
      </c>
      <c r="K432" s="5">
        <f>COUNTIF('Outreach Log'!$E:$E,B432)</f>
        <v>1</v>
      </c>
    </row>
    <row r="433" spans="1:11">
      <c r="A433" s="9">
        <f>IF(tblCompanies[[#This Row],[Company Name]]&lt;&gt;0,ROW()-1,"")</f>
        <v>432</v>
      </c>
      <c r="B433" s="10" t="s">
        <v>2221</v>
      </c>
      <c r="C433" s="10" t="s">
        <v>5</v>
      </c>
      <c r="D433" s="10" t="s">
        <v>2171</v>
      </c>
      <c r="E433" s="10"/>
      <c r="F433" s="10" t="s">
        <v>2824</v>
      </c>
      <c r="G433" s="10" t="s">
        <v>2712</v>
      </c>
      <c r="H433" s="10"/>
      <c r="I433" s="10" t="s">
        <v>181</v>
      </c>
      <c r="J433" s="7" t="str">
        <f>IFERROR(LOOKUP(2,1/('Outreach Log'!$E$2:$E$9998=B433),'Outreach Log'!$B$2:$B$9998),"")</f>
        <v/>
      </c>
      <c r="K433" s="5">
        <f>COUNTIF('Outreach Log'!$E:$E,B433)</f>
        <v>0</v>
      </c>
    </row>
    <row r="434" spans="1:11">
      <c r="A434" s="9">
        <f>IF(tblCompanies[[#This Row],[Company Name]]&lt;&gt;0,ROW()-1,"")</f>
        <v>433</v>
      </c>
      <c r="B434" s="10" t="s">
        <v>2364</v>
      </c>
      <c r="C434" s="10" t="s">
        <v>0</v>
      </c>
      <c r="D434" s="10" t="s">
        <v>2171</v>
      </c>
      <c r="E434" s="10" t="s">
        <v>561</v>
      </c>
      <c r="F434" s="10" t="s">
        <v>2824</v>
      </c>
      <c r="G434" s="10" t="s">
        <v>2756</v>
      </c>
      <c r="H434" s="10"/>
      <c r="I434" s="10" t="s">
        <v>2769</v>
      </c>
      <c r="J434" s="7" t="str">
        <f>IFERROR(LOOKUP(2,1/('Outreach Log'!$E$2:$E$9998=B434),'Outreach Log'!$B$2:$B$9998),"")</f>
        <v/>
      </c>
      <c r="K434" s="5">
        <f>COUNTIF('Outreach Log'!$E:$E,B434)</f>
        <v>0</v>
      </c>
    </row>
    <row r="435" spans="1:11">
      <c r="A435" s="9">
        <f>IF(tblCompanies[[#This Row],[Company Name]]&lt;&gt;0,ROW()-1,"")</f>
        <v>434</v>
      </c>
      <c r="B435" s="10" t="s">
        <v>2229</v>
      </c>
      <c r="C435" s="10" t="s">
        <v>1</v>
      </c>
      <c r="D435" s="10" t="s">
        <v>2171</v>
      </c>
      <c r="E435" s="10"/>
      <c r="F435" s="10" t="s">
        <v>2824</v>
      </c>
      <c r="G435" s="10" t="s">
        <v>2573</v>
      </c>
      <c r="H435" s="10"/>
      <c r="I435" s="10" t="s">
        <v>2579</v>
      </c>
      <c r="J435" s="7">
        <f>IFERROR(LOOKUP(2,1/('Outreach Log'!$E$2:$E$9998=B435),'Outreach Log'!$B$2:$B$9998),"")</f>
        <v>46126</v>
      </c>
      <c r="K435" s="5">
        <f>COUNTIF('Outreach Log'!$E:$E,B435)</f>
        <v>1</v>
      </c>
    </row>
    <row r="436" spans="1:11">
      <c r="A436" s="9">
        <f>IF(tblCompanies[[#This Row],[Company Name]]&lt;&gt;0,ROW()-1,"")</f>
        <v>435</v>
      </c>
      <c r="B436" s="10" t="s">
        <v>234</v>
      </c>
      <c r="C436" s="10"/>
      <c r="D436" s="10" t="s">
        <v>13</v>
      </c>
      <c r="E436" s="10"/>
      <c r="F436" s="10" t="s">
        <v>2824</v>
      </c>
      <c r="G436" s="10"/>
      <c r="H436" s="10"/>
      <c r="I436" s="10" t="s">
        <v>30</v>
      </c>
      <c r="J436" s="7" t="str">
        <f>IFERROR(LOOKUP(2,1/('Outreach Log'!$E$2:$E$9998=B436),'Outreach Log'!$B$2:$B$9998),"")</f>
        <v/>
      </c>
      <c r="K436" s="5">
        <f>COUNTIF('Outreach Log'!$E:$E,B436)</f>
        <v>0</v>
      </c>
    </row>
    <row r="437" spans="1:11">
      <c r="A437" s="9">
        <f>IF(tblCompanies[[#This Row],[Company Name]]&lt;&gt;0,ROW()-1,"")</f>
        <v>436</v>
      </c>
      <c r="B437" s="10" t="s">
        <v>2230</v>
      </c>
      <c r="C437" s="10" t="s">
        <v>5</v>
      </c>
      <c r="D437" s="10" t="s">
        <v>2171</v>
      </c>
      <c r="E437" s="10"/>
      <c r="F437" s="10" t="s">
        <v>2824</v>
      </c>
      <c r="G437" s="10" t="s">
        <v>2712</v>
      </c>
      <c r="H437" s="10"/>
      <c r="I437" s="10" t="s">
        <v>2719</v>
      </c>
      <c r="J437" s="7" t="str">
        <f>IFERROR(LOOKUP(2,1/('Outreach Log'!$E$2:$E$9998=B437),'Outreach Log'!$B$2:$B$9998),"")</f>
        <v/>
      </c>
      <c r="K437" s="5">
        <f>COUNTIF('Outreach Log'!$E:$E,B437)</f>
        <v>0</v>
      </c>
    </row>
    <row r="438" spans="1:11">
      <c r="A438" s="43">
        <f>IF(tblCompanies[[#This Row],[Company Name]]&lt;&gt;0,ROW()-1,"")</f>
        <v>437</v>
      </c>
      <c r="B438" s="3" t="s">
        <v>3140</v>
      </c>
      <c r="D438" s="44" t="s">
        <v>3000</v>
      </c>
      <c r="E438" s="45" t="s">
        <v>3141</v>
      </c>
      <c r="F438" s="10" t="s">
        <v>2824</v>
      </c>
      <c r="G438" s="39"/>
      <c r="H438" s="3" t="s">
        <v>3003</v>
      </c>
      <c r="I438" s="42" t="s">
        <v>3142</v>
      </c>
      <c r="J438" s="7" t="str">
        <f>IFERROR(LOOKUP(2,1/('Outreach Log'!$E$2:$E$9998=B438),'Outreach Log'!$B$2:$B$9998),"")</f>
        <v/>
      </c>
      <c r="K438" s="5">
        <f>COUNTIF('Outreach Log'!$E:$E,B438)</f>
        <v>0</v>
      </c>
    </row>
    <row r="439" spans="1:11">
      <c r="A439" s="9">
        <f>IF(tblCompanies[[#This Row],[Company Name]]&lt;&gt;0,ROW()-1,"")</f>
        <v>438</v>
      </c>
      <c r="B439" s="10" t="s">
        <v>2261</v>
      </c>
      <c r="C439" s="10" t="s">
        <v>1</v>
      </c>
      <c r="D439" s="10" t="s">
        <v>2171</v>
      </c>
      <c r="E439" s="10"/>
      <c r="F439" s="10" t="s">
        <v>2824</v>
      </c>
      <c r="G439" s="10" t="s">
        <v>2573</v>
      </c>
      <c r="H439" s="10"/>
      <c r="I439" s="10" t="s">
        <v>2583</v>
      </c>
      <c r="J439" s="7">
        <f>IFERROR(LOOKUP(2,1/('Outreach Log'!$E$2:$E$9998=B439),'Outreach Log'!$B$2:$B$9998),"")</f>
        <v>46126</v>
      </c>
      <c r="K439" s="5">
        <f>COUNTIF('Outreach Log'!$E:$E,B439)</f>
        <v>1</v>
      </c>
    </row>
    <row r="440" spans="1:11">
      <c r="A440" s="9">
        <f>IF(tblCompanies[[#This Row],[Company Name]]&lt;&gt;0,ROW()-1,"")</f>
        <v>439</v>
      </c>
      <c r="B440" s="10" t="s">
        <v>2379</v>
      </c>
      <c r="C440" s="10" t="s">
        <v>0</v>
      </c>
      <c r="D440" s="10" t="s">
        <v>2171</v>
      </c>
      <c r="E440" s="10" t="s">
        <v>599</v>
      </c>
      <c r="F440" s="10" t="s">
        <v>2824</v>
      </c>
      <c r="G440" s="10" t="s">
        <v>2664</v>
      </c>
      <c r="H440" s="10"/>
      <c r="I440" s="10" t="s">
        <v>2683</v>
      </c>
      <c r="J440" s="7">
        <f>IFERROR(LOOKUP(2,1/('Outreach Log'!$E$2:$E$9998=B440),'Outreach Log'!$B$2:$B$9998),"")</f>
        <v>46126</v>
      </c>
      <c r="K440" s="5">
        <f>COUNTIF('Outreach Log'!$E:$E,B440)</f>
        <v>1</v>
      </c>
    </row>
    <row r="441" spans="1:11">
      <c r="A441" s="9">
        <f>IF(tblCompanies[[#This Row],[Company Name]]&lt;&gt;0,ROW()-1,"")</f>
        <v>440</v>
      </c>
      <c r="B441" s="10" t="s">
        <v>2265</v>
      </c>
      <c r="C441" s="10" t="s">
        <v>0</v>
      </c>
      <c r="D441" s="10" t="s">
        <v>2171</v>
      </c>
      <c r="E441" s="10" t="s">
        <v>276</v>
      </c>
      <c r="F441" s="10" t="s">
        <v>2824</v>
      </c>
      <c r="G441" s="10" t="s">
        <v>2664</v>
      </c>
      <c r="H441" s="10"/>
      <c r="I441" s="10" t="s">
        <v>2672</v>
      </c>
      <c r="J441" s="7" t="str">
        <f>IFERROR(LOOKUP(2,1/('Outreach Log'!$E$2:$E$9998=B441),'Outreach Log'!$B$2:$B$9998),"")</f>
        <v/>
      </c>
      <c r="K441" s="5">
        <f>COUNTIF('Outreach Log'!$E:$E,B441)</f>
        <v>0</v>
      </c>
    </row>
    <row r="442" spans="1:11">
      <c r="A442" s="43">
        <f>IF(tblCompanies[[#This Row],[Company Name]]&lt;&gt;0,ROW()-1,"")</f>
        <v>441</v>
      </c>
      <c r="B442" s="3" t="s">
        <v>3143</v>
      </c>
      <c r="D442" s="44" t="s">
        <v>3000</v>
      </c>
      <c r="E442" s="45"/>
      <c r="F442" s="10" t="s">
        <v>2824</v>
      </c>
      <c r="G442" s="39"/>
      <c r="H442" s="3" t="s">
        <v>52</v>
      </c>
      <c r="I442" s="42" t="s">
        <v>3144</v>
      </c>
      <c r="J442" s="7" t="str">
        <f>IFERROR(LOOKUP(2,1/('Outreach Log'!$E$2:$E$9998=B442),'Outreach Log'!$B$2:$B$9998),"")</f>
        <v/>
      </c>
      <c r="K442" s="5">
        <f>COUNTIF('Outreach Log'!$E:$E,B442)</f>
        <v>0</v>
      </c>
    </row>
    <row r="443" spans="1:11">
      <c r="A443" s="9">
        <f>IF(tblCompanies[[#This Row],[Company Name]]&lt;&gt;0,ROW()-1,"")</f>
        <v>442</v>
      </c>
      <c r="B443" s="10" t="s">
        <v>2300</v>
      </c>
      <c r="C443" s="10" t="s">
        <v>3</v>
      </c>
      <c r="D443" s="10" t="s">
        <v>2171</v>
      </c>
      <c r="E443" s="10" t="s">
        <v>411</v>
      </c>
      <c r="F443" s="10" t="s">
        <v>2824</v>
      </c>
      <c r="G443" s="10" t="s">
        <v>2618</v>
      </c>
      <c r="H443" s="10"/>
      <c r="I443" s="10" t="s">
        <v>2627</v>
      </c>
      <c r="J443" s="7">
        <f>IFERROR(LOOKUP(2,1/('Outreach Log'!$E$2:$E$9998=B443),'Outreach Log'!$B$2:$B$9998),"")</f>
        <v>46126</v>
      </c>
      <c r="K443" s="5">
        <f>COUNTIF('Outreach Log'!$E:$E,B443)</f>
        <v>1</v>
      </c>
    </row>
    <row r="444" spans="1:11">
      <c r="A444" s="9">
        <f>IF(tblCompanies[[#This Row],[Company Name]]&lt;&gt;0,ROW()-1,"")</f>
        <v>443</v>
      </c>
      <c r="B444" s="10" t="s">
        <v>2243</v>
      </c>
      <c r="C444" s="10" t="s">
        <v>4</v>
      </c>
      <c r="D444" s="10" t="s">
        <v>2171</v>
      </c>
      <c r="E444" s="10" t="s">
        <v>224</v>
      </c>
      <c r="F444" s="10" t="s">
        <v>2824</v>
      </c>
      <c r="G444" s="10" t="s">
        <v>2773</v>
      </c>
      <c r="H444" s="10"/>
      <c r="I444" s="10" t="s">
        <v>2775</v>
      </c>
      <c r="J444" s="7">
        <f>IFERROR(LOOKUP(2,1/('Outreach Log'!$E$2:$E$9998=B444),'Outreach Log'!$B$2:$B$9998),"")</f>
        <v>46126</v>
      </c>
      <c r="K444" s="5">
        <f>COUNTIF('Outreach Log'!$E:$E,B444)</f>
        <v>1</v>
      </c>
    </row>
    <row r="445" spans="1:11">
      <c r="A445" s="43">
        <f>IF(tblCompanies[[#This Row],[Company Name]]&lt;&gt;0,ROW()-1,"")</f>
        <v>444</v>
      </c>
      <c r="B445" s="3" t="s">
        <v>3145</v>
      </c>
      <c r="D445" s="44" t="s">
        <v>3000</v>
      </c>
      <c r="E445" s="45" t="s">
        <v>3146</v>
      </c>
      <c r="F445" s="10" t="s">
        <v>2824</v>
      </c>
      <c r="G445" s="39"/>
      <c r="H445" s="3" t="s">
        <v>79</v>
      </c>
      <c r="I445" s="42" t="s">
        <v>3147</v>
      </c>
      <c r="J445" s="7" t="str">
        <f>IFERROR(LOOKUP(2,1/('Outreach Log'!$E$2:$E$9998=B445),'Outreach Log'!$B$2:$B$9998),"")</f>
        <v/>
      </c>
      <c r="K445" s="5">
        <f>COUNTIF('Outreach Log'!$E:$E,B445)</f>
        <v>0</v>
      </c>
    </row>
    <row r="446" spans="1:11">
      <c r="A446" s="9">
        <f>IF(tblCompanies[[#This Row],[Company Name]]&lt;&gt;0,ROW()-1,"")</f>
        <v>445</v>
      </c>
      <c r="B446" s="10" t="s">
        <v>2368</v>
      </c>
      <c r="C446" s="10" t="s">
        <v>3</v>
      </c>
      <c r="D446" s="10" t="s">
        <v>2171</v>
      </c>
      <c r="E446" s="10" t="s">
        <v>567</v>
      </c>
      <c r="F446" s="10" t="s">
        <v>2824</v>
      </c>
      <c r="G446" s="10" t="s">
        <v>2618</v>
      </c>
      <c r="H446" s="10"/>
      <c r="I446" s="10" t="s">
        <v>2635</v>
      </c>
      <c r="J446" s="7" t="str">
        <f>IFERROR(LOOKUP(2,1/('Outreach Log'!$E$2:$E$9998=B446),'Outreach Log'!$B$2:$B$9998),"")</f>
        <v/>
      </c>
      <c r="K446" s="5">
        <f>COUNTIF('Outreach Log'!$E:$E,B446)</f>
        <v>0</v>
      </c>
    </row>
    <row r="447" spans="1:11">
      <c r="A447" s="9">
        <f>IF(tblCompanies[[#This Row],[Company Name]]&lt;&gt;0,ROW()-1,"")</f>
        <v>446</v>
      </c>
      <c r="B447" s="10" t="s">
        <v>363</v>
      </c>
      <c r="C447" s="10" t="s">
        <v>1</v>
      </c>
      <c r="D447" s="10" t="s">
        <v>2171</v>
      </c>
      <c r="E447" s="10"/>
      <c r="F447" s="10" t="s">
        <v>2824</v>
      </c>
      <c r="G447" s="10" t="s">
        <v>2533</v>
      </c>
      <c r="H447" s="10"/>
      <c r="I447" s="10" t="s">
        <v>364</v>
      </c>
      <c r="J447" s="7" t="str">
        <f>IFERROR(LOOKUP(2,1/('Outreach Log'!$E$2:$E$9998=B447),'Outreach Log'!$B$2:$B$9998),"")</f>
        <v/>
      </c>
      <c r="K447" s="5">
        <f>COUNTIF('Outreach Log'!$E:$E,B447)</f>
        <v>0</v>
      </c>
    </row>
    <row r="448" spans="1:11">
      <c r="A448" s="9">
        <f>IF(tblCompanies[[#This Row],[Company Name]]&lt;&gt;0,ROW()-1,"")</f>
        <v>447</v>
      </c>
      <c r="B448" s="10" t="s">
        <v>2237</v>
      </c>
      <c r="C448" s="10" t="s">
        <v>0</v>
      </c>
      <c r="D448" s="10" t="s">
        <v>2171</v>
      </c>
      <c r="E448" s="10"/>
      <c r="F448" s="10" t="s">
        <v>2824</v>
      </c>
      <c r="G448" s="10" t="s">
        <v>2702</v>
      </c>
      <c r="H448" s="10"/>
      <c r="I448" s="10" t="s">
        <v>2705</v>
      </c>
      <c r="J448" s="7">
        <f>IFERROR(LOOKUP(2,1/('Outreach Log'!$E$2:$E$9998=B448),'Outreach Log'!$B$2:$B$9998),"")</f>
        <v>46126</v>
      </c>
      <c r="K448" s="5">
        <f>COUNTIF('Outreach Log'!$E:$E,B448)</f>
        <v>1</v>
      </c>
    </row>
    <row r="449" spans="1:11">
      <c r="A449" s="43">
        <f>IF(tblCompanies[[#This Row],[Company Name]]&lt;&gt;0,ROW()-1,"")</f>
        <v>448</v>
      </c>
      <c r="B449" s="3" t="s">
        <v>3153</v>
      </c>
      <c r="D449" s="44" t="s">
        <v>3000</v>
      </c>
      <c r="E449" s="45" t="s">
        <v>3154</v>
      </c>
      <c r="F449" s="10" t="s">
        <v>2824</v>
      </c>
      <c r="G449" s="39"/>
      <c r="H449" s="3" t="s">
        <v>100</v>
      </c>
      <c r="I449" s="42" t="s">
        <v>3155</v>
      </c>
      <c r="J449" s="7" t="str">
        <f>IFERROR(LOOKUP(2,1/('Outreach Log'!$E$2:$E$9998=B449),'Outreach Log'!$B$2:$B$9998),"")</f>
        <v/>
      </c>
      <c r="K449" s="5">
        <f>COUNTIF('Outreach Log'!$E:$E,B449)</f>
        <v>0</v>
      </c>
    </row>
    <row r="450" spans="1:11">
      <c r="A450" s="9">
        <f>IF(tblCompanies[[#This Row],[Company Name]]&lt;&gt;0,ROW()-1,"")</f>
        <v>449</v>
      </c>
      <c r="B450" s="10" t="s">
        <v>2210</v>
      </c>
      <c r="C450" s="10" t="s">
        <v>1</v>
      </c>
      <c r="D450" s="10" t="s">
        <v>2171</v>
      </c>
      <c r="E450" s="10" t="s">
        <v>144</v>
      </c>
      <c r="F450" s="10" t="s">
        <v>2824</v>
      </c>
      <c r="G450" s="10" t="s">
        <v>2573</v>
      </c>
      <c r="H450" s="10"/>
      <c r="I450" s="10" t="s">
        <v>2578</v>
      </c>
      <c r="J450" s="7" t="str">
        <f>IFERROR(LOOKUP(2,1/('Outreach Log'!$E$2:$E$9998=B450),'Outreach Log'!$B$2:$B$9998),"")</f>
        <v/>
      </c>
      <c r="K450" s="5">
        <f>COUNTIF('Outreach Log'!$E:$E,B450)</f>
        <v>0</v>
      </c>
    </row>
    <row r="451" spans="1:11">
      <c r="A451" s="9">
        <f>IF(tblCompanies[[#This Row],[Company Name]]&lt;&gt;0,ROW()-1,"")</f>
        <v>450</v>
      </c>
      <c r="B451" s="10" t="s">
        <v>2282</v>
      </c>
      <c r="C451" s="10" t="s">
        <v>1</v>
      </c>
      <c r="D451" s="10" t="s">
        <v>2171</v>
      </c>
      <c r="E451" s="10" t="s">
        <v>373</v>
      </c>
      <c r="F451" s="10" t="s">
        <v>2824</v>
      </c>
      <c r="G451" s="10" t="s">
        <v>46</v>
      </c>
      <c r="H451" s="10"/>
      <c r="I451" s="10" t="s">
        <v>2514</v>
      </c>
      <c r="J451" s="7">
        <f>IFERROR(LOOKUP(2,1/('Outreach Log'!$E$2:$E$9998=B451),'Outreach Log'!$B$2:$B$9998),"")</f>
        <v>46126</v>
      </c>
      <c r="K451" s="5">
        <f>COUNTIF('Outreach Log'!$E:$E,B451)</f>
        <v>1</v>
      </c>
    </row>
    <row r="452" spans="1:11">
      <c r="A452" s="9">
        <f>IF(tblCompanies[[#This Row],[Company Name]]&lt;&gt;0,ROW()-1,"")</f>
        <v>451</v>
      </c>
      <c r="B452" s="10" t="s">
        <v>2288</v>
      </c>
      <c r="C452" s="10" t="s">
        <v>3</v>
      </c>
      <c r="D452" s="10" t="s">
        <v>2171</v>
      </c>
      <c r="E452" s="10" t="s">
        <v>385</v>
      </c>
      <c r="F452" s="10" t="s">
        <v>2824</v>
      </c>
      <c r="G452" s="10" t="s">
        <v>2702</v>
      </c>
      <c r="H452" s="10"/>
      <c r="I452" s="10" t="s">
        <v>2707</v>
      </c>
      <c r="J452" s="7">
        <f>IFERROR(LOOKUP(2,1/('Outreach Log'!$E$2:$E$9998=B452),'Outreach Log'!$B$2:$B$9998),"")</f>
        <v>46126</v>
      </c>
      <c r="K452" s="5">
        <f>COUNTIF('Outreach Log'!$E:$E,B452)</f>
        <v>1</v>
      </c>
    </row>
    <row r="453" spans="1:11">
      <c r="A453" s="43">
        <f>IF(tblCompanies[[#This Row],[Company Name]]&lt;&gt;0,ROW()-1,"")</f>
        <v>452</v>
      </c>
      <c r="B453" s="3" t="s">
        <v>3156</v>
      </c>
      <c r="D453" s="44" t="s">
        <v>3000</v>
      </c>
      <c r="E453" s="47"/>
      <c r="F453" s="10" t="s">
        <v>2824</v>
      </c>
      <c r="G453" s="41"/>
      <c r="H453" s="3" t="s">
        <v>344</v>
      </c>
      <c r="I453" s="42" t="s">
        <v>3157</v>
      </c>
      <c r="J453" s="7" t="str">
        <f>IFERROR(LOOKUP(2,1/('Outreach Log'!$E$2:$E$9998=B453),'Outreach Log'!$B$2:$B$9998),"")</f>
        <v/>
      </c>
      <c r="K453" s="5">
        <f>COUNTIF('Outreach Log'!$E:$E,B453)</f>
        <v>0</v>
      </c>
    </row>
    <row r="454" spans="1:11">
      <c r="A454" s="9">
        <f>IF(tblCompanies[[#This Row],[Company Name]]&lt;&gt;0,ROW()-1,"")</f>
        <v>453</v>
      </c>
      <c r="B454" s="10" t="s">
        <v>2351</v>
      </c>
      <c r="C454" s="10" t="s">
        <v>0</v>
      </c>
      <c r="D454" s="10" t="s">
        <v>2171</v>
      </c>
      <c r="E454" s="10" t="s">
        <v>520</v>
      </c>
      <c r="F454" s="10" t="s">
        <v>2824</v>
      </c>
      <c r="G454" s="10" t="s">
        <v>2777</v>
      </c>
      <c r="H454" s="10"/>
      <c r="I454" s="10" t="s">
        <v>2790</v>
      </c>
      <c r="J454" s="7" t="str">
        <f>IFERROR(LOOKUP(2,1/('Outreach Log'!$E$2:$E$9998=B454),'Outreach Log'!$B$2:$B$9998),"")</f>
        <v/>
      </c>
      <c r="K454" s="5">
        <f>COUNTIF('Outreach Log'!$E:$E,B454)</f>
        <v>0</v>
      </c>
    </row>
    <row r="455" spans="1:11">
      <c r="A455" s="9">
        <f>IF(tblCompanies[[#This Row],[Company Name]]&lt;&gt;0,ROW()-1,"")</f>
        <v>454</v>
      </c>
      <c r="B455" s="10" t="s">
        <v>2410</v>
      </c>
      <c r="C455" s="10"/>
      <c r="D455" s="10" t="s">
        <v>14</v>
      </c>
      <c r="E455" s="10" t="s">
        <v>680</v>
      </c>
      <c r="F455" s="10" t="s">
        <v>2824</v>
      </c>
      <c r="G455" s="10"/>
      <c r="H455" s="10" t="s">
        <v>83</v>
      </c>
      <c r="I455" s="10" t="s">
        <v>2506</v>
      </c>
      <c r="J455" s="7" t="str">
        <f>IFERROR(LOOKUP(2,1/('Outreach Log'!$E$2:$E$9998=B455),'Outreach Log'!$B$2:$B$9998),"")</f>
        <v/>
      </c>
      <c r="K455" s="5">
        <f>COUNTIF('Outreach Log'!$E:$E,B455)</f>
        <v>0</v>
      </c>
    </row>
    <row r="456" spans="1:11" ht="15" customHeight="1">
      <c r="A456" s="9">
        <f>IF(tblCompanies[[#This Row],[Company Name]]&lt;&gt;0,ROW()-1,"")</f>
        <v>455</v>
      </c>
      <c r="B456" s="10" t="s">
        <v>2393</v>
      </c>
      <c r="C456" s="10" t="s">
        <v>4</v>
      </c>
      <c r="D456" s="10" t="s">
        <v>2171</v>
      </c>
      <c r="E456" s="10" t="s">
        <v>645</v>
      </c>
      <c r="F456" s="10" t="s">
        <v>2824</v>
      </c>
      <c r="G456" s="10" t="s">
        <v>2662</v>
      </c>
      <c r="H456" s="10"/>
      <c r="I456" s="10" t="s">
        <v>2663</v>
      </c>
      <c r="J456" s="7">
        <f>IFERROR(LOOKUP(2,1/('Outreach Log'!$E$2:$E$9998=B456),'Outreach Log'!$B$2:$B$9998),"")</f>
        <v>46126</v>
      </c>
      <c r="K456" s="5">
        <f>COUNTIF('Outreach Log'!$E:$E,B456)</f>
        <v>1</v>
      </c>
    </row>
    <row r="457" spans="1:11" ht="15" customHeight="1">
      <c r="A457" s="9">
        <f>IF(tblCompanies[[#This Row],[Company Name]]&lt;&gt;0,ROW()-1,"")</f>
        <v>456</v>
      </c>
      <c r="B457" s="10" t="s">
        <v>2287</v>
      </c>
      <c r="C457" s="10" t="s">
        <v>3</v>
      </c>
      <c r="D457" s="10" t="s">
        <v>2171</v>
      </c>
      <c r="E457" s="10" t="s">
        <v>381</v>
      </c>
      <c r="F457" s="10" t="s">
        <v>2824</v>
      </c>
      <c r="G457" s="10" t="s">
        <v>2618</v>
      </c>
      <c r="H457" s="10"/>
      <c r="I457" s="10" t="s">
        <v>2624</v>
      </c>
      <c r="J457" s="7">
        <f>IFERROR(LOOKUP(2,1/('Outreach Log'!$E$2:$E$9998=B457),'Outreach Log'!$B$2:$B$9998),"")</f>
        <v>46126</v>
      </c>
      <c r="K457" s="5">
        <f>COUNTIF('Outreach Log'!$E:$E,B457)</f>
        <v>1</v>
      </c>
    </row>
    <row r="458" spans="1:11" ht="15" customHeight="1">
      <c r="A458" s="9">
        <f>IF(tblCompanies[[#This Row],[Company Name]]&lt;&gt;0,ROW()-1,"")</f>
        <v>457</v>
      </c>
      <c r="B458" s="10" t="s">
        <v>594</v>
      </c>
      <c r="C458" s="10" t="s">
        <v>3</v>
      </c>
      <c r="D458" s="10" t="s">
        <v>2171</v>
      </c>
      <c r="E458" s="10" t="s">
        <v>595</v>
      </c>
      <c r="F458" s="10" t="s">
        <v>2824</v>
      </c>
      <c r="G458" s="10" t="s">
        <v>2604</v>
      </c>
      <c r="H458" s="10"/>
      <c r="I458" s="10" t="s">
        <v>2614</v>
      </c>
      <c r="J458" s="7" t="str">
        <f>IFERROR(LOOKUP(2,1/('Outreach Log'!$E$2:$E$9998=B458),'Outreach Log'!$B$2:$B$9998),"")</f>
        <v/>
      </c>
      <c r="K458" s="5">
        <f>COUNTIF('Outreach Log'!$E:$E,B458)</f>
        <v>0</v>
      </c>
    </row>
    <row r="459" spans="1:11" ht="15" customHeight="1">
      <c r="A459" s="9">
        <f>IF(tblCompanies[[#This Row],[Company Name]]&lt;&gt;0,ROW()-1,"")</f>
        <v>458</v>
      </c>
      <c r="B459" s="10" t="s">
        <v>2343</v>
      </c>
      <c r="C459" s="10" t="s">
        <v>3</v>
      </c>
      <c r="D459" s="10" t="s">
        <v>2171</v>
      </c>
      <c r="E459" s="10" t="s">
        <v>504</v>
      </c>
      <c r="F459" s="10" t="s">
        <v>2824</v>
      </c>
      <c r="G459" s="10" t="s">
        <v>2756</v>
      </c>
      <c r="H459" s="10"/>
      <c r="I459" s="10" t="s">
        <v>2767</v>
      </c>
      <c r="J459" s="7" t="str">
        <f>IFERROR(LOOKUP(2,1/('Outreach Log'!$E$2:$E$9998=B459),'Outreach Log'!$B$2:$B$9998),"")</f>
        <v/>
      </c>
      <c r="K459" s="5">
        <f>COUNTIF('Outreach Log'!$E:$E,B459)</f>
        <v>0</v>
      </c>
    </row>
    <row r="460" spans="1:11" ht="15" customHeight="1">
      <c r="A460" s="9">
        <f>IF(tblCompanies[[#This Row],[Company Name]]&lt;&gt;0,ROW()-1,"")</f>
        <v>459</v>
      </c>
      <c r="B460" s="10" t="s">
        <v>2249</v>
      </c>
      <c r="C460" s="10" t="s">
        <v>5</v>
      </c>
      <c r="D460" s="10" t="s">
        <v>2171</v>
      </c>
      <c r="E460" s="10" t="s">
        <v>235</v>
      </c>
      <c r="F460" s="10" t="s">
        <v>2824</v>
      </c>
      <c r="G460" s="10" t="s">
        <v>2712</v>
      </c>
      <c r="H460" s="10"/>
      <c r="I460" s="10" t="s">
        <v>236</v>
      </c>
      <c r="J460" s="7">
        <f>IFERROR(LOOKUP(2,1/('Outreach Log'!$E$2:$E$9998=B460),'Outreach Log'!$B$2:$B$9998),"")</f>
        <v>46126</v>
      </c>
      <c r="K460" s="5">
        <f>COUNTIF('Outreach Log'!$E:$E,B460)</f>
        <v>1</v>
      </c>
    </row>
    <row r="461" spans="1:11" ht="15" customHeight="1">
      <c r="A461" s="9">
        <f>IF(tblCompanies[[#This Row],[Company Name]]&lt;&gt;0,ROW()-1,"")</f>
        <v>460</v>
      </c>
      <c r="B461" s="10" t="s">
        <v>127</v>
      </c>
      <c r="C461" s="10" t="s">
        <v>3</v>
      </c>
      <c r="D461" s="10" t="s">
        <v>2171</v>
      </c>
      <c r="E461" s="10" t="s">
        <v>128</v>
      </c>
      <c r="F461" s="10" t="s">
        <v>2824</v>
      </c>
      <c r="G461" s="10" t="s">
        <v>2542</v>
      </c>
      <c r="H461" s="10"/>
      <c r="I461" s="10" t="s">
        <v>2543</v>
      </c>
      <c r="J461" s="7" t="str">
        <f>IFERROR(LOOKUP(2,1/('Outreach Log'!$E$2:$E$9998=B461),'Outreach Log'!$B$2:$B$9998),"")</f>
        <v/>
      </c>
      <c r="K461" s="5">
        <f>COUNTIF('Outreach Log'!$E:$E,B461)</f>
        <v>0</v>
      </c>
    </row>
    <row r="462" spans="1:11" ht="15" customHeight="1">
      <c r="A462" s="43">
        <f>IF(tblCompanies[[#This Row],[Company Name]]&lt;&gt;0,ROW()-1,"")</f>
        <v>461</v>
      </c>
      <c r="B462" s="3" t="s">
        <v>3164</v>
      </c>
      <c r="D462" s="44" t="s">
        <v>3000</v>
      </c>
      <c r="E462" s="45" t="s">
        <v>3165</v>
      </c>
      <c r="F462" s="10" t="s">
        <v>2824</v>
      </c>
      <c r="G462" s="39"/>
      <c r="H462" s="3" t="s">
        <v>3003</v>
      </c>
      <c r="I462" s="42" t="s">
        <v>3166</v>
      </c>
      <c r="J462" s="7" t="str">
        <f>IFERROR(LOOKUP(2,1/('Outreach Log'!$E$2:$E$9998=B462),'Outreach Log'!$B$2:$B$9998),"")</f>
        <v/>
      </c>
      <c r="K462" s="5">
        <f>COUNTIF('Outreach Log'!$E:$E,B462)</f>
        <v>0</v>
      </c>
    </row>
    <row r="463" spans="1:11" ht="15" customHeight="1">
      <c r="A463" s="9">
        <f>IF(tblCompanies[[#This Row],[Company Name]]&lt;&gt;0,ROW()-1,"")</f>
        <v>462</v>
      </c>
      <c r="B463" s="10" t="s">
        <v>2354</v>
      </c>
      <c r="C463" s="10" t="s">
        <v>1</v>
      </c>
      <c r="D463" s="10" t="s">
        <v>2171</v>
      </c>
      <c r="E463" s="10" t="s">
        <v>527</v>
      </c>
      <c r="F463" s="10" t="s">
        <v>2824</v>
      </c>
      <c r="G463" s="10" t="s">
        <v>2573</v>
      </c>
      <c r="H463" s="10"/>
      <c r="I463" s="10" t="s">
        <v>2595</v>
      </c>
      <c r="J463" s="7" t="str">
        <f>IFERROR(LOOKUP(2,1/('Outreach Log'!$E$2:$E$9998=B463),'Outreach Log'!$B$2:$B$9998),"")</f>
        <v/>
      </c>
      <c r="K463" s="5">
        <f>COUNTIF('Outreach Log'!$E:$E,B463)</f>
        <v>0</v>
      </c>
    </row>
    <row r="464" spans="1:11" ht="15" customHeight="1">
      <c r="A464" s="9">
        <f>IF(tblCompanies[[#This Row],[Company Name]]&lt;&gt;0,ROW()-1,"")</f>
        <v>463</v>
      </c>
      <c r="B464" s="10" t="s">
        <v>625</v>
      </c>
      <c r="C464" s="10" t="s">
        <v>1</v>
      </c>
      <c r="D464" s="10" t="s">
        <v>2171</v>
      </c>
      <c r="E464" s="10" t="s">
        <v>626</v>
      </c>
      <c r="F464" s="10" t="s">
        <v>2824</v>
      </c>
      <c r="G464" s="10" t="s">
        <v>2573</v>
      </c>
      <c r="H464" s="10"/>
      <c r="I464" s="10" t="s">
        <v>2600</v>
      </c>
      <c r="J464" s="7" t="str">
        <f>IFERROR(LOOKUP(2,1/('Outreach Log'!$E$2:$E$9998=B464),'Outreach Log'!$B$2:$B$9998),"")</f>
        <v/>
      </c>
      <c r="K464" s="5">
        <f>COUNTIF('Outreach Log'!$E:$E,B464)</f>
        <v>0</v>
      </c>
    </row>
    <row r="465" spans="1:11" ht="15" customHeight="1">
      <c r="A465" s="9">
        <f>IF(tblCompanies[[#This Row],[Company Name]]&lt;&gt;0,ROW()-1,"")</f>
        <v>464</v>
      </c>
      <c r="B465" s="10" t="s">
        <v>2413</v>
      </c>
      <c r="C465" s="10" t="s">
        <v>3</v>
      </c>
      <c r="D465" s="10" t="s">
        <v>2171</v>
      </c>
      <c r="E465" s="10" t="s">
        <v>686</v>
      </c>
      <c r="F465" s="10" t="s">
        <v>2824</v>
      </c>
      <c r="G465" s="10" t="s">
        <v>2618</v>
      </c>
      <c r="H465" s="10"/>
      <c r="I465" s="10" t="s">
        <v>2643</v>
      </c>
      <c r="J465" s="7" t="str">
        <f>IFERROR(LOOKUP(2,1/('Outreach Log'!$E$2:$E$9998=B465),'Outreach Log'!$B$2:$B$9998),"")</f>
        <v/>
      </c>
      <c r="K465" s="5">
        <f>COUNTIF('Outreach Log'!$E:$E,B465)</f>
        <v>0</v>
      </c>
    </row>
    <row r="466" spans="1:11" ht="15" customHeight="1">
      <c r="A466" s="9">
        <f>IF(tblCompanies[[#This Row],[Company Name]]&lt;&gt;0,ROW()-1,"")</f>
        <v>465</v>
      </c>
      <c r="B466" s="10" t="s">
        <v>617</v>
      </c>
      <c r="C466" s="10"/>
      <c r="D466" s="10" t="s">
        <v>13</v>
      </c>
      <c r="E466" s="10"/>
      <c r="F466" s="10" t="s">
        <v>2824</v>
      </c>
      <c r="G466" s="10"/>
      <c r="H466" s="10"/>
      <c r="I466" s="10"/>
      <c r="J466" s="7" t="str">
        <f>IFERROR(LOOKUP(2,1/('Outreach Log'!$E$2:$E$9998=B466),'Outreach Log'!$B$2:$B$9998),"")</f>
        <v/>
      </c>
      <c r="K466" s="5">
        <f>COUNTIF('Outreach Log'!$E:$E,B466)</f>
        <v>0</v>
      </c>
    </row>
    <row r="467" spans="1:11" ht="15" customHeight="1">
      <c r="A467" s="9">
        <f>IF(tblCompanies[[#This Row],[Company Name]]&lt;&gt;0,ROW()-1,"")</f>
        <v>466</v>
      </c>
      <c r="B467" s="10" t="s">
        <v>2390</v>
      </c>
      <c r="C467" s="10" t="s">
        <v>0</v>
      </c>
      <c r="D467" s="10" t="s">
        <v>2171</v>
      </c>
      <c r="E467" s="10" t="s">
        <v>638</v>
      </c>
      <c r="F467" s="10" t="s">
        <v>2824</v>
      </c>
      <c r="G467" s="10" t="s">
        <v>2604</v>
      </c>
      <c r="H467" s="10"/>
      <c r="I467" s="10" t="s">
        <v>2615</v>
      </c>
      <c r="J467" s="7">
        <f>IFERROR(LOOKUP(2,1/('Outreach Log'!$E$2:$E$9998=B467),'Outreach Log'!$B$2:$B$9998),"")</f>
        <v>46126</v>
      </c>
      <c r="K467" s="5">
        <f>COUNTIF('Outreach Log'!$E:$E,B467)</f>
        <v>3</v>
      </c>
    </row>
    <row r="468" spans="1:11" ht="15" customHeight="1">
      <c r="A468" s="9">
        <f>IF(tblCompanies[[#This Row],[Company Name]]&lt;&gt;0,ROW()-1,"")</f>
        <v>467</v>
      </c>
      <c r="B468" s="10" t="s">
        <v>627</v>
      </c>
      <c r="C468" s="10" t="s">
        <v>3</v>
      </c>
      <c r="D468" s="10" t="s">
        <v>2171</v>
      </c>
      <c r="E468" s="10" t="s">
        <v>628</v>
      </c>
      <c r="F468" s="10" t="s">
        <v>2824</v>
      </c>
      <c r="G468" s="10" t="s">
        <v>2664</v>
      </c>
      <c r="H468" s="10"/>
      <c r="I468" s="10" t="s">
        <v>2684</v>
      </c>
      <c r="J468" s="7">
        <f>IFERROR(LOOKUP(2,1/('Outreach Log'!$E$2:$E$9998=B468),'Outreach Log'!$B$2:$B$9998),"")</f>
        <v>46126</v>
      </c>
      <c r="K468" s="5">
        <f>COUNTIF('Outreach Log'!$E:$E,B468)</f>
        <v>1</v>
      </c>
    </row>
    <row r="469" spans="1:11" ht="15" customHeight="1">
      <c r="A469" s="9">
        <f>IF(tblCompanies[[#This Row],[Company Name]]&lt;&gt;0,ROW()-1,"")</f>
        <v>468</v>
      </c>
      <c r="B469" s="10" t="s">
        <v>2258</v>
      </c>
      <c r="C469" s="10" t="s">
        <v>0</v>
      </c>
      <c r="D469" s="10" t="s">
        <v>2171</v>
      </c>
      <c r="E469" s="10" t="s">
        <v>264</v>
      </c>
      <c r="F469" s="10" t="s">
        <v>2824</v>
      </c>
      <c r="G469" s="10" t="s">
        <v>46</v>
      </c>
      <c r="H469" s="10"/>
      <c r="I469" s="10" t="s">
        <v>2512</v>
      </c>
      <c r="J469" s="7" t="str">
        <f>IFERROR(LOOKUP(2,1/('Outreach Log'!$E$2:$E$9998=B469),'Outreach Log'!$B$2:$B$9998),"")</f>
        <v/>
      </c>
      <c r="K469" s="5">
        <f>COUNTIF('Outreach Log'!$E:$E,B469)</f>
        <v>0</v>
      </c>
    </row>
    <row r="470" spans="1:11" ht="15" customHeight="1">
      <c r="A470" s="9">
        <f>IF(tblCompanies[[#This Row],[Company Name]]&lt;&gt;0,ROW()-1,"")</f>
        <v>469</v>
      </c>
      <c r="B470" s="10" t="s">
        <v>489</v>
      </c>
      <c r="C470" s="10"/>
      <c r="D470" s="10" t="s">
        <v>13</v>
      </c>
      <c r="E470" s="10" t="s">
        <v>490</v>
      </c>
      <c r="F470" s="10" t="s">
        <v>2824</v>
      </c>
      <c r="G470" s="10"/>
      <c r="H470" s="10"/>
      <c r="I470" s="10" t="s">
        <v>30</v>
      </c>
      <c r="J470" s="7" t="str">
        <f>IFERROR(LOOKUP(2,1/('Outreach Log'!$E$2:$E$9998=B470),'Outreach Log'!$B$2:$B$9998),"")</f>
        <v/>
      </c>
      <c r="K470" s="5">
        <f>COUNTIF('Outreach Log'!$E:$E,B470)</f>
        <v>0</v>
      </c>
    </row>
    <row r="471" spans="1:11" ht="15" customHeight="1">
      <c r="A471" s="9">
        <f>IF(tblCompanies[[#This Row],[Company Name]]&lt;&gt;0,ROW()-1,"")</f>
        <v>470</v>
      </c>
      <c r="B471" s="10" t="s">
        <v>537</v>
      </c>
      <c r="C471" s="10" t="s">
        <v>1</v>
      </c>
      <c r="D471" s="10" t="s">
        <v>2171</v>
      </c>
      <c r="E471" s="10" t="s">
        <v>538</v>
      </c>
      <c r="F471" s="10" t="s">
        <v>2824</v>
      </c>
      <c r="G471" s="10" t="s">
        <v>2777</v>
      </c>
      <c r="H471" s="10"/>
      <c r="I471" s="10" t="s">
        <v>2792</v>
      </c>
      <c r="J471" s="7" t="str">
        <f>IFERROR(LOOKUP(2,1/('Outreach Log'!$E$2:$E$9998=B471),'Outreach Log'!$B$2:$B$9998),"")</f>
        <v/>
      </c>
      <c r="K471" s="5">
        <f>COUNTIF('Outreach Log'!$E:$E,B471)</f>
        <v>0</v>
      </c>
    </row>
    <row r="472" spans="1:11" ht="15" customHeight="1">
      <c r="A472" s="9">
        <f>IF(tblCompanies[[#This Row],[Company Name]]&lt;&gt;0,ROW()-1,"")</f>
        <v>471</v>
      </c>
      <c r="B472" s="10" t="s">
        <v>154</v>
      </c>
      <c r="C472" s="10" t="s">
        <v>0</v>
      </c>
      <c r="D472" s="10" t="s">
        <v>2171</v>
      </c>
      <c r="E472" s="10" t="s">
        <v>155</v>
      </c>
      <c r="F472" s="10" t="s">
        <v>2824</v>
      </c>
      <c r="G472" s="10" t="s">
        <v>2618</v>
      </c>
      <c r="H472" s="10"/>
      <c r="I472" s="10" t="s">
        <v>2622</v>
      </c>
      <c r="J472" s="7" t="str">
        <f>IFERROR(LOOKUP(2,1/('Outreach Log'!$E$2:$E$9998=B472),'Outreach Log'!$B$2:$B$9998),"")</f>
        <v/>
      </c>
      <c r="K472" s="5">
        <f>COUNTIF('Outreach Log'!$E:$E,B472)</f>
        <v>0</v>
      </c>
    </row>
    <row r="473" spans="1:11" ht="15" customHeight="1">
      <c r="A473" s="9">
        <f>IF(tblCompanies[[#This Row],[Company Name]]&lt;&gt;0,ROW()-1,"")</f>
        <v>472</v>
      </c>
      <c r="B473" s="10" t="s">
        <v>2415</v>
      </c>
      <c r="C473" s="10" t="s">
        <v>3</v>
      </c>
      <c r="D473" s="10" t="s">
        <v>2171</v>
      </c>
      <c r="E473" s="10" t="s">
        <v>688</v>
      </c>
      <c r="F473" s="10" t="s">
        <v>2824</v>
      </c>
      <c r="G473" s="10" t="s">
        <v>2777</v>
      </c>
      <c r="H473" s="10"/>
      <c r="I473" s="10" t="s">
        <v>2795</v>
      </c>
      <c r="J473" s="7">
        <f>IFERROR(LOOKUP(2,1/('Outreach Log'!$E$2:$E$9998=B473),'Outreach Log'!$B$2:$B$9998),"")</f>
        <v>46126</v>
      </c>
      <c r="K473" s="5">
        <f>COUNTIF('Outreach Log'!$E:$E,B473)</f>
        <v>1</v>
      </c>
    </row>
    <row r="474" spans="1:11" ht="15" customHeight="1">
      <c r="A474" s="9">
        <f>IF(tblCompanies[[#This Row],[Company Name]]&lt;&gt;0,ROW()-1,"")</f>
        <v>473</v>
      </c>
      <c r="B474" s="10" t="s">
        <v>2372</v>
      </c>
      <c r="C474" s="10" t="s">
        <v>3</v>
      </c>
      <c r="D474" s="10" t="s">
        <v>2171</v>
      </c>
      <c r="E474" s="10" t="s">
        <v>579</v>
      </c>
      <c r="F474" s="10" t="s">
        <v>2824</v>
      </c>
      <c r="G474" s="10" t="s">
        <v>2618</v>
      </c>
      <c r="H474" s="10"/>
      <c r="I474" s="10" t="s">
        <v>2636</v>
      </c>
      <c r="J474" s="7" t="str">
        <f>IFERROR(LOOKUP(2,1/('Outreach Log'!$E$2:$E$9998=B474),'Outreach Log'!$B$2:$B$9998),"")</f>
        <v/>
      </c>
      <c r="K474" s="5">
        <f>COUNTIF('Outreach Log'!$E:$E,B474)</f>
        <v>0</v>
      </c>
    </row>
    <row r="475" spans="1:11" ht="15" customHeight="1">
      <c r="A475" s="9">
        <f>IF(tblCompanies[[#This Row],[Company Name]]&lt;&gt;0,ROW()-1,"")</f>
        <v>474</v>
      </c>
      <c r="B475" s="10" t="s">
        <v>2402</v>
      </c>
      <c r="C475" s="10" t="s">
        <v>0</v>
      </c>
      <c r="D475" s="10" t="s">
        <v>2171</v>
      </c>
      <c r="E475" s="10" t="s">
        <v>664</v>
      </c>
      <c r="F475" s="10" t="s">
        <v>2824</v>
      </c>
      <c r="G475" s="10" t="s">
        <v>334</v>
      </c>
      <c r="H475" s="10"/>
      <c r="I475" s="10" t="s">
        <v>2735</v>
      </c>
      <c r="J475" s="7">
        <f>IFERROR(LOOKUP(2,1/('Outreach Log'!$E$2:$E$9998=B475),'Outreach Log'!$B$2:$B$9998),"")</f>
        <v>46126</v>
      </c>
      <c r="K475" s="5">
        <f>COUNTIF('Outreach Log'!$E:$E,B475)</f>
        <v>1</v>
      </c>
    </row>
    <row r="476" spans="1:11" ht="15" customHeight="1">
      <c r="A476" s="43">
        <f>IF(tblCompanies[[#This Row],[Company Name]]&lt;&gt;0,ROW()-1,"")</f>
        <v>475</v>
      </c>
      <c r="B476" s="3" t="s">
        <v>3167</v>
      </c>
      <c r="D476" s="44" t="s">
        <v>3000</v>
      </c>
      <c r="E476" s="45" t="s">
        <v>3168</v>
      </c>
      <c r="F476" s="10" t="s">
        <v>2824</v>
      </c>
      <c r="G476" s="39"/>
      <c r="H476" s="3" t="s">
        <v>176</v>
      </c>
      <c r="I476" s="42" t="s">
        <v>3169</v>
      </c>
      <c r="J476" s="7" t="str">
        <f>IFERROR(LOOKUP(2,1/('Outreach Log'!$E$2:$E$9998=B476),'Outreach Log'!$B$2:$B$9998),"")</f>
        <v/>
      </c>
      <c r="K476" s="5">
        <f>COUNTIF('Outreach Log'!$E:$E,B476)</f>
        <v>0</v>
      </c>
    </row>
    <row r="477" spans="1:11" ht="15" customHeight="1">
      <c r="A477" s="9">
        <f>IF(tblCompanies[[#This Row],[Company Name]]&lt;&gt;0,ROW()-1,"")</f>
        <v>476</v>
      </c>
      <c r="B477" s="10" t="s">
        <v>2205</v>
      </c>
      <c r="C477" s="10" t="s">
        <v>5</v>
      </c>
      <c r="D477" s="10" t="s">
        <v>2171</v>
      </c>
      <c r="E477" s="10" t="s">
        <v>119</v>
      </c>
      <c r="F477" s="10" t="s">
        <v>2824</v>
      </c>
      <c r="G477" s="10" t="s">
        <v>120</v>
      </c>
      <c r="H477" s="10"/>
      <c r="I477" s="10" t="s">
        <v>121</v>
      </c>
      <c r="J477" s="7" t="str">
        <f>IFERROR(LOOKUP(2,1/('Outreach Log'!$E$2:$E$9998=B477),'Outreach Log'!$B$2:$B$9998),"")</f>
        <v/>
      </c>
      <c r="K477" s="5">
        <f>COUNTIF('Outreach Log'!$E:$E,B477)</f>
        <v>0</v>
      </c>
    </row>
    <row r="478" spans="1:11" ht="15" customHeight="1">
      <c r="A478" s="9">
        <f>IF(tblCompanies[[#This Row],[Company Name]]&lt;&gt;0,ROW()-1,"")</f>
        <v>477</v>
      </c>
      <c r="B478" s="10" t="s">
        <v>2213</v>
      </c>
      <c r="C478" s="10" t="s">
        <v>6</v>
      </c>
      <c r="D478" s="10" t="s">
        <v>2171</v>
      </c>
      <c r="E478" s="10" t="s">
        <v>152</v>
      </c>
      <c r="F478" s="10" t="s">
        <v>2824</v>
      </c>
      <c r="G478" s="10" t="s">
        <v>2664</v>
      </c>
      <c r="H478" s="10"/>
      <c r="I478" s="10" t="s">
        <v>2668</v>
      </c>
      <c r="J478" s="7" t="str">
        <f>IFERROR(LOOKUP(2,1/('Outreach Log'!$E$2:$E$9998=B478),'Outreach Log'!$B$2:$B$9998),"")</f>
        <v/>
      </c>
      <c r="K478" s="5">
        <f>COUNTIF('Outreach Log'!$E:$E,B478)</f>
        <v>0</v>
      </c>
    </row>
    <row r="479" spans="1:11" ht="15" customHeight="1">
      <c r="A479" s="9">
        <f>IF(tblCompanies[[#This Row],[Company Name]]&lt;&gt;0,ROW()-1,"")</f>
        <v>478</v>
      </c>
      <c r="B479" s="10" t="s">
        <v>2328</v>
      </c>
      <c r="C479" s="10" t="s">
        <v>3</v>
      </c>
      <c r="D479" s="10" t="s">
        <v>2171</v>
      </c>
      <c r="E479" s="10" t="s">
        <v>469</v>
      </c>
      <c r="F479" s="10" t="s">
        <v>2824</v>
      </c>
      <c r="G479" s="10" t="s">
        <v>2777</v>
      </c>
      <c r="H479" s="10"/>
      <c r="I479" s="10" t="s">
        <v>2786</v>
      </c>
      <c r="J479" s="7">
        <f>IFERROR(LOOKUP(2,1/('Outreach Log'!$E$2:$E$9998=B479),'Outreach Log'!$B$2:$B$9998),"")</f>
        <v>46126</v>
      </c>
      <c r="K479" s="5">
        <f>COUNTIF('Outreach Log'!$E:$E,B479)</f>
        <v>1</v>
      </c>
    </row>
    <row r="480" spans="1:11" ht="15" customHeight="1">
      <c r="A480" s="9">
        <f>IF(tblCompanies[[#This Row],[Company Name]]&lt;&gt;0,ROW()-1,"")</f>
        <v>479</v>
      </c>
      <c r="B480" s="10" t="s">
        <v>706</v>
      </c>
      <c r="C480" s="10" t="s">
        <v>1</v>
      </c>
      <c r="D480" s="10" t="s">
        <v>2171</v>
      </c>
      <c r="E480" s="10" t="s">
        <v>707</v>
      </c>
      <c r="F480" s="10" t="s">
        <v>2824</v>
      </c>
      <c r="G480" s="10" t="s">
        <v>2573</v>
      </c>
      <c r="H480" s="10"/>
      <c r="I480" s="10" t="s">
        <v>2603</v>
      </c>
      <c r="J480" s="7">
        <f>IFERROR(LOOKUP(2,1/('Outreach Log'!$E$2:$E$9998=B480),'Outreach Log'!$B$2:$B$9998),"")</f>
        <v>46126</v>
      </c>
      <c r="K480" s="5">
        <f>COUNTIF('Outreach Log'!$E:$E,B480)</f>
        <v>1</v>
      </c>
    </row>
    <row r="481" spans="1:11" ht="15" customHeight="1">
      <c r="A481" s="9">
        <f>IF(tblCompanies[[#This Row],[Company Name]]&lt;&gt;0,ROW()-1,"")</f>
        <v>480</v>
      </c>
      <c r="B481" s="10" t="s">
        <v>2385</v>
      </c>
      <c r="C481" s="10" t="s">
        <v>3</v>
      </c>
      <c r="D481" s="10" t="s">
        <v>2171</v>
      </c>
      <c r="E481" s="10" t="s">
        <v>619</v>
      </c>
      <c r="F481" s="10" t="s">
        <v>2824</v>
      </c>
      <c r="G481" s="10" t="s">
        <v>2756</v>
      </c>
      <c r="H481" s="10"/>
      <c r="I481" s="10" t="s">
        <v>2772</v>
      </c>
      <c r="J481" s="7">
        <f>IFERROR(LOOKUP(2,1/('Outreach Log'!$E$2:$E$9998=B481),'Outreach Log'!$B$2:$B$9998),"")</f>
        <v>46126</v>
      </c>
      <c r="K481" s="5">
        <f>COUNTIF('Outreach Log'!$E:$E,B481)</f>
        <v>1</v>
      </c>
    </row>
    <row r="482" spans="1:11" ht="15" customHeight="1">
      <c r="A482" s="9">
        <f>IF(tblCompanies[[#This Row],[Company Name]]&lt;&gt;0,ROW()-1,"")</f>
        <v>481</v>
      </c>
      <c r="B482" s="10" t="s">
        <v>2182</v>
      </c>
      <c r="C482" s="10" t="s">
        <v>0</v>
      </c>
      <c r="D482" s="10" t="s">
        <v>2171</v>
      </c>
      <c r="E482" s="10" t="s">
        <v>61</v>
      </c>
      <c r="F482" s="10" t="s">
        <v>2824</v>
      </c>
      <c r="G482" s="10" t="s">
        <v>2604</v>
      </c>
      <c r="H482" s="10"/>
      <c r="I482" s="10" t="s">
        <v>2606</v>
      </c>
      <c r="J482" s="7" t="str">
        <f>IFERROR(LOOKUP(2,1/('Outreach Log'!$E$2:$E$9998=B482),'Outreach Log'!$B$2:$B$9998),"")</f>
        <v/>
      </c>
      <c r="K482" s="5">
        <f>COUNTIF('Outreach Log'!$E:$E,B482)</f>
        <v>0</v>
      </c>
    </row>
    <row r="483" spans="1:11" ht="15" customHeight="1">
      <c r="A483" s="43">
        <f>IF(tblCompanies[[#This Row],[Company Name]]&lt;&gt;0,ROW()-1,"")</f>
        <v>482</v>
      </c>
      <c r="B483" s="3" t="s">
        <v>3170</v>
      </c>
      <c r="D483" s="44" t="s">
        <v>3000</v>
      </c>
      <c r="E483" s="45" t="s">
        <v>3171</v>
      </c>
      <c r="F483" s="10" t="s">
        <v>2824</v>
      </c>
      <c r="G483" s="39"/>
      <c r="H483" s="3" t="s">
        <v>3003</v>
      </c>
      <c r="I483" s="42" t="s">
        <v>3172</v>
      </c>
      <c r="J483" s="7" t="str">
        <f>IFERROR(LOOKUP(2,1/('Outreach Log'!$E$2:$E$9998=B483),'Outreach Log'!$B$2:$B$9998),"")</f>
        <v/>
      </c>
      <c r="K483" s="5">
        <f>COUNTIF('Outreach Log'!$E:$E,B483)</f>
        <v>0</v>
      </c>
    </row>
    <row r="484" spans="1:11" ht="15" customHeight="1">
      <c r="A484" s="43">
        <f>IF(tblCompanies[[#This Row],[Company Name]]&lt;&gt;0,ROW()-1,"")</f>
        <v>483</v>
      </c>
      <c r="B484" s="3" t="s">
        <v>3173</v>
      </c>
      <c r="D484" s="44" t="s">
        <v>3000</v>
      </c>
      <c r="E484" s="45"/>
      <c r="F484" s="10" t="s">
        <v>2824</v>
      </c>
      <c r="G484" s="39"/>
      <c r="H484" s="3" t="s">
        <v>3003</v>
      </c>
      <c r="I484" s="42" t="s">
        <v>3174</v>
      </c>
      <c r="J484" s="7" t="str">
        <f>IFERROR(LOOKUP(2,1/('Outreach Log'!$E$2:$E$9998=B484),'Outreach Log'!$B$2:$B$9998),"")</f>
        <v/>
      </c>
      <c r="K484" s="5">
        <f>COUNTIF('Outreach Log'!$E:$E,B484)</f>
        <v>0</v>
      </c>
    </row>
    <row r="485" spans="1:11" ht="15" customHeight="1">
      <c r="A485" s="9">
        <f>IF(tblCompanies[[#This Row],[Company Name]]&lt;&gt;0,ROW()-1,"")</f>
        <v>484</v>
      </c>
      <c r="B485" s="10" t="s">
        <v>2245</v>
      </c>
      <c r="C485" s="10" t="s">
        <v>1</v>
      </c>
      <c r="D485" s="10" t="s">
        <v>2171</v>
      </c>
      <c r="E485" s="10" t="s">
        <v>227</v>
      </c>
      <c r="F485" s="10" t="s">
        <v>2824</v>
      </c>
      <c r="G485" s="10" t="s">
        <v>2573</v>
      </c>
      <c r="H485" s="10"/>
      <c r="I485" s="10" t="s">
        <v>2580</v>
      </c>
      <c r="J485" s="7" t="str">
        <f>IFERROR(LOOKUP(2,1/('Outreach Log'!$E$2:$E$9998=B485),'Outreach Log'!$B$2:$B$9998),"")</f>
        <v/>
      </c>
      <c r="K485" s="5">
        <f>COUNTIF('Outreach Log'!$E:$E,B485)</f>
        <v>0</v>
      </c>
    </row>
    <row r="486" spans="1:11" ht="15" customHeight="1">
      <c r="A486" s="9">
        <f>IF(tblCompanies[[#This Row],[Company Name]]&lt;&gt;0,ROW()-1,"")</f>
        <v>485</v>
      </c>
      <c r="B486" s="10" t="s">
        <v>2174</v>
      </c>
      <c r="C486" s="10" t="s">
        <v>1</v>
      </c>
      <c r="D486" s="10" t="s">
        <v>2171</v>
      </c>
      <c r="E486" s="10" t="s">
        <v>40</v>
      </c>
      <c r="F486" s="10" t="s">
        <v>2824</v>
      </c>
      <c r="G486" s="10" t="s">
        <v>2573</v>
      </c>
      <c r="H486" s="10"/>
      <c r="I486" s="10" t="s">
        <v>2574</v>
      </c>
      <c r="J486" s="7">
        <f>IFERROR(LOOKUP(2,1/('Outreach Log'!$E$2:$E$9998=B486),'Outreach Log'!$B$2:$B$9998),"")</f>
        <v>46126</v>
      </c>
      <c r="K486" s="5">
        <f>COUNTIF('Outreach Log'!$E:$E,B486)</f>
        <v>1</v>
      </c>
    </row>
    <row r="487" spans="1:11" ht="15" customHeight="1">
      <c r="A487" s="9">
        <f>IF(tblCompanies[[#This Row],[Company Name]]&lt;&gt;0,ROW()-1,"")</f>
        <v>486</v>
      </c>
      <c r="B487" s="10" t="s">
        <v>2347</v>
      </c>
      <c r="C487" s="10" t="s">
        <v>0</v>
      </c>
      <c r="D487" s="10" t="s">
        <v>2171</v>
      </c>
      <c r="E487" s="10" t="s">
        <v>512</v>
      </c>
      <c r="F487" s="10" t="s">
        <v>2824</v>
      </c>
      <c r="G487" s="10" t="s">
        <v>46</v>
      </c>
      <c r="H487" s="10"/>
      <c r="I487" s="10" t="s">
        <v>2524</v>
      </c>
      <c r="J487" s="7" t="str">
        <f>IFERROR(LOOKUP(2,1/('Outreach Log'!$E$2:$E$9998=B487),'Outreach Log'!$B$2:$B$9998),"")</f>
        <v/>
      </c>
      <c r="K487" s="5">
        <f>COUNTIF('Outreach Log'!$E:$E,B487)</f>
        <v>0</v>
      </c>
    </row>
    <row r="488" spans="1:11" ht="15" customHeight="1">
      <c r="A488" s="9">
        <f>IF(tblCompanies[[#This Row],[Company Name]]&lt;&gt;0,ROW()-1,"")</f>
        <v>487</v>
      </c>
      <c r="B488" s="10" t="s">
        <v>642</v>
      </c>
      <c r="C488" s="10" t="s">
        <v>3</v>
      </c>
      <c r="D488" s="10" t="s">
        <v>2171</v>
      </c>
      <c r="E488" s="10" t="s">
        <v>643</v>
      </c>
      <c r="F488" s="10" t="s">
        <v>2824</v>
      </c>
      <c r="G488" s="10" t="s">
        <v>46</v>
      </c>
      <c r="H488" s="10"/>
      <c r="I488" s="10" t="s">
        <v>644</v>
      </c>
      <c r="J488" s="7">
        <f>IFERROR(LOOKUP(2,1/('Outreach Log'!$E$2:$E$9998=B488),'Outreach Log'!$B$2:$B$9998),"")</f>
        <v>46126</v>
      </c>
      <c r="K488" s="5">
        <f>COUNTIF('Outreach Log'!$E:$E,B488)</f>
        <v>1</v>
      </c>
    </row>
    <row r="489" spans="1:11" ht="15" customHeight="1">
      <c r="A489" s="9">
        <f>IF(tblCompanies[[#This Row],[Company Name]]&lt;&gt;0,ROW()-1,"")</f>
        <v>488</v>
      </c>
      <c r="B489" s="10" t="s">
        <v>2257</v>
      </c>
      <c r="C489" s="10" t="s">
        <v>1</v>
      </c>
      <c r="D489" s="10" t="s">
        <v>2171</v>
      </c>
      <c r="E489" s="10" t="s">
        <v>261</v>
      </c>
      <c r="F489" s="10" t="s">
        <v>2824</v>
      </c>
      <c r="G489" s="10" t="s">
        <v>2647</v>
      </c>
      <c r="H489" s="10"/>
      <c r="I489" s="10" t="s">
        <v>2649</v>
      </c>
      <c r="J489" s="7" t="str">
        <f>IFERROR(LOOKUP(2,1/('Outreach Log'!$E$2:$E$9998=B489),'Outreach Log'!$B$2:$B$9998),"")</f>
        <v/>
      </c>
      <c r="K489" s="5">
        <f>COUNTIF('Outreach Log'!$E:$E,B489)</f>
        <v>0</v>
      </c>
    </row>
    <row r="490" spans="1:11" ht="15" customHeight="1">
      <c r="A490" s="9">
        <f>IF(tblCompanies[[#This Row],[Company Name]]&lt;&gt;0,ROW()-1,"")</f>
        <v>489</v>
      </c>
      <c r="B490" s="10" t="s">
        <v>2262</v>
      </c>
      <c r="C490" s="10" t="s">
        <v>6</v>
      </c>
      <c r="D490" s="10" t="s">
        <v>2171</v>
      </c>
      <c r="E490" s="10" t="s">
        <v>269</v>
      </c>
      <c r="F490" s="10" t="s">
        <v>2824</v>
      </c>
      <c r="G490" s="10" t="s">
        <v>2756</v>
      </c>
      <c r="H490" s="10"/>
      <c r="I490" s="10" t="s">
        <v>2762</v>
      </c>
      <c r="J490" s="7" t="str">
        <f>IFERROR(LOOKUP(2,1/('Outreach Log'!$E$2:$E$9998=B490),'Outreach Log'!$B$2:$B$9998),"")</f>
        <v/>
      </c>
      <c r="K490" s="5">
        <f>COUNTIF('Outreach Log'!$E:$E,B490)</f>
        <v>0</v>
      </c>
    </row>
    <row r="491" spans="1:11" ht="15" customHeight="1">
      <c r="A491" s="9">
        <f>IF(tblCompanies[[#This Row],[Company Name]]&lt;&gt;0,ROW()-1,"")</f>
        <v>490</v>
      </c>
      <c r="B491" s="10" t="s">
        <v>382</v>
      </c>
      <c r="C491" s="10"/>
      <c r="D491" s="10" t="s">
        <v>13</v>
      </c>
      <c r="E491" s="10"/>
      <c r="F491" s="10" t="s">
        <v>2824</v>
      </c>
      <c r="G491" s="10"/>
      <c r="H491" s="10"/>
      <c r="I491" s="10" t="s">
        <v>30</v>
      </c>
      <c r="J491" s="7" t="str">
        <f>IFERROR(LOOKUP(2,1/('Outreach Log'!$E$2:$E$9998=B491),'Outreach Log'!$B$2:$B$9998),"")</f>
        <v/>
      </c>
      <c r="K491" s="5">
        <f>COUNTIF('Outreach Log'!$E:$E,B491)</f>
        <v>0</v>
      </c>
    </row>
    <row r="492" spans="1:11" ht="15" customHeight="1">
      <c r="A492" s="43">
        <f>IF(tblCompanies[[#This Row],[Company Name]]&lt;&gt;0,ROW()-1,"")</f>
        <v>491</v>
      </c>
      <c r="B492" s="3" t="s">
        <v>3175</v>
      </c>
      <c r="D492" s="44" t="s">
        <v>3000</v>
      </c>
      <c r="E492" s="47"/>
      <c r="F492" s="10" t="s">
        <v>2824</v>
      </c>
      <c r="G492" s="41"/>
      <c r="H492" s="3" t="s">
        <v>3003</v>
      </c>
      <c r="I492" s="42" t="s">
        <v>3176</v>
      </c>
      <c r="J492" s="7" t="str">
        <f>IFERROR(LOOKUP(2,1/('Outreach Log'!$E$2:$E$9998=B492),'Outreach Log'!$B$2:$B$9998),"")</f>
        <v/>
      </c>
      <c r="K492" s="5">
        <f>COUNTIF('Outreach Log'!$E:$E,B492)</f>
        <v>0</v>
      </c>
    </row>
    <row r="493" spans="1:11" ht="15" customHeight="1">
      <c r="A493" s="43">
        <f>IF(tblCompanies[[#This Row],[Company Name]]&lt;&gt;0,ROW()-1,"")</f>
        <v>492</v>
      </c>
      <c r="B493" s="3" t="s">
        <v>3177</v>
      </c>
      <c r="D493" s="44" t="s">
        <v>3000</v>
      </c>
      <c r="E493" s="45" t="s">
        <v>474</v>
      </c>
      <c r="F493" s="10" t="s">
        <v>2824</v>
      </c>
      <c r="G493" s="39"/>
      <c r="H493" s="3" t="s">
        <v>3003</v>
      </c>
      <c r="I493" s="42" t="s">
        <v>3178</v>
      </c>
      <c r="J493" s="7" t="str">
        <f>IFERROR(LOOKUP(2,1/('Outreach Log'!$E$2:$E$9998=B493),'Outreach Log'!$B$2:$B$9998),"")</f>
        <v/>
      </c>
      <c r="K493" s="5">
        <f>COUNTIF('Outreach Log'!$E:$E,B493)</f>
        <v>0</v>
      </c>
    </row>
    <row r="494" spans="1:11" ht="15" customHeight="1">
      <c r="A494" s="43">
        <f>IF(tblCompanies[[#This Row],[Company Name]]&lt;&gt;0,ROW()-1,"")</f>
        <v>493</v>
      </c>
      <c r="B494" s="3" t="s">
        <v>3179</v>
      </c>
      <c r="D494" s="44" t="s">
        <v>3000</v>
      </c>
      <c r="E494" s="45"/>
      <c r="F494" s="10" t="s">
        <v>2824</v>
      </c>
      <c r="G494" s="39"/>
      <c r="H494" s="3" t="s">
        <v>3003</v>
      </c>
      <c r="I494" s="42" t="s">
        <v>3180</v>
      </c>
      <c r="J494" s="7">
        <f>IFERROR(LOOKUP(2,1/('Outreach Log'!$E$2:$E$9998=B494),'Outreach Log'!$B$2:$B$9998),"")</f>
        <v>46104</v>
      </c>
      <c r="K494" s="5">
        <f>COUNTIF('Outreach Log'!$E:$E,B494)</f>
        <v>1</v>
      </c>
    </row>
    <row r="495" spans="1:11" ht="15" customHeight="1">
      <c r="A495" s="9">
        <f>IF(tblCompanies[[#This Row],[Company Name]]&lt;&gt;0,ROW()-1,"")</f>
        <v>494</v>
      </c>
      <c r="B495" s="10" t="s">
        <v>2173</v>
      </c>
      <c r="C495" s="10" t="s">
        <v>1</v>
      </c>
      <c r="D495" s="10" t="s">
        <v>2171</v>
      </c>
      <c r="E495" s="10" t="s">
        <v>39</v>
      </c>
      <c r="F495" s="10" t="s">
        <v>2824</v>
      </c>
      <c r="G495" s="10" t="s">
        <v>2618</v>
      </c>
      <c r="H495" s="10"/>
      <c r="I495" s="10" t="s">
        <v>2619</v>
      </c>
      <c r="J495" s="7" t="str">
        <f>IFERROR(LOOKUP(2,1/('Outreach Log'!$E$2:$E$9998=B495),'Outreach Log'!$B$2:$B$9998),"")</f>
        <v/>
      </c>
      <c r="K495" s="5">
        <f>COUNTIF('Outreach Log'!$E:$E,B495)</f>
        <v>0</v>
      </c>
    </row>
    <row r="496" spans="1:11" ht="15" customHeight="1">
      <c r="A496" s="9">
        <f>IF(tblCompanies[[#This Row],[Company Name]]&lt;&gt;0,ROW()-1,"")</f>
        <v>495</v>
      </c>
      <c r="B496" s="10" t="s">
        <v>593</v>
      </c>
      <c r="C496" s="10" t="s">
        <v>5</v>
      </c>
      <c r="D496" s="10" t="s">
        <v>2171</v>
      </c>
      <c r="E496" s="10"/>
      <c r="F496" s="10" t="s">
        <v>2824</v>
      </c>
      <c r="G496" s="10" t="s">
        <v>2712</v>
      </c>
      <c r="H496" s="10"/>
      <c r="I496" s="10" t="s">
        <v>2730</v>
      </c>
      <c r="J496" s="7">
        <f>IFERROR(LOOKUP(2,1/('Outreach Log'!$E$2:$E$9998=B496),'Outreach Log'!$B$2:$B$9998),"")</f>
        <v>46126</v>
      </c>
      <c r="K496" s="5">
        <f>COUNTIF('Outreach Log'!$E:$E,B496)</f>
        <v>1</v>
      </c>
    </row>
    <row r="497" spans="1:11" ht="15" customHeight="1">
      <c r="A497" s="9">
        <f>IF(tblCompanies[[#This Row],[Company Name]]&lt;&gt;0,ROW()-1,"")</f>
        <v>496</v>
      </c>
      <c r="B497" s="10" t="s">
        <v>2215</v>
      </c>
      <c r="C497" s="10" t="s">
        <v>6</v>
      </c>
      <c r="D497" s="10" t="s">
        <v>2171</v>
      </c>
      <c r="E497" s="10" t="s">
        <v>160</v>
      </c>
      <c r="F497" s="10" t="s">
        <v>2824</v>
      </c>
      <c r="G497" s="10" t="s">
        <v>138</v>
      </c>
      <c r="H497" s="10"/>
      <c r="I497" s="10" t="s">
        <v>2736</v>
      </c>
      <c r="J497" s="7" t="str">
        <f>IFERROR(LOOKUP(2,1/('Outreach Log'!$E$2:$E$9998=B497),'Outreach Log'!$B$2:$B$9998),"")</f>
        <v/>
      </c>
      <c r="K497" s="5">
        <f>COUNTIF('Outreach Log'!$E:$E,B497)</f>
        <v>0</v>
      </c>
    </row>
    <row r="498" spans="1:11" ht="15" customHeight="1">
      <c r="A498" s="9">
        <f>IF(tblCompanies[[#This Row],[Company Name]]&lt;&gt;0,ROW()-1,"")</f>
        <v>497</v>
      </c>
      <c r="B498" s="10" t="s">
        <v>684</v>
      </c>
      <c r="C498" s="10" t="s">
        <v>8</v>
      </c>
      <c r="D498" s="10" t="s">
        <v>2171</v>
      </c>
      <c r="E498" s="10" t="s">
        <v>685</v>
      </c>
      <c r="F498" s="10" t="s">
        <v>2824</v>
      </c>
      <c r="G498" s="10" t="s">
        <v>138</v>
      </c>
      <c r="H498" s="10"/>
      <c r="I498" s="10" t="s">
        <v>30</v>
      </c>
      <c r="J498" s="7" t="str">
        <f>IFERROR(LOOKUP(2,1/('Outreach Log'!$E$2:$E$9998=B498),'Outreach Log'!$B$2:$B$9998),"")</f>
        <v/>
      </c>
      <c r="K498" s="5">
        <f>COUNTIF('Outreach Log'!$E:$E,B498)</f>
        <v>0</v>
      </c>
    </row>
    <row r="499" spans="1:11" ht="15" customHeight="1">
      <c r="A499" s="9">
        <f>IF(tblCompanies[[#This Row],[Company Name]]&lt;&gt;0,ROW()-1,"")</f>
        <v>498</v>
      </c>
      <c r="B499" s="10" t="s">
        <v>2319</v>
      </c>
      <c r="C499" s="10" t="s">
        <v>3</v>
      </c>
      <c r="D499" s="10" t="s">
        <v>2171</v>
      </c>
      <c r="E499" s="10" t="s">
        <v>442</v>
      </c>
      <c r="F499" s="10" t="s">
        <v>2824</v>
      </c>
      <c r="G499" s="10" t="s">
        <v>2756</v>
      </c>
      <c r="H499" s="10"/>
      <c r="I499" s="10" t="s">
        <v>2764</v>
      </c>
      <c r="J499" s="7" t="str">
        <f>IFERROR(LOOKUP(2,1/('Outreach Log'!$E$2:$E$9998=B499),'Outreach Log'!$B$2:$B$9998),"")</f>
        <v/>
      </c>
      <c r="K499" s="5">
        <f>COUNTIF('Outreach Log'!$E:$E,B499)</f>
        <v>0</v>
      </c>
    </row>
    <row r="500" spans="1:11" ht="15" customHeight="1">
      <c r="A500" s="9">
        <f>IF(tblCompanies[[#This Row],[Company Name]]&lt;&gt;0,ROW()-1,"")</f>
        <v>499</v>
      </c>
      <c r="B500" s="10" t="s">
        <v>506</v>
      </c>
      <c r="C500" s="10" t="s">
        <v>1</v>
      </c>
      <c r="D500" s="10" t="s">
        <v>2171</v>
      </c>
      <c r="E500" s="10" t="s">
        <v>507</v>
      </c>
      <c r="F500" s="10" t="s">
        <v>2824</v>
      </c>
      <c r="G500" s="10" t="s">
        <v>2797</v>
      </c>
      <c r="H500" s="10"/>
      <c r="I500" s="10" t="s">
        <v>2799</v>
      </c>
      <c r="J500" s="7">
        <f>IFERROR(LOOKUP(2,1/('Outreach Log'!$E$2:$E$9998=B500),'Outreach Log'!$B$2:$B$9998),"")</f>
        <v>46126</v>
      </c>
      <c r="K500" s="5">
        <f>COUNTIF('Outreach Log'!$E:$E,B500)</f>
        <v>1</v>
      </c>
    </row>
    <row r="501" spans="1:11" ht="15" customHeight="1">
      <c r="A501" s="9">
        <f>IF(tblCompanies[[#This Row],[Company Name]]&lt;&gt;0,ROW()-1,"")</f>
        <v>500</v>
      </c>
      <c r="B501" s="10" t="s">
        <v>2199</v>
      </c>
      <c r="C501" s="10" t="s">
        <v>5</v>
      </c>
      <c r="D501" s="10" t="s">
        <v>2171</v>
      </c>
      <c r="E501" s="10"/>
      <c r="F501" s="10" t="s">
        <v>2824</v>
      </c>
      <c r="G501" s="10" t="s">
        <v>2712</v>
      </c>
      <c r="H501" s="10"/>
      <c r="I501" s="10" t="s">
        <v>2718</v>
      </c>
      <c r="J501" s="7">
        <f>IFERROR(LOOKUP(2,1/('Outreach Log'!$E$2:$E$9998=B501),'Outreach Log'!$B$2:$B$9998),"")</f>
        <v>46126</v>
      </c>
      <c r="K501" s="5">
        <f>COUNTIF('Outreach Log'!$E:$E,B501)</f>
        <v>1</v>
      </c>
    </row>
    <row r="502" spans="1:11" ht="15" customHeight="1">
      <c r="A502" s="9">
        <f>IF(tblCompanies[[#This Row],[Company Name]]&lt;&gt;0,ROW()-1,"")</f>
        <v>501</v>
      </c>
      <c r="B502" s="10" t="s">
        <v>2345</v>
      </c>
      <c r="C502" s="10" t="s">
        <v>3</v>
      </c>
      <c r="D502" s="10" t="s">
        <v>2171</v>
      </c>
      <c r="E502" s="10" t="s">
        <v>510</v>
      </c>
      <c r="F502" s="10" t="s">
        <v>2824</v>
      </c>
      <c r="G502" s="10" t="s">
        <v>2777</v>
      </c>
      <c r="H502" s="10"/>
      <c r="I502" s="10" t="s">
        <v>2788</v>
      </c>
      <c r="J502" s="7" t="str">
        <f>IFERROR(LOOKUP(2,1/('Outreach Log'!$E$2:$E$9998=B502),'Outreach Log'!$B$2:$B$9998),"")</f>
        <v/>
      </c>
      <c r="K502" s="5">
        <f>COUNTIF('Outreach Log'!$E:$E,B502)</f>
        <v>0</v>
      </c>
    </row>
    <row r="503" spans="1:11" ht="15" customHeight="1">
      <c r="A503" s="9">
        <f>IF(tblCompanies[[#This Row],[Company Name]]&lt;&gt;0,ROW()-1,"")</f>
        <v>502</v>
      </c>
      <c r="B503" s="10" t="s">
        <v>2214</v>
      </c>
      <c r="C503" s="10" t="s">
        <v>3</v>
      </c>
      <c r="D503" s="10" t="s">
        <v>2171</v>
      </c>
      <c r="E503" s="10" t="s">
        <v>156</v>
      </c>
      <c r="F503" s="10" t="s">
        <v>2824</v>
      </c>
      <c r="G503" s="10" t="s">
        <v>2604</v>
      </c>
      <c r="H503" s="10"/>
      <c r="I503" s="10" t="s">
        <v>2607</v>
      </c>
      <c r="J503" s="7">
        <f>IFERROR(LOOKUP(2,1/('Outreach Log'!$E$2:$E$9998=B503),'Outreach Log'!$B$2:$B$9998),"")</f>
        <v>46126</v>
      </c>
      <c r="K503" s="5">
        <f>COUNTIF('Outreach Log'!$E:$E,B503)</f>
        <v>1</v>
      </c>
    </row>
    <row r="504" spans="1:11" ht="15" customHeight="1">
      <c r="A504" s="9">
        <f>IF(tblCompanies[[#This Row],[Company Name]]&lt;&gt;0,ROW()-1,"")</f>
        <v>503</v>
      </c>
      <c r="B504" s="10" t="s">
        <v>242</v>
      </c>
      <c r="C504" s="10" t="s">
        <v>4</v>
      </c>
      <c r="D504" s="10" t="s">
        <v>2171</v>
      </c>
      <c r="E504" s="10" t="s">
        <v>243</v>
      </c>
      <c r="F504" s="10" t="s">
        <v>2824</v>
      </c>
      <c r="G504" s="10" t="s">
        <v>2696</v>
      </c>
      <c r="H504" s="10"/>
      <c r="I504" s="10" t="s">
        <v>2700</v>
      </c>
      <c r="J504" s="7">
        <f>IFERROR(LOOKUP(2,1/('Outreach Log'!$E$2:$E$9998=B504),'Outreach Log'!$B$2:$B$9998),"")</f>
        <v>46126</v>
      </c>
      <c r="K504" s="5">
        <f>COUNTIF('Outreach Log'!$E:$E,B504)</f>
        <v>1</v>
      </c>
    </row>
    <row r="505" spans="1:11" ht="15" customHeight="1">
      <c r="A505" s="9">
        <f>IF(tblCompanies[[#This Row],[Company Name]]&lt;&gt;0,ROW()-1,"")</f>
        <v>504</v>
      </c>
      <c r="B505" s="10" t="s">
        <v>710</v>
      </c>
      <c r="C505" s="10" t="s">
        <v>8</v>
      </c>
      <c r="D505" s="10" t="s">
        <v>2171</v>
      </c>
      <c r="E505" s="10" t="s">
        <v>711</v>
      </c>
      <c r="F505" s="10" t="s">
        <v>2824</v>
      </c>
      <c r="G505" s="10" t="s">
        <v>138</v>
      </c>
      <c r="H505" s="10"/>
      <c r="I505" s="10" t="s">
        <v>2743</v>
      </c>
      <c r="J505" s="7" t="str">
        <f>IFERROR(LOOKUP(2,1/('Outreach Log'!$E$2:$E$9998=B505),'Outreach Log'!$B$2:$B$9998),"")</f>
        <v/>
      </c>
      <c r="K505" s="5">
        <f>COUNTIF('Outreach Log'!$E:$E,B505)</f>
        <v>0</v>
      </c>
    </row>
    <row r="506" spans="1:11" ht="15" customHeight="1">
      <c r="A506" s="9">
        <f>IF(tblCompanies[[#This Row],[Company Name]]&lt;&gt;0,ROW()-1,"")</f>
        <v>505</v>
      </c>
      <c r="B506" s="10" t="s">
        <v>2362</v>
      </c>
      <c r="C506" s="10" t="s">
        <v>1</v>
      </c>
      <c r="D506" s="10" t="s">
        <v>2171</v>
      </c>
      <c r="E506" s="10" t="s">
        <v>559</v>
      </c>
      <c r="F506" s="10" t="s">
        <v>2824</v>
      </c>
      <c r="G506" s="10" t="s">
        <v>2573</v>
      </c>
      <c r="H506" s="10"/>
      <c r="I506" s="10" t="s">
        <v>2597</v>
      </c>
      <c r="J506" s="7" t="str">
        <f>IFERROR(LOOKUP(2,1/('Outreach Log'!$E$2:$E$9998=B506),'Outreach Log'!$B$2:$B$9998),"")</f>
        <v/>
      </c>
      <c r="K506" s="5">
        <f>COUNTIF('Outreach Log'!$E:$E,B506)</f>
        <v>0</v>
      </c>
    </row>
    <row r="507" spans="1:11" ht="15" customHeight="1">
      <c r="A507" s="9">
        <f>IF(tblCompanies[[#This Row],[Company Name]]&lt;&gt;0,ROW()-1,"")</f>
        <v>506</v>
      </c>
      <c r="B507" s="10" t="s">
        <v>716</v>
      </c>
      <c r="C507" s="10" t="s">
        <v>6</v>
      </c>
      <c r="D507" s="10" t="s">
        <v>2171</v>
      </c>
      <c r="E507" s="10" t="s">
        <v>717</v>
      </c>
      <c r="F507" s="10" t="s">
        <v>2824</v>
      </c>
      <c r="G507" s="10" t="s">
        <v>2702</v>
      </c>
      <c r="H507" s="10"/>
      <c r="I507" s="10" t="s">
        <v>2710</v>
      </c>
      <c r="J507" s="7">
        <f>IFERROR(LOOKUP(2,1/('Outreach Log'!$E$2:$E$9998=B507),'Outreach Log'!$B$2:$B$9998),"")</f>
        <v>46126</v>
      </c>
      <c r="K507" s="5">
        <f>COUNTIF('Outreach Log'!$E:$E,B507)</f>
        <v>1</v>
      </c>
    </row>
    <row r="508" spans="1:11" ht="15" customHeight="1">
      <c r="A508" s="9">
        <f>IF(tblCompanies[[#This Row],[Company Name]]&lt;&gt;0,ROW()-1,"")</f>
        <v>507</v>
      </c>
      <c r="B508" s="10" t="s">
        <v>654</v>
      </c>
      <c r="C508" s="10" t="s">
        <v>1</v>
      </c>
      <c r="D508" s="10" t="s">
        <v>2171</v>
      </c>
      <c r="E508" s="10" t="s">
        <v>655</v>
      </c>
      <c r="F508" s="10" t="s">
        <v>2824</v>
      </c>
      <c r="G508" s="10" t="s">
        <v>2573</v>
      </c>
      <c r="H508" s="10"/>
      <c r="I508" s="10" t="s">
        <v>2602</v>
      </c>
      <c r="J508" s="7">
        <f>IFERROR(LOOKUP(2,1/('Outreach Log'!$E$2:$E$9998=B508),'Outreach Log'!$B$2:$B$9998),"")</f>
        <v>46126</v>
      </c>
      <c r="K508" s="5">
        <f>COUNTIF('Outreach Log'!$E:$E,B508)</f>
        <v>1</v>
      </c>
    </row>
    <row r="509" spans="1:11" ht="15" customHeight="1">
      <c r="A509" s="9">
        <f>IF(tblCompanies[[#This Row],[Company Name]]&lt;&gt;0,ROW()-1,"")</f>
        <v>508</v>
      </c>
      <c r="B509" s="10" t="s">
        <v>2407</v>
      </c>
      <c r="C509" s="10" t="s">
        <v>4</v>
      </c>
      <c r="D509" s="10" t="s">
        <v>2171</v>
      </c>
      <c r="E509" s="10" t="s">
        <v>671</v>
      </c>
      <c r="F509" s="10" t="s">
        <v>2824</v>
      </c>
      <c r="G509" s="10" t="s">
        <v>138</v>
      </c>
      <c r="H509" s="10"/>
      <c r="I509" s="10" t="s">
        <v>2741</v>
      </c>
      <c r="J509" s="7">
        <f>IFERROR(LOOKUP(2,1/('Outreach Log'!$E$2:$E$9998=B509),'Outreach Log'!$B$2:$B$9998),"")</f>
        <v>46126</v>
      </c>
      <c r="K509" s="5">
        <f>COUNTIF('Outreach Log'!$E:$E,B509)</f>
        <v>1</v>
      </c>
    </row>
    <row r="510" spans="1:11" ht="15" customHeight="1">
      <c r="A510" s="9">
        <f>IF(tblCompanies[[#This Row],[Company Name]]&lt;&gt;0,ROW()-1,"")</f>
        <v>509</v>
      </c>
      <c r="B510" s="10" t="s">
        <v>549</v>
      </c>
      <c r="C510" s="10" t="s">
        <v>3</v>
      </c>
      <c r="D510" s="10" t="s">
        <v>2171</v>
      </c>
      <c r="E510" s="10" t="s">
        <v>550</v>
      </c>
      <c r="F510" s="10" t="s">
        <v>2824</v>
      </c>
      <c r="G510" s="10" t="s">
        <v>2618</v>
      </c>
      <c r="H510" s="10"/>
      <c r="I510" s="10" t="s">
        <v>2634</v>
      </c>
      <c r="J510" s="7" t="str">
        <f>IFERROR(LOOKUP(2,1/('Outreach Log'!$E$2:$E$9998=B510),'Outreach Log'!$B$2:$B$9998),"")</f>
        <v/>
      </c>
      <c r="K510" s="5">
        <f>COUNTIF('Outreach Log'!$E:$E,B510)</f>
        <v>0</v>
      </c>
    </row>
    <row r="511" spans="1:11" ht="15" customHeight="1">
      <c r="A511" s="9">
        <f>IF(tblCompanies[[#This Row],[Company Name]]&lt;&gt;0,ROW()-1,"")</f>
        <v>510</v>
      </c>
      <c r="B511" s="10" t="s">
        <v>2238</v>
      </c>
      <c r="C511" s="10" t="s">
        <v>0</v>
      </c>
      <c r="D511" s="10" t="s">
        <v>2171</v>
      </c>
      <c r="E511" s="10" t="s">
        <v>212</v>
      </c>
      <c r="F511" s="10" t="s">
        <v>2824</v>
      </c>
      <c r="G511" s="10" t="s">
        <v>2702</v>
      </c>
      <c r="H511" s="10"/>
      <c r="I511" s="10" t="s">
        <v>213</v>
      </c>
      <c r="J511" s="7" t="str">
        <f>IFERROR(LOOKUP(2,1/('Outreach Log'!$E$2:$E$9998=B511),'Outreach Log'!$B$2:$B$9998),"")</f>
        <v/>
      </c>
      <c r="K511" s="5">
        <f>COUNTIF('Outreach Log'!$E:$E,B511)</f>
        <v>0</v>
      </c>
    </row>
    <row r="512" spans="1:11" ht="15" customHeight="1">
      <c r="A512" s="9">
        <f>IF(tblCompanies[[#This Row],[Company Name]]&lt;&gt;0,ROW()-1,"")</f>
        <v>511</v>
      </c>
      <c r="B512" s="10" t="s">
        <v>2220</v>
      </c>
      <c r="C512" s="10" t="s">
        <v>1</v>
      </c>
      <c r="D512" s="10" t="s">
        <v>2171</v>
      </c>
      <c r="E512" s="10" t="s">
        <v>180</v>
      </c>
      <c r="F512" s="10" t="s">
        <v>2824</v>
      </c>
      <c r="G512" s="10" t="s">
        <v>46</v>
      </c>
      <c r="H512" s="10"/>
      <c r="I512" s="10" t="s">
        <v>2510</v>
      </c>
      <c r="J512" s="7" t="str">
        <f>IFERROR(LOOKUP(2,1/('Outreach Log'!$E$2:$E$9998=B512),'Outreach Log'!$B$2:$B$9998),"")</f>
        <v/>
      </c>
      <c r="K512" s="5">
        <f>COUNTIF('Outreach Log'!$E:$E,B512)</f>
        <v>0</v>
      </c>
    </row>
    <row r="513" spans="1:11" ht="15" customHeight="1">
      <c r="A513" s="9">
        <f>IF(tblCompanies[[#This Row],[Company Name]]&lt;&gt;0,ROW()-1,"")</f>
        <v>512</v>
      </c>
      <c r="B513" s="10" t="s">
        <v>2359</v>
      </c>
      <c r="C513" s="10" t="s">
        <v>4</v>
      </c>
      <c r="D513" s="10" t="s">
        <v>2171</v>
      </c>
      <c r="E513" s="10" t="s">
        <v>113</v>
      </c>
      <c r="F513" s="10" t="s">
        <v>2824</v>
      </c>
      <c r="G513" s="10" t="s">
        <v>2690</v>
      </c>
      <c r="H513" s="10"/>
      <c r="I513" s="10" t="s">
        <v>2691</v>
      </c>
      <c r="J513" s="7" t="str">
        <f>IFERROR(LOOKUP(2,1/('Outreach Log'!$E$2:$E$9998=B513),'Outreach Log'!$B$2:$B$9998),"")</f>
        <v/>
      </c>
      <c r="K513" s="5">
        <f>COUNTIF('Outreach Log'!$E:$E,B513)</f>
        <v>0</v>
      </c>
    </row>
    <row r="514" spans="1:11" ht="15" customHeight="1">
      <c r="A514" s="9">
        <f>IF(tblCompanies[[#This Row],[Company Name]]&lt;&gt;0,ROW()-1,"")</f>
        <v>513</v>
      </c>
      <c r="B514" s="10" t="s">
        <v>116</v>
      </c>
      <c r="C514" s="10" t="s">
        <v>0</v>
      </c>
      <c r="D514" s="10" t="s">
        <v>2171</v>
      </c>
      <c r="E514" s="10" t="s">
        <v>117</v>
      </c>
      <c r="F514" s="10" t="s">
        <v>2824</v>
      </c>
      <c r="G514" s="10" t="s">
        <v>46</v>
      </c>
      <c r="H514" s="10"/>
      <c r="I514" s="10" t="s">
        <v>2509</v>
      </c>
      <c r="J514" s="7" t="str">
        <f>IFERROR(LOOKUP(2,1/('Outreach Log'!$E$2:$E$9998=B514),'Outreach Log'!$B$2:$B$9998),"")</f>
        <v/>
      </c>
      <c r="K514" s="5">
        <f>COUNTIF('Outreach Log'!$E:$E,B514)</f>
        <v>0</v>
      </c>
    </row>
    <row r="515" spans="1:11" ht="15" customHeight="1">
      <c r="A515" s="9">
        <f>IF(tblCompanies[[#This Row],[Company Name]]&lt;&gt;0,ROW()-1,"")</f>
        <v>514</v>
      </c>
      <c r="B515" s="10" t="s">
        <v>2187</v>
      </c>
      <c r="C515" s="10" t="s">
        <v>3</v>
      </c>
      <c r="D515" s="10" t="s">
        <v>2171</v>
      </c>
      <c r="E515" s="10" t="s">
        <v>74</v>
      </c>
      <c r="F515" s="10" t="s">
        <v>2824</v>
      </c>
      <c r="G515" s="10" t="s">
        <v>2618</v>
      </c>
      <c r="H515" s="10"/>
      <c r="I515" s="10" t="s">
        <v>75</v>
      </c>
      <c r="J515" s="7">
        <f>IFERROR(LOOKUP(2,1/('Outreach Log'!$E$2:$E$9998=B515),'Outreach Log'!$B$2:$B$9998),"")</f>
        <v>46126</v>
      </c>
      <c r="K515" s="5">
        <f>COUNTIF('Outreach Log'!$E:$E,B515)</f>
        <v>1</v>
      </c>
    </row>
    <row r="516" spans="1:11" ht="15" customHeight="1">
      <c r="A516" s="9">
        <f>IF(tblCompanies[[#This Row],[Company Name]]&lt;&gt;0,ROW()-1,"")</f>
        <v>515</v>
      </c>
      <c r="B516" s="10" t="s">
        <v>547</v>
      </c>
      <c r="C516" s="10" t="s">
        <v>0</v>
      </c>
      <c r="D516" s="10" t="s">
        <v>2171</v>
      </c>
      <c r="E516" s="10" t="s">
        <v>548</v>
      </c>
      <c r="F516" s="10" t="s">
        <v>2824</v>
      </c>
      <c r="G516" s="10" t="s">
        <v>2604</v>
      </c>
      <c r="H516" s="10"/>
      <c r="I516" s="10" t="s">
        <v>2613</v>
      </c>
      <c r="J516" s="7">
        <f>IFERROR(LOOKUP(2,1/('Outreach Log'!$E$2:$E$9998=B516),'Outreach Log'!$B$2:$B$9998),"")</f>
        <v>46126</v>
      </c>
      <c r="K516" s="5">
        <f>COUNTIF('Outreach Log'!$E:$E,B516)</f>
        <v>1</v>
      </c>
    </row>
    <row r="517" spans="1:11" ht="15" customHeight="1">
      <c r="A517" s="9">
        <f>IF(tblCompanies[[#This Row],[Company Name]]&lt;&gt;0,ROW()-1,"")</f>
        <v>516</v>
      </c>
      <c r="B517" s="10" t="s">
        <v>383</v>
      </c>
      <c r="C517" s="10" t="s">
        <v>3</v>
      </c>
      <c r="D517" s="10" t="s">
        <v>2171</v>
      </c>
      <c r="E517" s="10" t="s">
        <v>384</v>
      </c>
      <c r="F517" s="10" t="s">
        <v>2824</v>
      </c>
      <c r="G517" s="10" t="s">
        <v>46</v>
      </c>
      <c r="H517" s="10"/>
      <c r="I517" s="10" t="s">
        <v>2515</v>
      </c>
      <c r="J517" s="7" t="str">
        <f>IFERROR(LOOKUP(2,1/('Outreach Log'!$E$2:$E$9998=B517),'Outreach Log'!$B$2:$B$9998),"")</f>
        <v/>
      </c>
      <c r="K517" s="5">
        <f>COUNTIF('Outreach Log'!$E:$E,B517)</f>
        <v>0</v>
      </c>
    </row>
    <row r="518" spans="1:11" ht="15" customHeight="1">
      <c r="A518" s="9">
        <f>IF(tblCompanies[[#This Row],[Company Name]]&lt;&gt;0,ROW()-1,"")</f>
        <v>517</v>
      </c>
      <c r="B518" s="10" t="s">
        <v>515</v>
      </c>
      <c r="C518" s="10" t="s">
        <v>1</v>
      </c>
      <c r="D518" s="10" t="s">
        <v>2171</v>
      </c>
      <c r="E518" s="10" t="s">
        <v>516</v>
      </c>
      <c r="F518" s="10" t="s">
        <v>2824</v>
      </c>
      <c r="G518" s="10" t="s">
        <v>2533</v>
      </c>
      <c r="H518" s="10"/>
      <c r="I518" s="10" t="s">
        <v>2534</v>
      </c>
      <c r="J518" s="7" t="str">
        <f>IFERROR(LOOKUP(2,1/('Outreach Log'!$E$2:$E$9998=B518),'Outreach Log'!$B$2:$B$9998),"")</f>
        <v/>
      </c>
      <c r="K518" s="5">
        <f>COUNTIF('Outreach Log'!$E:$E,B518)</f>
        <v>0</v>
      </c>
    </row>
    <row r="519" spans="1:11" ht="15" customHeight="1">
      <c r="A519" s="9">
        <f>IF(tblCompanies[[#This Row],[Company Name]]&lt;&gt;0,ROW()-1,"")</f>
        <v>518</v>
      </c>
      <c r="B519" s="10" t="s">
        <v>666</v>
      </c>
      <c r="C519" s="10" t="s">
        <v>3</v>
      </c>
      <c r="D519" s="10" t="s">
        <v>2171</v>
      </c>
      <c r="E519" s="10" t="s">
        <v>667</v>
      </c>
      <c r="F519" s="10" t="s">
        <v>2824</v>
      </c>
      <c r="G519" s="10" t="s">
        <v>2604</v>
      </c>
      <c r="H519" s="10"/>
      <c r="I519" s="10" t="s">
        <v>668</v>
      </c>
      <c r="J519" s="7" t="str">
        <f>IFERROR(LOOKUP(2,1/('Outreach Log'!$E$2:$E$9998=B519),'Outreach Log'!$B$2:$B$9998),"")</f>
        <v/>
      </c>
      <c r="K519" s="5">
        <f>COUNTIF('Outreach Log'!$E:$E,B519)</f>
        <v>0</v>
      </c>
    </row>
    <row r="520" spans="1:11" ht="15" customHeight="1">
      <c r="A520" s="43">
        <f>IF(tblCompanies[[#This Row],[Company Name]]&lt;&gt;0,ROW()-1,"")</f>
        <v>519</v>
      </c>
      <c r="B520" s="3" t="s">
        <v>3181</v>
      </c>
      <c r="D520" s="44" t="s">
        <v>3000</v>
      </c>
      <c r="E520" s="45" t="s">
        <v>3182</v>
      </c>
      <c r="F520" s="10" t="s">
        <v>2824</v>
      </c>
      <c r="G520" s="39"/>
      <c r="H520" s="3" t="s">
        <v>100</v>
      </c>
      <c r="I520" s="42" t="s">
        <v>3183</v>
      </c>
      <c r="J520" s="7" t="str">
        <f>IFERROR(LOOKUP(2,1/('Outreach Log'!$E$2:$E$9998=B520),'Outreach Log'!$B$2:$B$9998),"")</f>
        <v/>
      </c>
      <c r="K520" s="5">
        <f>COUNTIF('Outreach Log'!$E:$E,B520)</f>
        <v>0</v>
      </c>
    </row>
    <row r="521" spans="1:11" ht="15" customHeight="1">
      <c r="A521" s="43">
        <f>IF(tblCompanies[[#This Row],[Company Name]]&lt;&gt;0,ROW()-1,"")</f>
        <v>520</v>
      </c>
      <c r="B521" s="3" t="s">
        <v>3184</v>
      </c>
      <c r="D521" s="44" t="s">
        <v>3000</v>
      </c>
      <c r="E521" s="45" t="s">
        <v>3185</v>
      </c>
      <c r="F521" s="10" t="s">
        <v>2824</v>
      </c>
      <c r="G521" s="39"/>
      <c r="H521" s="3" t="s">
        <v>37</v>
      </c>
      <c r="I521" s="42" t="s">
        <v>3186</v>
      </c>
      <c r="J521" s="7" t="str">
        <f>IFERROR(LOOKUP(2,1/('Outreach Log'!$E$2:$E$9998=B521),'Outreach Log'!$B$2:$B$9998),"")</f>
        <v/>
      </c>
      <c r="K521" s="5">
        <f>COUNTIF('Outreach Log'!$E:$E,B521)</f>
        <v>0</v>
      </c>
    </row>
    <row r="522" spans="1:11" ht="15" customHeight="1">
      <c r="A522" s="9">
        <f>IF(tblCompanies[[#This Row],[Company Name]]&lt;&gt;0,ROW()-1,"")</f>
        <v>521</v>
      </c>
      <c r="B522" s="10" t="s">
        <v>2348</v>
      </c>
      <c r="C522" s="10" t="s">
        <v>3</v>
      </c>
      <c r="D522" s="10" t="s">
        <v>2171</v>
      </c>
      <c r="E522" s="10" t="s">
        <v>514</v>
      </c>
      <c r="F522" s="10" t="s">
        <v>2824</v>
      </c>
      <c r="G522" s="10" t="s">
        <v>50</v>
      </c>
      <c r="H522" s="10"/>
      <c r="I522" s="10" t="s">
        <v>2553</v>
      </c>
      <c r="J522" s="7">
        <f>IFERROR(LOOKUP(2,1/('Outreach Log'!$E$2:$E$9998=B522),'Outreach Log'!$B$2:$B$9998),"")</f>
        <v>46126</v>
      </c>
      <c r="K522" s="5">
        <f>COUNTIF('Outreach Log'!$E:$E,B522)</f>
        <v>1</v>
      </c>
    </row>
    <row r="523" spans="1:11" ht="15" customHeight="1">
      <c r="A523" s="9">
        <f>IF(tblCompanies[[#This Row],[Company Name]]&lt;&gt;0,ROW()-1,"")</f>
        <v>522</v>
      </c>
      <c r="B523" s="10" t="s">
        <v>2308</v>
      </c>
      <c r="C523" s="10" t="s">
        <v>3</v>
      </c>
      <c r="D523" s="10" t="s">
        <v>2171</v>
      </c>
      <c r="E523" s="10" t="s">
        <v>429</v>
      </c>
      <c r="F523" s="10" t="s">
        <v>2824</v>
      </c>
      <c r="G523" s="10" t="s">
        <v>430</v>
      </c>
      <c r="H523" s="10"/>
      <c r="I523" s="10" t="s">
        <v>2558</v>
      </c>
      <c r="J523" s="7">
        <f>IFERROR(LOOKUP(2,1/('Outreach Log'!$E$2:$E$9998=B523),'Outreach Log'!$B$2:$B$9998),"")</f>
        <v>46126</v>
      </c>
      <c r="K523" s="5">
        <f>COUNTIF('Outreach Log'!$E:$E,B523)</f>
        <v>1</v>
      </c>
    </row>
    <row r="524" spans="1:11" ht="15" customHeight="1">
      <c r="A524" s="9">
        <f>IF(tblCompanies[[#This Row],[Company Name]]&lt;&gt;0,ROW()-1,"")</f>
        <v>523</v>
      </c>
      <c r="B524" s="10" t="s">
        <v>2310</v>
      </c>
      <c r="C524" s="10" t="s">
        <v>3</v>
      </c>
      <c r="D524" s="10" t="s">
        <v>2171</v>
      </c>
      <c r="E524" s="10" t="s">
        <v>431</v>
      </c>
      <c r="F524" s="10" t="s">
        <v>2824</v>
      </c>
      <c r="G524" s="10" t="s">
        <v>46</v>
      </c>
      <c r="H524" s="10"/>
      <c r="I524" s="10" t="s">
        <v>2518</v>
      </c>
      <c r="J524" s="7">
        <f>IFERROR(LOOKUP(2,1/('Outreach Log'!$E$2:$E$9998=B524),'Outreach Log'!$B$2:$B$9998),"")</f>
        <v>46126</v>
      </c>
      <c r="K524" s="5">
        <f>COUNTIF('Outreach Log'!$E:$E,B524)</f>
        <v>1</v>
      </c>
    </row>
    <row r="525" spans="1:11" ht="15" customHeight="1">
      <c r="A525" s="9">
        <f>IF(tblCompanies[[#This Row],[Company Name]]&lt;&gt;0,ROW()-1,"")</f>
        <v>524</v>
      </c>
      <c r="B525" s="10" t="s">
        <v>2255</v>
      </c>
      <c r="C525" s="10" t="s">
        <v>3</v>
      </c>
      <c r="D525" s="10" t="s">
        <v>2171</v>
      </c>
      <c r="E525" s="10" t="s">
        <v>259</v>
      </c>
      <c r="F525" s="10" t="s">
        <v>2824</v>
      </c>
      <c r="G525" s="10" t="s">
        <v>2618</v>
      </c>
      <c r="H525" s="10"/>
      <c r="I525" s="10" t="s">
        <v>2623</v>
      </c>
      <c r="J525" s="7" t="str">
        <f>IFERROR(LOOKUP(2,1/('Outreach Log'!$E$2:$E$9998=B525),'Outreach Log'!$B$2:$B$9998),"")</f>
        <v/>
      </c>
      <c r="K525" s="5">
        <f>COUNTIF('Outreach Log'!$E:$E,B525)</f>
        <v>0</v>
      </c>
    </row>
    <row r="526" spans="1:11" ht="15" customHeight="1">
      <c r="A526" s="43">
        <f>IF(tblCompanies[[#This Row],[Company Name]]&lt;&gt;0,ROW()-1,"")</f>
        <v>525</v>
      </c>
      <c r="B526" s="3" t="s">
        <v>3384</v>
      </c>
      <c r="D526" s="44" t="s">
        <v>14</v>
      </c>
      <c r="F526" s="10" t="s">
        <v>2824</v>
      </c>
      <c r="H526" s="3" t="s">
        <v>100</v>
      </c>
      <c r="J526" s="7">
        <f>IFERROR(LOOKUP(2,1/('Outreach Log'!$E$2:$E$9998=B526),'Outreach Log'!$B$2:$B$9998),"")</f>
        <v>46117</v>
      </c>
      <c r="K526" s="5">
        <f>COUNTIF('Outreach Log'!$E:$E,B526)</f>
        <v>2</v>
      </c>
    </row>
  </sheetData>
  <conditionalFormatting sqref="B2:B526">
    <cfRule type="duplicateValues" dxfId="2" priority="63"/>
  </conditionalFormatting>
  <dataValidations count="2">
    <dataValidation type="list" allowBlank="1" sqref="C2:C526" xr:uid="{00000000-0002-0000-0100-000000000000}">
      <formula1>StageList</formula1>
      <formula2>0</formula2>
    </dataValidation>
    <dataValidation type="list" allowBlank="1" sqref="D2:D526" xr:uid="{00000000-0002-0000-0100-000001000000}">
      <formula1>SourceList</formula1>
      <formula2>0</formula2>
    </dataValidation>
  </dataValidations>
  <hyperlinks>
    <hyperlink ref="E157" r:id="rId1" xr:uid="{580DAE14-6285-4C49-BE35-75CB40E93896}"/>
    <hyperlink ref="E109" r:id="rId2" xr:uid="{4D3A75B7-041B-C544-8ACE-C42D40F05481}"/>
    <hyperlink ref="E171" r:id="rId3" xr:uid="{9F997FE5-5BB4-9343-96F0-644F3105E354}"/>
    <hyperlink ref="E111" r:id="rId4" xr:uid="{23AE1C1D-5439-2742-AB37-11BCF79B60E2}"/>
    <hyperlink ref="E112" r:id="rId5" xr:uid="{D951B396-8569-FE40-852D-D1F960524208}"/>
    <hyperlink ref="E207" r:id="rId6" xr:uid="{609C39BF-E6A2-F342-8FCA-7EEE49E48047}"/>
    <hyperlink ref="E113" r:id="rId7" xr:uid="{840B335F-52C5-6F4D-808E-D64A3FC9B258}"/>
    <hyperlink ref="E114" r:id="rId8" xr:uid="{8A1F1508-48AB-094E-932E-6C43433CC363}"/>
    <hyperlink ref="E230" r:id="rId9" xr:uid="{BE130B02-92A0-6945-91EF-A40A2244FE81}"/>
    <hyperlink ref="E116" r:id="rId10" xr:uid="{1FE972C6-5698-D94A-9E42-6307A21B2B20}"/>
    <hyperlink ref="E244" r:id="rId11" xr:uid="{46112A11-82E0-2E42-A385-23ED37D7B354}"/>
    <hyperlink ref="E118" r:id="rId12" xr:uid="{F6EB220A-DFCA-7443-B6BD-E76D10239BD2}"/>
    <hyperlink ref="E265" r:id="rId13" xr:uid="{019127C2-881F-8B43-B457-1C55C84D7056}"/>
    <hyperlink ref="E123" r:id="rId14" xr:uid="{0EECFCDB-2E66-9541-87CF-BB3ACFD11DA6}"/>
    <hyperlink ref="E273" r:id="rId15" xr:uid="{776B9C81-1931-014C-977C-D0A6D0D9B0F5}"/>
    <hyperlink ref="E124" r:id="rId16" xr:uid="{423F4830-DCC7-EF47-A2B8-A4E843BBE72D}"/>
    <hyperlink ref="E289" r:id="rId17" xr:uid="{FE208710-653E-BE41-A34F-A1720F498B82}"/>
    <hyperlink ref="E125" r:id="rId18" xr:uid="{86A94E89-23BE-0B48-8F52-BAD55EC32B1B}"/>
    <hyperlink ref="E126" r:id="rId19" xr:uid="{508DEECC-16EF-734C-8D90-C2FF2481E68A}"/>
    <hyperlink ref="E127" r:id="rId20" xr:uid="{BB06C185-D9C6-C843-83E8-6E09A800FB15}"/>
    <hyperlink ref="E326" r:id="rId21" xr:uid="{E43AA211-ED36-3C40-9B79-BB1F5A88619F}"/>
    <hyperlink ref="E129" r:id="rId22" xr:uid="{6211D49B-C853-FA40-A550-D9012D61E923}"/>
    <hyperlink ref="E335" r:id="rId23" xr:uid="{87E93BE1-B1DB-9741-A96A-A71940171B7F}"/>
    <hyperlink ref="E338" r:id="rId24" xr:uid="{7D9C46AB-7C49-7748-893A-C4336FE4AB42}"/>
    <hyperlink ref="E340" r:id="rId25" display="http://carmel-ltd.haifa.ac.il" xr:uid="{B1F09F03-FFFE-C744-9D8F-36ACFF5A8B35}"/>
    <hyperlink ref="E353" r:id="rId26" xr:uid="{6A2B3DE7-4D08-8643-A2DC-0750566481C0}"/>
    <hyperlink ref="E131" r:id="rId27" xr:uid="{9711F194-5D54-6144-A8E2-3263F24BADED}"/>
    <hyperlink ref="E365" r:id="rId28" xr:uid="{75E310E0-83F9-4C43-B944-43DA8CC5BB8E}"/>
    <hyperlink ref="E132" r:id="rId29" xr:uid="{CFB927DD-A6C6-2544-84F8-D44E3840911E}"/>
    <hyperlink ref="E373" r:id="rId30" xr:uid="{58BA1188-A892-D24D-8F87-E33CE83BE900}"/>
    <hyperlink ref="E382" r:id="rId31" xr:uid="{DA6EB1D4-8A46-884E-A4B5-31EFCC27FF6C}"/>
    <hyperlink ref="E133" r:id="rId32" xr:uid="{DB6093BD-12AD-AA4E-BEE3-EA2A4BDC9579}"/>
    <hyperlink ref="E134" r:id="rId33" xr:uid="{B102E7D3-6E27-2641-8B3E-B8A9D38A6F56}"/>
    <hyperlink ref="E407" r:id="rId34" xr:uid="{DE674B5D-E793-6E4D-80AF-87D50513B339}"/>
    <hyperlink ref="E415" r:id="rId35" xr:uid="{E490C4E0-7B5F-E842-91F8-CBABE39DE910}"/>
    <hyperlink ref="E418" r:id="rId36" xr:uid="{8109B8E8-62C3-D04F-BD3D-A2092D650BD7}"/>
    <hyperlink ref="E76" r:id="rId37" xr:uid="{D0A30F11-3557-F945-9371-31BACE197C65}"/>
    <hyperlink ref="E424" r:id="rId38" xr:uid="{3C012D74-A466-104F-90DB-B1366FBEA316}"/>
    <hyperlink ref="E438" r:id="rId39" xr:uid="{DD0FE42E-4AED-B449-8350-AD3F2BE94DFA}"/>
    <hyperlink ref="E445" r:id="rId40" xr:uid="{7F3D411A-006E-9E4C-BD8A-27176945EE6E}"/>
    <hyperlink ref="E449" r:id="rId41" xr:uid="{5F2F514A-9AB8-354C-A12A-A8662245BA9E}"/>
    <hyperlink ref="E140" r:id="rId42" xr:uid="{0981CF84-540E-4F4A-A3A6-579B5160E11E}"/>
    <hyperlink ref="E141" r:id="rId43" xr:uid="{4FB5C42C-87DB-434B-9C92-3FA16B638CA7}"/>
    <hyperlink ref="E462" r:id="rId44" xr:uid="{4ABB6D16-A6F6-2D47-9543-648855D07477}"/>
    <hyperlink ref="E476" r:id="rId45" xr:uid="{080E1627-D0BD-C64F-8A9F-C010509F5E45}"/>
    <hyperlink ref="E483" r:id="rId46" xr:uid="{7ED43ABA-AD48-2446-9EBF-3A2ECA2F3B99}"/>
    <hyperlink ref="E493" r:id="rId47" xr:uid="{39BB05A4-838D-E748-8B9E-0CB68AFBFF34}"/>
    <hyperlink ref="E520" r:id="rId48" xr:uid="{EB375713-0D92-B048-82E2-5834A00193E7}"/>
    <hyperlink ref="E521" r:id="rId49" xr:uid="{1CC96415-5DA5-5643-9B8C-5124AD1E36DC}"/>
    <hyperlink ref="E146" r:id="rId50" xr:uid="{07F2B84E-EDD1-3C47-90A0-9B57D8086F0D}"/>
    <hyperlink ref="E108" r:id="rId51" xr:uid="{EC7EBB0F-D1EE-3E49-9B9A-287FE1C0C0FD}"/>
    <hyperlink ref="E119" r:id="rId52" xr:uid="{7D88EBA9-A2B9-774A-9599-04020AEDC6E8}"/>
    <hyperlink ref="E185" r:id="rId53" xr:uid="{BCEC0DCF-CBC1-48CA-A972-EBE342A91DD2}"/>
  </hyperlinks>
  <pageMargins left="0.75" right="0.75" top="1" bottom="1" header="0.511811023622047" footer="0.511811023622047"/>
  <pageSetup paperSize="9" orientation="portrait" horizontalDpi="300" verticalDpi="300"/>
  <tableParts count="1">
    <tablePart r:id="rId54"/>
  </tableParts>
  <extLst>
    <ext xmlns:x14="http://schemas.microsoft.com/office/spreadsheetml/2009/9/main" uri="{CCE6A557-97BC-4b89-ADB6-D9C93CAAB3DF}">
      <x14:dataValidations xmlns:xm="http://schemas.microsoft.com/office/excel/2006/main" count="1">
        <x14:dataValidation type="list" allowBlank="1" showInputMessage="1" showErrorMessage="1" xr:uid="{FD62E371-A4C4-B84D-B304-210FAF812F71}">
          <x14:formula1>
            <xm:f>Lists!$4:$4</xm:f>
          </x14:formula1>
          <xm:sqref>F2:F526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618D"/>
  </sheetPr>
  <dimension ref="A1:N1275"/>
  <sheetViews>
    <sheetView zoomScaleNormal="100" workbookViewId="0">
      <pane xSplit="1" ySplit="1" topLeftCell="B365" activePane="bottomRight" state="frozen"/>
      <selection pane="topRight" activeCell="B1" sqref="B1"/>
      <selection pane="bottomLeft" activeCell="A2" sqref="A2"/>
      <selection pane="bottomRight" activeCell="N393" sqref="N393"/>
    </sheetView>
  </sheetViews>
  <sheetFormatPr baseColWidth="10" defaultColWidth="8.6640625" defaultRowHeight="15" customHeight="1"/>
  <cols>
    <col min="1" max="1" width="7" style="3" bestFit="1" customWidth="1"/>
    <col min="2" max="2" width="14.33203125" style="3" bestFit="1" customWidth="1"/>
    <col min="3" max="3" width="15.5" style="3" bestFit="1" customWidth="1"/>
    <col min="4" max="4" width="26.33203125" style="3" bestFit="1" customWidth="1"/>
    <col min="5" max="5" width="33.83203125" style="44" customWidth="1"/>
    <col min="6" max="6" width="33.83203125" style="3" customWidth="1"/>
    <col min="7" max="7" width="11.1640625" style="3" bestFit="1" customWidth="1"/>
    <col min="8" max="8" width="11.1640625" style="3" customWidth="1"/>
    <col min="9" max="9" width="16" style="3" bestFit="1" customWidth="1"/>
    <col min="10" max="10" width="20.6640625" style="3" customWidth="1"/>
    <col min="11" max="11" width="18.1640625" style="3" bestFit="1" customWidth="1"/>
    <col min="12" max="12" width="13.1640625" style="3" bestFit="1" customWidth="1"/>
    <col min="13" max="13" width="16.6640625" style="3" bestFit="1" customWidth="1"/>
    <col min="14" max="14" width="15.5" style="3" bestFit="1" customWidth="1"/>
    <col min="15" max="16384" width="8.6640625" style="3"/>
  </cols>
  <sheetData>
    <row r="1" spans="1:14" ht="21.75" customHeight="1">
      <c r="A1" s="8" t="s">
        <v>20</v>
      </c>
      <c r="B1" s="8" t="s">
        <v>718</v>
      </c>
      <c r="C1" s="8" t="s">
        <v>719</v>
      </c>
      <c r="D1" s="8" t="s">
        <v>720</v>
      </c>
      <c r="E1" s="8" t="s">
        <v>721</v>
      </c>
      <c r="F1" s="8" t="s">
        <v>9</v>
      </c>
      <c r="G1" s="8" t="s">
        <v>722</v>
      </c>
      <c r="H1" s="8" t="s">
        <v>2098</v>
      </c>
      <c r="I1" s="8" t="s">
        <v>23</v>
      </c>
      <c r="J1" s="8" t="s">
        <v>26</v>
      </c>
      <c r="K1" s="4" t="s">
        <v>723</v>
      </c>
      <c r="L1" s="4" t="s">
        <v>724</v>
      </c>
      <c r="M1" s="4" t="s">
        <v>725</v>
      </c>
      <c r="N1" s="4" t="s">
        <v>726</v>
      </c>
    </row>
    <row r="2" spans="1:14">
      <c r="A2" s="9">
        <f>IF(tblContacts[[#This Row],[First Name]]&lt;&gt;0,ROW()-1,"")</f>
        <v>1</v>
      </c>
      <c r="B2" s="50" t="s">
        <v>731</v>
      </c>
      <c r="C2" s="50" t="s">
        <v>732</v>
      </c>
      <c r="D2" s="10"/>
      <c r="E2" s="10" t="s">
        <v>31</v>
      </c>
      <c r="F2" s="10" t="s">
        <v>733</v>
      </c>
      <c r="G2" s="10"/>
      <c r="H2" s="10" t="s">
        <v>2824</v>
      </c>
      <c r="I2" s="10" t="s">
        <v>13</v>
      </c>
      <c r="J2" s="10"/>
      <c r="K2" s="7" cm="1">
        <f t="array" ref="K2">IFERROR(LOOKUP(2,1/('Outreach Log'!$C$2:$C$9998=F2),'Outreach Log'!$B$2:$B$9998),"")</f>
        <v>46126</v>
      </c>
      <c r="L2" s="5" t="str">
        <f>IFERROR(INDEX('Outreach Log'!$F:$F,MATCH(TEXT(K2,"YYYY-MM-DD")&amp;F2,'Outreach Log'!$L:$L,0)),"")</f>
        <v>Email</v>
      </c>
      <c r="M2" s="6" t="str">
        <f>IFERROR(HYPERLINK("#'Outreach Log'!A"&amp;MATCH(TEXT(K2,"YYYY-MM-DD")&amp;F2,'Outreach Log'!$L:$L,0),"→ View"),"—")</f>
        <v>→ View</v>
      </c>
      <c r="N2" s="6" t="str">
        <f>IFERROR(HYPERLINK("#Companies!A"&amp;MATCH(E2,Companies!$B:$B,0),"→ View"),"—")</f>
        <v>→ View</v>
      </c>
    </row>
    <row r="3" spans="1:14">
      <c r="A3" s="9">
        <f>IF(tblContacts[[#This Row],[First Name]]&lt;&gt;0,ROW()-1,"")</f>
        <v>2</v>
      </c>
      <c r="B3" s="50" t="s">
        <v>735</v>
      </c>
      <c r="C3" s="50" t="s">
        <v>736</v>
      </c>
      <c r="D3" s="10"/>
      <c r="E3" s="10" t="s">
        <v>2172</v>
      </c>
      <c r="F3" s="10" t="s">
        <v>737</v>
      </c>
      <c r="G3" s="10"/>
      <c r="H3" s="10" t="s">
        <v>2824</v>
      </c>
      <c r="I3" s="10" t="s">
        <v>2171</v>
      </c>
      <c r="J3" s="10"/>
      <c r="K3" s="7" t="str" cm="1">
        <f t="array" ref="K3">IFERROR(LOOKUP(2,1/('Outreach Log'!$C$2:$C$9998=F3),'Outreach Log'!$B$2:$B$9998),"")</f>
        <v/>
      </c>
      <c r="L3" s="5" t="str">
        <f>IFERROR(INDEX('Outreach Log'!$F:$F,MATCH(TEXT(K3,"YYYY-MM-DD")&amp;F3,'Outreach Log'!$L:$L,0)),"")</f>
        <v/>
      </c>
      <c r="M3" s="6" t="str">
        <f>IFERROR(HYPERLINK("#'Outreach Log'!A"&amp;MATCH(TEXT(K3,"YYYY-MM-DD")&amp;F3,'Outreach Log'!$L:$L,0),"→ View"),"—")</f>
        <v>—</v>
      </c>
      <c r="N3" s="6" t="str">
        <f>IFERROR(HYPERLINK("#Companies!A"&amp;MATCH(E3,Companies!$B:$B,0),"→ View"),"—")</f>
        <v>→ View</v>
      </c>
    </row>
    <row r="4" spans="1:14">
      <c r="A4" s="9">
        <f>IF(tblContacts[[#This Row],[First Name]]&lt;&gt;0,ROW()-1,"")</f>
        <v>3</v>
      </c>
      <c r="B4" s="50" t="s">
        <v>735</v>
      </c>
      <c r="C4" s="50" t="s">
        <v>740</v>
      </c>
      <c r="D4" s="10"/>
      <c r="E4" s="10" t="s">
        <v>2173</v>
      </c>
      <c r="F4" s="10" t="s">
        <v>741</v>
      </c>
      <c r="G4" s="10"/>
      <c r="H4" s="10" t="s">
        <v>2824</v>
      </c>
      <c r="I4" s="10" t="s">
        <v>2171</v>
      </c>
      <c r="J4" s="10"/>
      <c r="K4" s="7" t="str" cm="1">
        <f t="array" ref="K4">IFERROR(LOOKUP(2,1/('Outreach Log'!$C$2:$C$9998=F4),'Outreach Log'!$B$2:$B$9998),"")</f>
        <v/>
      </c>
      <c r="L4" s="5" t="str">
        <f>IFERROR(INDEX('Outreach Log'!$F:$F,MATCH(TEXT(K4,"YYYY-MM-DD")&amp;F4,'Outreach Log'!$L:$L,0)),"")</f>
        <v/>
      </c>
      <c r="M4" s="6" t="str">
        <f>IFERROR(HYPERLINK("#'Outreach Log'!A"&amp;MATCH(TEXT(K4,"YYYY-MM-DD")&amp;F4,'Outreach Log'!$L:$L,0),"→ View"),"—")</f>
        <v>—</v>
      </c>
      <c r="N4" s="6" t="str">
        <f>IFERROR(HYPERLINK("#Companies!A"&amp;MATCH(E4,Companies!$B:$B,0),"→ View"),"—")</f>
        <v>→ View</v>
      </c>
    </row>
    <row r="5" spans="1:14">
      <c r="A5" s="9">
        <f>IF(tblContacts[[#This Row],[First Name]]&lt;&gt;0,ROW()-1,"")</f>
        <v>4</v>
      </c>
      <c r="B5" s="50" t="s">
        <v>735</v>
      </c>
      <c r="C5" s="50" t="s">
        <v>742</v>
      </c>
      <c r="D5" s="10"/>
      <c r="E5" s="10" t="s">
        <v>2174</v>
      </c>
      <c r="F5" s="10" t="s">
        <v>743</v>
      </c>
      <c r="G5" s="10"/>
      <c r="H5" s="10" t="s">
        <v>2824</v>
      </c>
      <c r="I5" s="10" t="s">
        <v>2171</v>
      </c>
      <c r="J5" s="10"/>
      <c r="K5" s="7" cm="1">
        <f t="array" ref="K5">IFERROR(LOOKUP(2,1/('Outreach Log'!$C$2:$C$9998=F5),'Outreach Log'!$B$2:$B$9998),"")</f>
        <v>46126</v>
      </c>
      <c r="L5" s="5" t="str">
        <f>IFERROR(INDEX('Outreach Log'!$F:$F,MATCH(TEXT(K5,"YYYY-MM-DD")&amp;F5,'Outreach Log'!$L:$L,0)),"")</f>
        <v>Email</v>
      </c>
      <c r="M5" s="6" t="str">
        <f>IFERROR(HYPERLINK("#'Outreach Log'!A"&amp;MATCH(TEXT(K5,"YYYY-MM-DD")&amp;F5,'Outreach Log'!$L:$L,0),"→ View"),"—")</f>
        <v>→ View</v>
      </c>
      <c r="N5" s="6" t="str">
        <f>IFERROR(HYPERLINK("#Companies!A"&amp;MATCH(E5,Companies!$B:$B,0),"→ View"),"—")</f>
        <v>→ View</v>
      </c>
    </row>
    <row r="6" spans="1:14">
      <c r="A6" s="9">
        <f>IF(tblContacts[[#This Row],[First Name]]&lt;&gt;0,ROW()-1,"")</f>
        <v>5</v>
      </c>
      <c r="B6" s="50" t="s">
        <v>735</v>
      </c>
      <c r="C6" s="50" t="s">
        <v>744</v>
      </c>
      <c r="D6" s="10"/>
      <c r="E6" s="10" t="s">
        <v>2175</v>
      </c>
      <c r="F6" s="10" t="s">
        <v>745</v>
      </c>
      <c r="G6" s="10"/>
      <c r="H6" s="10" t="s">
        <v>2824</v>
      </c>
      <c r="I6" s="10" t="s">
        <v>2171</v>
      </c>
      <c r="J6" s="10"/>
      <c r="K6" s="7" t="str" cm="1">
        <f t="array" ref="K6">IFERROR(LOOKUP(2,1/('Outreach Log'!$C$2:$C$9998=F6),'Outreach Log'!$B$2:$B$9998),"")</f>
        <v/>
      </c>
      <c r="L6" s="5" t="str">
        <f>IFERROR(INDEX('Outreach Log'!$F:$F,MATCH(TEXT(K6,"YYYY-MM-DD")&amp;F6,'Outreach Log'!$L:$L,0)),"")</f>
        <v/>
      </c>
      <c r="M6" s="6" t="str">
        <f>IFERROR(HYPERLINK("#'Outreach Log'!A"&amp;MATCH(TEXT(K6,"YYYY-MM-DD")&amp;F6,'Outreach Log'!$L:$L,0),"→ View"),"—")</f>
        <v>—</v>
      </c>
      <c r="N6" s="6" t="str">
        <f>IFERROR(HYPERLINK("#Companies!A"&amp;MATCH(E6,Companies!$B:$B,0),"→ View"),"—")</f>
        <v>→ View</v>
      </c>
    </row>
    <row r="7" spans="1:14">
      <c r="A7" s="9">
        <f>IF(tblContacts[[#This Row],[First Name]]&lt;&gt;0,ROW()-1,"")</f>
        <v>6</v>
      </c>
      <c r="B7" s="50" t="s">
        <v>735</v>
      </c>
      <c r="C7" s="50" t="s">
        <v>746</v>
      </c>
      <c r="D7" s="10"/>
      <c r="E7" s="10" t="s">
        <v>2176</v>
      </c>
      <c r="F7" s="10" t="s">
        <v>747</v>
      </c>
      <c r="G7" s="10"/>
      <c r="H7" s="10" t="s">
        <v>2824</v>
      </c>
      <c r="I7" s="10" t="s">
        <v>2171</v>
      </c>
      <c r="J7" s="10"/>
      <c r="K7" s="7" cm="1">
        <f t="array" ref="K7">IFERROR(LOOKUP(2,1/('Outreach Log'!$C$2:$C$9998=F7),'Outreach Log'!$B$2:$B$9998),"")</f>
        <v>46126</v>
      </c>
      <c r="L7" s="5" t="str">
        <f>IFERROR(INDEX('Outreach Log'!$F:$F,MATCH(TEXT(K7,"YYYY-MM-DD")&amp;F7,'Outreach Log'!$L:$L,0)),"")</f>
        <v>Email</v>
      </c>
      <c r="M7" s="6" t="str">
        <f>IFERROR(HYPERLINK("#'Outreach Log'!A"&amp;MATCH(TEXT(K7,"YYYY-MM-DD")&amp;F7,'Outreach Log'!$L:$L,0),"→ View"),"—")</f>
        <v>→ View</v>
      </c>
      <c r="N7" s="6" t="str">
        <f>IFERROR(HYPERLINK("#Companies!A"&amp;MATCH(E7,Companies!$B:$B,0),"→ View"),"—")</f>
        <v>→ View</v>
      </c>
    </row>
    <row r="8" spans="1:14">
      <c r="A8" s="9">
        <f>IF(tblContacts[[#This Row],[First Name]]&lt;&gt;0,ROW()-1,"")</f>
        <v>7</v>
      </c>
      <c r="B8" s="50" t="s">
        <v>735</v>
      </c>
      <c r="C8" s="50" t="s">
        <v>748</v>
      </c>
      <c r="D8" s="10" t="s">
        <v>749</v>
      </c>
      <c r="E8" s="10" t="s">
        <v>44</v>
      </c>
      <c r="F8" s="10" t="s">
        <v>750</v>
      </c>
      <c r="G8" s="10"/>
      <c r="H8" s="10" t="s">
        <v>2824</v>
      </c>
      <c r="I8" s="10" t="s">
        <v>13</v>
      </c>
      <c r="J8" s="10"/>
      <c r="K8" s="7" t="str" cm="1">
        <f t="array" ref="K8">IFERROR(LOOKUP(2,1/('Outreach Log'!$C$2:$C$9998=F8),'Outreach Log'!$B$2:$B$9998),"")</f>
        <v/>
      </c>
      <c r="L8" s="5" t="str">
        <f>IFERROR(INDEX('Outreach Log'!$F:$F,MATCH(TEXT(K8,"YYYY-MM-DD")&amp;F8,'Outreach Log'!$L:$L,0)),"")</f>
        <v/>
      </c>
      <c r="M8" s="6" t="str">
        <f>IFERROR(HYPERLINK("#'Outreach Log'!A"&amp;MATCH(TEXT(K8,"YYYY-MM-DD")&amp;F8,'Outreach Log'!$L:$L,0),"→ View"),"—")</f>
        <v>—</v>
      </c>
      <c r="N8" s="6" t="str">
        <f>IFERROR(HYPERLINK("#Companies!A"&amp;MATCH(E8,Companies!$B:$B,0),"→ View"),"—")</f>
        <v>→ View</v>
      </c>
    </row>
    <row r="9" spans="1:14">
      <c r="A9" s="9">
        <f>IF(tblContacts[[#This Row],[First Name]]&lt;&gt;0,ROW()-1,"")</f>
        <v>8</v>
      </c>
      <c r="B9" s="50" t="s">
        <v>751</v>
      </c>
      <c r="C9" s="50" t="s">
        <v>752</v>
      </c>
      <c r="D9" s="10"/>
      <c r="E9" s="10" t="s">
        <v>2177</v>
      </c>
      <c r="F9" s="10" t="s">
        <v>753</v>
      </c>
      <c r="G9" s="10"/>
      <c r="H9" s="10" t="s">
        <v>2824</v>
      </c>
      <c r="I9" s="10" t="s">
        <v>2171</v>
      </c>
      <c r="J9" s="10"/>
      <c r="K9" s="7" t="str" cm="1">
        <f t="array" ref="K9">IFERROR(LOOKUP(2,1/('Outreach Log'!$C$2:$C$9998=F9),'Outreach Log'!$B$2:$B$9998),"")</f>
        <v/>
      </c>
      <c r="L9" s="5" t="str">
        <f>IFERROR(INDEX('Outreach Log'!$F:$F,MATCH(TEXT(K9,"YYYY-MM-DD")&amp;F9,'Outreach Log'!$L:$L,0)),"")</f>
        <v/>
      </c>
      <c r="M9" s="6" t="str">
        <f>IFERROR(HYPERLINK("#'Outreach Log'!A"&amp;MATCH(TEXT(K9,"YYYY-MM-DD")&amp;F9,'Outreach Log'!$L:$L,0),"→ View"),"—")</f>
        <v>—</v>
      </c>
      <c r="N9" s="6" t="str">
        <f>IFERROR(HYPERLINK("#Companies!A"&amp;MATCH(E9,Companies!$B:$B,0),"→ View"),"—")</f>
        <v>→ View</v>
      </c>
    </row>
    <row r="10" spans="1:14">
      <c r="A10" s="9">
        <f>IF(tblContacts[[#This Row],[First Name]]&lt;&gt;0,ROW()-1,"")</f>
        <v>9</v>
      </c>
      <c r="B10" s="50" t="s">
        <v>754</v>
      </c>
      <c r="C10" s="50" t="s">
        <v>755</v>
      </c>
      <c r="D10" s="10"/>
      <c r="E10" s="10" t="s">
        <v>48</v>
      </c>
      <c r="F10" s="10" t="s">
        <v>756</v>
      </c>
      <c r="G10" s="10"/>
      <c r="H10" s="10" t="s">
        <v>2824</v>
      </c>
      <c r="I10" s="10" t="s">
        <v>2171</v>
      </c>
      <c r="J10" s="10"/>
      <c r="K10" s="7" cm="1">
        <f t="array" ref="K10">IFERROR(LOOKUP(2,1/('Outreach Log'!$C$2:$C$9998=F10),'Outreach Log'!$B$2:$B$9998),"")</f>
        <v>46126</v>
      </c>
      <c r="L10" s="5" t="str">
        <f>IFERROR(INDEX('Outreach Log'!$F:$F,MATCH(TEXT(K10,"YYYY-MM-DD")&amp;F10,'Outreach Log'!$L:$L,0)),"")</f>
        <v>Email</v>
      </c>
      <c r="M10" s="6" t="str">
        <f>IFERROR(HYPERLINK("#'Outreach Log'!A"&amp;MATCH(TEXT(K10,"YYYY-MM-DD")&amp;F10,'Outreach Log'!$L:$L,0),"→ View"),"—")</f>
        <v>→ View</v>
      </c>
      <c r="N10" s="6" t="str">
        <f>IFERROR(HYPERLINK("#Companies!A"&amp;MATCH(E10,Companies!$B:$B,0),"→ View"),"—")</f>
        <v>→ View</v>
      </c>
    </row>
    <row r="11" spans="1:14">
      <c r="A11" s="9">
        <f>IF(tblContacts[[#This Row],[First Name]]&lt;&gt;0,ROW()-1,"")</f>
        <v>10</v>
      </c>
      <c r="B11" s="50" t="s">
        <v>757</v>
      </c>
      <c r="C11" s="50" t="s">
        <v>758</v>
      </c>
      <c r="D11" s="10"/>
      <c r="E11" s="10" t="s">
        <v>2139</v>
      </c>
      <c r="F11" s="10" t="s">
        <v>759</v>
      </c>
      <c r="G11" s="10"/>
      <c r="H11" s="10" t="s">
        <v>2824</v>
      </c>
      <c r="I11" s="10" t="s">
        <v>2171</v>
      </c>
      <c r="J11" s="10"/>
      <c r="K11" s="7" cm="1">
        <f t="array" ref="K11">IFERROR(LOOKUP(2,1/('Outreach Log'!$C$2:$C$9998=F11),'Outreach Log'!$B$2:$B$9998),"")</f>
        <v>46126</v>
      </c>
      <c r="L11" s="5" t="str">
        <f>IFERROR(INDEX('Outreach Log'!$F:$F,MATCH(TEXT(K11,"YYYY-MM-DD")&amp;F11,'Outreach Log'!$L:$L,0)),"")</f>
        <v>Email</v>
      </c>
      <c r="M11" s="6" t="str">
        <f>IFERROR(HYPERLINK("#'Outreach Log'!A"&amp;MATCH(TEXT(K11,"YYYY-MM-DD")&amp;F11,'Outreach Log'!$L:$L,0),"→ View"),"—")</f>
        <v>→ View</v>
      </c>
      <c r="N11" s="6" t="str">
        <f>IFERROR(HYPERLINK("#Companies!A"&amp;MATCH(E11,Companies!$B:$B,0),"→ View"),"—")</f>
        <v>→ View</v>
      </c>
    </row>
    <row r="12" spans="1:14">
      <c r="A12" s="9">
        <f>IF(tblContacts[[#This Row],[First Name]]&lt;&gt;0,ROW()-1,"")</f>
        <v>11</v>
      </c>
      <c r="B12" s="50" t="s">
        <v>760</v>
      </c>
      <c r="C12" s="50" t="s">
        <v>761</v>
      </c>
      <c r="D12" s="10"/>
      <c r="E12" s="10" t="s">
        <v>2178</v>
      </c>
      <c r="F12" s="10" t="s">
        <v>762</v>
      </c>
      <c r="G12" s="10"/>
      <c r="H12" s="10" t="s">
        <v>2824</v>
      </c>
      <c r="I12" s="10" t="s">
        <v>2171</v>
      </c>
      <c r="J12" s="10"/>
      <c r="K12" s="7" t="str" cm="1">
        <f t="array" ref="K12">IFERROR(LOOKUP(2,1/('Outreach Log'!$C$2:$C$9998=F12),'Outreach Log'!$B$2:$B$9998),"")</f>
        <v/>
      </c>
      <c r="L12" s="5" t="str">
        <f>IFERROR(INDEX('Outreach Log'!$F:$F,MATCH(TEXT(K12,"YYYY-MM-DD")&amp;F12,'Outreach Log'!$L:$L,0)),"")</f>
        <v/>
      </c>
      <c r="M12" s="6" t="str">
        <f>IFERROR(HYPERLINK("#'Outreach Log'!A"&amp;MATCH(TEXT(K12,"YYYY-MM-DD")&amp;F12,'Outreach Log'!$L:$L,0),"→ View"),"—")</f>
        <v>—</v>
      </c>
      <c r="N12" s="6" t="str">
        <f>IFERROR(HYPERLINK("#Companies!A"&amp;MATCH(E12,Companies!$B:$B,0),"→ View"),"—")</f>
        <v>→ View</v>
      </c>
    </row>
    <row r="13" spans="1:14">
      <c r="A13" s="9">
        <f>IF(tblContacts[[#This Row],[First Name]]&lt;&gt;0,ROW()-1,"")</f>
        <v>12</v>
      </c>
      <c r="B13" s="50" t="s">
        <v>763</v>
      </c>
      <c r="C13" s="50" t="s">
        <v>764</v>
      </c>
      <c r="D13" s="10"/>
      <c r="E13" s="10" t="s">
        <v>2179</v>
      </c>
      <c r="F13" s="10" t="s">
        <v>765</v>
      </c>
      <c r="G13" s="10"/>
      <c r="H13" s="10" t="s">
        <v>2824</v>
      </c>
      <c r="I13" s="10" t="s">
        <v>2171</v>
      </c>
      <c r="J13" s="10"/>
      <c r="K13" s="7" cm="1">
        <f t="array" ref="K13">IFERROR(LOOKUP(2,1/('Outreach Log'!$C$2:$C$9998=F13),'Outreach Log'!$B$2:$B$9998),"")</f>
        <v>46126</v>
      </c>
      <c r="L13" s="5" t="str">
        <f>IFERROR(INDEX('Outreach Log'!$F:$F,MATCH(TEXT(K13,"YYYY-MM-DD")&amp;F13,'Outreach Log'!$L:$L,0)),"")</f>
        <v>Email</v>
      </c>
      <c r="M13" s="6" t="str">
        <f>IFERROR(HYPERLINK("#'Outreach Log'!A"&amp;MATCH(TEXT(K13,"YYYY-MM-DD")&amp;F13,'Outreach Log'!$L:$L,0),"→ View"),"—")</f>
        <v>→ View</v>
      </c>
      <c r="N13" s="6" t="str">
        <f>IFERROR(HYPERLINK("#Companies!A"&amp;MATCH(E13,Companies!$B:$B,0),"→ View"),"—")</f>
        <v>→ View</v>
      </c>
    </row>
    <row r="14" spans="1:14">
      <c r="A14" s="9">
        <f>IF(tblContacts[[#This Row],[First Name]]&lt;&gt;0,ROW()-1,"")</f>
        <v>13</v>
      </c>
      <c r="B14" s="50" t="s">
        <v>766</v>
      </c>
      <c r="C14" s="50" t="s">
        <v>767</v>
      </c>
      <c r="D14" s="10" t="s">
        <v>768</v>
      </c>
      <c r="E14" s="10" t="s">
        <v>55</v>
      </c>
      <c r="F14" s="10" t="s">
        <v>769</v>
      </c>
      <c r="G14" s="10"/>
      <c r="H14" s="10" t="s">
        <v>2824</v>
      </c>
      <c r="I14" s="10" t="s">
        <v>13</v>
      </c>
      <c r="J14" s="10"/>
      <c r="K14" s="7" t="str" cm="1">
        <f t="array" ref="K14">IFERROR(LOOKUP(2,1/('Outreach Log'!$C$2:$C$9998=F14),'Outreach Log'!$B$2:$B$9998),"")</f>
        <v/>
      </c>
      <c r="L14" s="5" t="str">
        <f>IFERROR(INDEX('Outreach Log'!$F:$F,MATCH(TEXT(K14,"YYYY-MM-DD")&amp;F14,'Outreach Log'!$L:$L,0)),"")</f>
        <v/>
      </c>
      <c r="M14" s="6" t="str">
        <f>IFERROR(HYPERLINK("#'Outreach Log'!A"&amp;MATCH(TEXT(K14,"YYYY-MM-DD")&amp;F14,'Outreach Log'!$L:$L,0),"→ View"),"—")</f>
        <v>—</v>
      </c>
      <c r="N14" s="6" t="str">
        <f>IFERROR(HYPERLINK("#Companies!A"&amp;MATCH(E14,Companies!$B:$B,0),"→ View"),"—")</f>
        <v>→ View</v>
      </c>
    </row>
    <row r="15" spans="1:14">
      <c r="A15" s="9">
        <f>IF(tblContacts[[#This Row],[First Name]]&lt;&gt;0,ROW()-1,"")</f>
        <v>14</v>
      </c>
      <c r="B15" s="50" t="s">
        <v>766</v>
      </c>
      <c r="C15" s="50" t="s">
        <v>767</v>
      </c>
      <c r="D15" s="10"/>
      <c r="E15" s="10" t="s">
        <v>2180</v>
      </c>
      <c r="F15" s="10" t="s">
        <v>770</v>
      </c>
      <c r="G15" s="10"/>
      <c r="H15" s="10" t="s">
        <v>2824</v>
      </c>
      <c r="I15" s="10" t="s">
        <v>2171</v>
      </c>
      <c r="J15" s="10"/>
      <c r="K15" s="7" t="str" cm="1">
        <f t="array" ref="K15">IFERROR(LOOKUP(2,1/('Outreach Log'!$C$2:$C$9998=F15),'Outreach Log'!$B$2:$B$9998),"")</f>
        <v/>
      </c>
      <c r="L15" s="5" t="str">
        <f>IFERROR(INDEX('Outreach Log'!$F:$F,MATCH(TEXT(K15,"YYYY-MM-DD")&amp;F15,'Outreach Log'!$L:$L,0)),"")</f>
        <v/>
      </c>
      <c r="M15" s="6" t="str">
        <f>IFERROR(HYPERLINK("#'Outreach Log'!A"&amp;MATCH(TEXT(K15,"YYYY-MM-DD")&amp;F15,'Outreach Log'!$L:$L,0),"→ View"),"—")</f>
        <v>—</v>
      </c>
      <c r="N15" s="6" t="str">
        <f>IFERROR(HYPERLINK("#Companies!A"&amp;MATCH(E15,Companies!$B:$B,0),"→ View"),"—")</f>
        <v>→ View</v>
      </c>
    </row>
    <row r="16" spans="1:14">
      <c r="A16" s="9">
        <f>IF(tblContacts[[#This Row],[First Name]]&lt;&gt;0,ROW()-1,"")</f>
        <v>15</v>
      </c>
      <c r="B16" s="50" t="s">
        <v>766</v>
      </c>
      <c r="C16" s="50" t="s">
        <v>771</v>
      </c>
      <c r="D16" s="10"/>
      <c r="E16" s="10" t="s">
        <v>2181</v>
      </c>
      <c r="F16" s="10" t="s">
        <v>772</v>
      </c>
      <c r="G16" s="10"/>
      <c r="H16" s="10" t="s">
        <v>2824</v>
      </c>
      <c r="I16" s="10" t="s">
        <v>2171</v>
      </c>
      <c r="J16" s="10"/>
      <c r="K16" s="7" cm="1">
        <f t="array" ref="K16">IFERROR(LOOKUP(2,1/('Outreach Log'!$C$2:$C$9998=F16),'Outreach Log'!$B$2:$B$9998),"")</f>
        <v>46126</v>
      </c>
      <c r="L16" s="5" t="str">
        <f>IFERROR(INDEX('Outreach Log'!$F:$F,MATCH(TEXT(K16,"YYYY-MM-DD")&amp;F16,'Outreach Log'!$L:$L,0)),"")</f>
        <v>Email</v>
      </c>
      <c r="M16" s="6" t="str">
        <f>IFERROR(HYPERLINK("#'Outreach Log'!A"&amp;MATCH(TEXT(K16,"YYYY-MM-DD")&amp;F16,'Outreach Log'!$L:$L,0),"→ View"),"—")</f>
        <v>→ View</v>
      </c>
      <c r="N16" s="6" t="str">
        <f>IFERROR(HYPERLINK("#Companies!A"&amp;MATCH(E16,Companies!$B:$B,0),"→ View"),"—")</f>
        <v>→ View</v>
      </c>
    </row>
    <row r="17" spans="1:14">
      <c r="A17" s="9">
        <f>IF(tblContacts[[#This Row],[First Name]]&lt;&gt;0,ROW()-1,"")</f>
        <v>16</v>
      </c>
      <c r="B17" s="50" t="s">
        <v>766</v>
      </c>
      <c r="C17" s="50" t="s">
        <v>728</v>
      </c>
      <c r="D17" s="10"/>
      <c r="E17" s="10" t="s">
        <v>2182</v>
      </c>
      <c r="F17" s="10" t="s">
        <v>773</v>
      </c>
      <c r="G17" s="10"/>
      <c r="H17" s="10" t="s">
        <v>2824</v>
      </c>
      <c r="I17" s="10" t="s">
        <v>2171</v>
      </c>
      <c r="J17" s="10"/>
      <c r="K17" s="7" t="str" cm="1">
        <f t="array" ref="K17">IFERROR(LOOKUP(2,1/('Outreach Log'!$C$2:$C$9998=F17),'Outreach Log'!$B$2:$B$9998),"")</f>
        <v/>
      </c>
      <c r="L17" s="5" t="str">
        <f>IFERROR(INDEX('Outreach Log'!$F:$F,MATCH(TEXT(K17,"YYYY-MM-DD")&amp;F17,'Outreach Log'!$L:$L,0)),"")</f>
        <v/>
      </c>
      <c r="M17" s="6" t="str">
        <f>IFERROR(HYPERLINK("#'Outreach Log'!A"&amp;MATCH(TEXT(K17,"YYYY-MM-DD")&amp;F17,'Outreach Log'!$L:$L,0),"→ View"),"—")</f>
        <v>—</v>
      </c>
      <c r="N17" s="6" t="str">
        <f>IFERROR(HYPERLINK("#Companies!A"&amp;MATCH(E17,Companies!$B:$B,0),"→ View"),"—")</f>
        <v>→ View</v>
      </c>
    </row>
    <row r="18" spans="1:14">
      <c r="A18" s="9">
        <f>IF(tblContacts[[#This Row],[First Name]]&lt;&gt;0,ROW()-1,"")</f>
        <v>17</v>
      </c>
      <c r="B18" s="50" t="s">
        <v>766</v>
      </c>
      <c r="C18" s="50" t="s">
        <v>774</v>
      </c>
      <c r="D18" s="10"/>
      <c r="E18" s="10" t="s">
        <v>62</v>
      </c>
      <c r="F18" s="10" t="s">
        <v>775</v>
      </c>
      <c r="G18" s="10"/>
      <c r="H18" s="10" t="s">
        <v>2824</v>
      </c>
      <c r="I18" s="10" t="s">
        <v>2171</v>
      </c>
      <c r="J18" s="10"/>
      <c r="K18" s="7" t="str" cm="1">
        <f t="array" ref="K18">IFERROR(LOOKUP(2,1/('Outreach Log'!$C$2:$C$9998=F18),'Outreach Log'!$B$2:$B$9998),"")</f>
        <v/>
      </c>
      <c r="L18" s="5" t="str">
        <f>IFERROR(INDEX('Outreach Log'!$F:$F,MATCH(TEXT(K18,"YYYY-MM-DD")&amp;F18,'Outreach Log'!$L:$L,0)),"")</f>
        <v/>
      </c>
      <c r="M18" s="6" t="str">
        <f>IFERROR(HYPERLINK("#'Outreach Log'!A"&amp;MATCH(TEXT(K18,"YYYY-MM-DD")&amp;F18,'Outreach Log'!$L:$L,0),"→ View"),"—")</f>
        <v>—</v>
      </c>
      <c r="N18" s="6" t="str">
        <f>IFERROR(HYPERLINK("#Companies!A"&amp;MATCH(E18,Companies!$B:$B,0),"→ View"),"—")</f>
        <v>→ View</v>
      </c>
    </row>
    <row r="19" spans="1:14">
      <c r="A19" s="9">
        <f>IF(tblContacts[[#This Row],[First Name]]&lt;&gt;0,ROW()-1,"")</f>
        <v>18</v>
      </c>
      <c r="B19" s="50" t="s">
        <v>779</v>
      </c>
      <c r="C19" s="50" t="s">
        <v>782</v>
      </c>
      <c r="D19" s="10"/>
      <c r="E19" s="10" t="s">
        <v>2183</v>
      </c>
      <c r="F19" s="10" t="s">
        <v>783</v>
      </c>
      <c r="G19" s="10"/>
      <c r="H19" s="10" t="s">
        <v>2824</v>
      </c>
      <c r="I19" s="10" t="s">
        <v>2171</v>
      </c>
      <c r="J19" s="10"/>
      <c r="K19" s="7" cm="1">
        <f t="array" ref="K19">IFERROR(LOOKUP(2,1/('Outreach Log'!$C$2:$C$9998=F19),'Outreach Log'!$B$2:$B$9998),"")</f>
        <v>46126</v>
      </c>
      <c r="L19" s="5" t="str">
        <f>IFERROR(INDEX('Outreach Log'!$F:$F,MATCH(TEXT(K19,"YYYY-MM-DD")&amp;F19,'Outreach Log'!$L:$L,0)),"")</f>
        <v>Email</v>
      </c>
      <c r="M19" s="6" t="str">
        <f>IFERROR(HYPERLINK("#'Outreach Log'!A"&amp;MATCH(TEXT(K19,"YYYY-MM-DD")&amp;F19,'Outreach Log'!$L:$L,0),"→ View"),"—")</f>
        <v>→ View</v>
      </c>
      <c r="N19" s="6" t="str">
        <f>IFERROR(HYPERLINK("#Companies!A"&amp;MATCH(E19,Companies!$B:$B,0),"→ View"),"—")</f>
        <v>→ View</v>
      </c>
    </row>
    <row r="20" spans="1:14">
      <c r="A20" s="9">
        <f>IF(tblContacts[[#This Row],[First Name]]&lt;&gt;0,ROW()-1,"")</f>
        <v>19</v>
      </c>
      <c r="B20" s="50" t="s">
        <v>779</v>
      </c>
      <c r="C20" s="50" t="s">
        <v>787</v>
      </c>
      <c r="D20" s="10"/>
      <c r="E20" s="10" t="s">
        <v>2184</v>
      </c>
      <c r="F20" s="10" t="s">
        <v>788</v>
      </c>
      <c r="G20" s="10"/>
      <c r="H20" s="10" t="s">
        <v>2824</v>
      </c>
      <c r="I20" s="10" t="s">
        <v>2171</v>
      </c>
      <c r="J20" s="10"/>
      <c r="K20" s="7" t="str" cm="1">
        <f t="array" ref="K20">IFERROR(LOOKUP(2,1/('Outreach Log'!$C$2:$C$9998=F20),'Outreach Log'!$B$2:$B$9998),"")</f>
        <v/>
      </c>
      <c r="L20" s="5" t="str">
        <f>IFERROR(INDEX('Outreach Log'!$F:$F,MATCH(TEXT(K20,"YYYY-MM-DD")&amp;F20,'Outreach Log'!$L:$L,0)),"")</f>
        <v/>
      </c>
      <c r="M20" s="6" t="str">
        <f>IFERROR(HYPERLINK("#'Outreach Log'!A"&amp;MATCH(TEXT(K20,"YYYY-MM-DD")&amp;F20,'Outreach Log'!$L:$L,0),"→ View"),"—")</f>
        <v>—</v>
      </c>
      <c r="N20" s="6" t="str">
        <f>IFERROR(HYPERLINK("#Companies!A"&amp;MATCH(E20,Companies!$B:$B,0),"→ View"),"—")</f>
        <v>→ View</v>
      </c>
    </row>
    <row r="21" spans="1:14">
      <c r="A21" s="9">
        <f>IF(tblContacts[[#This Row],[First Name]]&lt;&gt;0,ROW()-1,"")</f>
        <v>20</v>
      </c>
      <c r="B21" s="50" t="s">
        <v>779</v>
      </c>
      <c r="C21" s="50" t="s">
        <v>789</v>
      </c>
      <c r="D21" s="10"/>
      <c r="E21" s="10" t="s">
        <v>2185</v>
      </c>
      <c r="F21" s="10" t="s">
        <v>790</v>
      </c>
      <c r="G21" s="10"/>
      <c r="H21" s="10" t="s">
        <v>2824</v>
      </c>
      <c r="I21" s="10" t="s">
        <v>2171</v>
      </c>
      <c r="J21" s="10"/>
      <c r="K21" s="7" cm="1">
        <f t="array" ref="K21">IFERROR(LOOKUP(2,1/('Outreach Log'!$C$2:$C$9998=F21),'Outreach Log'!$B$2:$B$9998),"")</f>
        <v>46126</v>
      </c>
      <c r="L21" s="5" t="str">
        <f>IFERROR(INDEX('Outreach Log'!$F:$F,MATCH(TEXT(K21,"YYYY-MM-DD")&amp;F21,'Outreach Log'!$L:$L,0)),"")</f>
        <v>Email</v>
      </c>
      <c r="M21" s="6" t="str">
        <f>IFERROR(HYPERLINK("#'Outreach Log'!A"&amp;MATCH(TEXT(K21,"YYYY-MM-DD")&amp;F21,'Outreach Log'!$L:$L,0),"→ View"),"—")</f>
        <v>→ View</v>
      </c>
      <c r="N21" s="6" t="str">
        <f>IFERROR(HYPERLINK("#Companies!A"&amp;MATCH(E21,Companies!$B:$B,0),"→ View"),"—")</f>
        <v>→ View</v>
      </c>
    </row>
    <row r="22" spans="1:14">
      <c r="A22" s="9">
        <f>IF(tblContacts[[#This Row],[First Name]]&lt;&gt;0,ROW()-1,"")</f>
        <v>21</v>
      </c>
      <c r="B22" s="50" t="s">
        <v>779</v>
      </c>
      <c r="C22" s="50" t="s">
        <v>791</v>
      </c>
      <c r="D22" s="10"/>
      <c r="E22" s="10" t="s">
        <v>2186</v>
      </c>
      <c r="F22" s="10" t="s">
        <v>792</v>
      </c>
      <c r="G22" s="10"/>
      <c r="H22" s="10" t="s">
        <v>2824</v>
      </c>
      <c r="I22" s="10" t="s">
        <v>2171</v>
      </c>
      <c r="J22" s="10"/>
      <c r="K22" s="7" cm="1">
        <f t="array" ref="K22">IFERROR(LOOKUP(2,1/('Outreach Log'!$C$2:$C$9998=F22),'Outreach Log'!$B$2:$B$9998),"")</f>
        <v>46126</v>
      </c>
      <c r="L22" s="5" t="str">
        <f>IFERROR(INDEX('Outreach Log'!$F:$F,MATCH(TEXT(K22,"YYYY-MM-DD")&amp;F22,'Outreach Log'!$L:$L,0)),"")</f>
        <v>Email</v>
      </c>
      <c r="M22" s="6" t="str">
        <f>IFERROR(HYPERLINK("#'Outreach Log'!A"&amp;MATCH(TEXT(K22,"YYYY-MM-DD")&amp;F22,'Outreach Log'!$L:$L,0),"→ View"),"—")</f>
        <v>→ View</v>
      </c>
      <c r="N22" s="6" t="str">
        <f>IFERROR(HYPERLINK("#Companies!A"&amp;MATCH(E22,Companies!$B:$B,0),"→ View"),"—")</f>
        <v>→ View</v>
      </c>
    </row>
    <row r="23" spans="1:14">
      <c r="A23" s="9">
        <f>IF(tblContacts[[#This Row],[First Name]]&lt;&gt;0,ROW()-1,"")</f>
        <v>22</v>
      </c>
      <c r="B23" s="50" t="s">
        <v>779</v>
      </c>
      <c r="C23" s="50" t="s">
        <v>793</v>
      </c>
      <c r="D23" s="10" t="s">
        <v>794</v>
      </c>
      <c r="E23" s="10" t="s">
        <v>2170</v>
      </c>
      <c r="F23" s="10" t="s">
        <v>795</v>
      </c>
      <c r="G23" s="10"/>
      <c r="H23" s="10" t="s">
        <v>2824</v>
      </c>
      <c r="I23" s="10" t="s">
        <v>2171</v>
      </c>
      <c r="J23" s="10"/>
      <c r="K23" s="7" cm="1">
        <f t="array" ref="K23">IFERROR(LOOKUP(2,1/('Outreach Log'!$C$2:$C$9998=F23),'Outreach Log'!$B$2:$B$9998),"")</f>
        <v>46126</v>
      </c>
      <c r="L23" s="5" t="str">
        <f>IFERROR(INDEX('Outreach Log'!$F:$F,MATCH(TEXT(K23,"YYYY-MM-DD")&amp;F23,'Outreach Log'!$L:$L,0)),"")</f>
        <v>Email</v>
      </c>
      <c r="M23" s="6" t="str">
        <f>IFERROR(HYPERLINK("#'Outreach Log'!A"&amp;MATCH(TEXT(K23,"YYYY-MM-DD")&amp;F23,'Outreach Log'!$L:$L,0),"→ View"),"—")</f>
        <v>→ View</v>
      </c>
      <c r="N23" s="6" t="str">
        <f>IFERROR(HYPERLINK("#Companies!A"&amp;MATCH(E23,Companies!$B:$B,0),"→ View"),"—")</f>
        <v>→ View</v>
      </c>
    </row>
    <row r="24" spans="1:14">
      <c r="A24" s="9">
        <f>IF(tblContacts[[#This Row],[First Name]]&lt;&gt;0,ROW()-1,"")</f>
        <v>23</v>
      </c>
      <c r="B24" s="50" t="s">
        <v>779</v>
      </c>
      <c r="C24" s="50" t="s">
        <v>796</v>
      </c>
      <c r="D24" s="10"/>
      <c r="E24" s="10" t="s">
        <v>2187</v>
      </c>
      <c r="F24" s="10" t="s">
        <v>797</v>
      </c>
      <c r="G24" s="10"/>
      <c r="H24" s="10" t="s">
        <v>2824</v>
      </c>
      <c r="I24" s="10" t="s">
        <v>2171</v>
      </c>
      <c r="J24" s="10"/>
      <c r="K24" s="7" cm="1">
        <f t="array" ref="K24">IFERROR(LOOKUP(2,1/('Outreach Log'!$C$2:$C$9998=F24),'Outreach Log'!$B$2:$B$9998),"")</f>
        <v>46126</v>
      </c>
      <c r="L24" s="5" t="str">
        <f>IFERROR(INDEX('Outreach Log'!$F:$F,MATCH(TEXT(K24,"YYYY-MM-DD")&amp;F24,'Outreach Log'!$L:$L,0)),"")</f>
        <v>Email</v>
      </c>
      <c r="M24" s="6" t="str">
        <f>IFERROR(HYPERLINK("#'Outreach Log'!A"&amp;MATCH(TEXT(K24,"YYYY-MM-DD")&amp;F24,'Outreach Log'!$L:$L,0),"→ View"),"—")</f>
        <v>→ View</v>
      </c>
      <c r="N24" s="6" t="str">
        <f>IFERROR(HYPERLINK("#Companies!A"&amp;MATCH(E24,Companies!$B:$B,0),"→ View"),"—")</f>
        <v>→ View</v>
      </c>
    </row>
    <row r="25" spans="1:14">
      <c r="A25" s="9">
        <f>IF(tblContacts[[#This Row],[First Name]]&lt;&gt;0,ROW()-1,"")</f>
        <v>24</v>
      </c>
      <c r="B25" s="50" t="s">
        <v>799</v>
      </c>
      <c r="C25" s="50" t="s">
        <v>802</v>
      </c>
      <c r="D25" s="10"/>
      <c r="E25" s="10" t="s">
        <v>2188</v>
      </c>
      <c r="F25" s="10" t="s">
        <v>803</v>
      </c>
      <c r="G25" s="10"/>
      <c r="H25" s="10" t="s">
        <v>2824</v>
      </c>
      <c r="I25" s="10" t="s">
        <v>2171</v>
      </c>
      <c r="J25" s="10"/>
      <c r="K25" s="7" cm="1">
        <f t="array" ref="K25">IFERROR(LOOKUP(2,1/('Outreach Log'!$C$2:$C$9998=F25),'Outreach Log'!$B$2:$B$9998),"")</f>
        <v>46126</v>
      </c>
      <c r="L25" s="5" t="str">
        <f>IFERROR(INDEX('Outreach Log'!$F:$F,MATCH(TEXT(K25,"YYYY-MM-DD")&amp;F25,'Outreach Log'!$L:$L,0)),"")</f>
        <v>Email</v>
      </c>
      <c r="M25" s="6" t="str">
        <f>IFERROR(HYPERLINK("#'Outreach Log'!A"&amp;MATCH(TEXT(K25,"YYYY-MM-DD")&amp;F25,'Outreach Log'!$L:$L,0),"→ View"),"—")</f>
        <v>→ View</v>
      </c>
      <c r="N25" s="6" t="str">
        <f>IFERROR(HYPERLINK("#Companies!A"&amp;MATCH(E25,Companies!$B:$B,0),"→ View"),"—")</f>
        <v>→ View</v>
      </c>
    </row>
    <row r="26" spans="1:14">
      <c r="A26" s="9">
        <f>IF(tblContacts[[#This Row],[First Name]]&lt;&gt;0,ROW()-1,"")</f>
        <v>25</v>
      </c>
      <c r="B26" s="50" t="s">
        <v>799</v>
      </c>
      <c r="C26" s="50" t="s">
        <v>1424</v>
      </c>
      <c r="D26" s="10" t="s">
        <v>3261</v>
      </c>
      <c r="E26" s="10" t="s">
        <v>3056</v>
      </c>
      <c r="F26" s="10"/>
      <c r="G26" s="10" t="s">
        <v>3255</v>
      </c>
      <c r="H26" s="10" t="s">
        <v>2824</v>
      </c>
      <c r="I26" s="44" t="s">
        <v>3363</v>
      </c>
      <c r="K26" s="7" cm="1">
        <f t="array" ref="K26">IFERROR(LOOKUP(2,1/('Outreach Log'!$C$2:$C$9998=F26),'Outreach Log'!$B$2:$B$9998),"")</f>
        <v>0</v>
      </c>
      <c r="L26" s="5" t="str">
        <f>IFERROR(INDEX('Outreach Log'!$F:$F,MATCH(TEXT(K26,"YYYY-MM-DD")&amp;F26,'Outreach Log'!$L:$L,0)),"")</f>
        <v/>
      </c>
      <c r="M26" s="6" t="str">
        <f>IFERROR(HYPERLINK("#'Outreach Log'!A"&amp;MATCH(TEXT(K26,"YYYY-MM-DD")&amp;F26,'Outreach Log'!$L:$L,0),"→ View"),"—")</f>
        <v>—</v>
      </c>
      <c r="N26" s="6" t="str">
        <f>IFERROR(HYPERLINK("#Companies!A"&amp;MATCH(E26,Companies!$B:$B,0),"→ View"),"—")</f>
        <v>→ View</v>
      </c>
    </row>
    <row r="27" spans="1:14">
      <c r="A27" s="9">
        <f>IF(tblContacts[[#This Row],[First Name]]&lt;&gt;0,ROW()-1,"")</f>
        <v>26</v>
      </c>
      <c r="B27" s="56" t="s">
        <v>799</v>
      </c>
      <c r="C27" s="56" t="s">
        <v>3302</v>
      </c>
      <c r="D27" s="10" t="s">
        <v>3303</v>
      </c>
      <c r="E27" s="10" t="s">
        <v>3114</v>
      </c>
      <c r="F27" s="10" t="s">
        <v>3304</v>
      </c>
      <c r="G27" s="10"/>
      <c r="H27" s="10" t="s">
        <v>2824</v>
      </c>
      <c r="I27" s="44" t="s">
        <v>3363</v>
      </c>
      <c r="K27" s="7" t="str" cm="1">
        <f t="array" ref="K27">IFERROR(LOOKUP(2,1/('Outreach Log'!$C$2:$C$9998=F27),'Outreach Log'!$B$2:$B$9998),"")</f>
        <v/>
      </c>
      <c r="L27" s="5" t="str">
        <f>IFERROR(INDEX('Outreach Log'!$F:$F,MATCH(TEXT(K27,"YYYY-MM-DD")&amp;F27,'Outreach Log'!$L:$L,0)),"")</f>
        <v/>
      </c>
      <c r="M27" s="6" t="str">
        <f>IFERROR(HYPERLINK("#'Outreach Log'!A"&amp;MATCH(TEXT(K27,"YYYY-MM-DD")&amp;F27,'Outreach Log'!$L:$L,0),"→ View"),"—")</f>
        <v>—</v>
      </c>
      <c r="N27" s="6" t="str">
        <f>IFERROR(HYPERLINK("#Companies!A"&amp;MATCH(E27,Companies!$B:$B,0),"→ View"),"—")</f>
        <v>→ View</v>
      </c>
    </row>
    <row r="28" spans="1:14">
      <c r="A28" s="9">
        <f>IF(tblContacts[[#This Row],[First Name]]&lt;&gt;0,ROW()-1,"")</f>
        <v>27</v>
      </c>
      <c r="B28" s="50" t="s">
        <v>809</v>
      </c>
      <c r="C28" s="50" t="s">
        <v>810</v>
      </c>
      <c r="D28" s="10" t="s">
        <v>729</v>
      </c>
      <c r="E28" s="10"/>
      <c r="F28" s="10" t="s">
        <v>811</v>
      </c>
      <c r="G28" s="10"/>
      <c r="H28" s="10" t="s">
        <v>2824</v>
      </c>
      <c r="I28" s="10" t="s">
        <v>2171</v>
      </c>
      <c r="J28" s="10"/>
      <c r="K28" s="7" t="str" cm="1">
        <f t="array" ref="K28">IFERROR(LOOKUP(2,1/('Outreach Log'!$C$2:$C$9998=F28),'Outreach Log'!$B$2:$B$9998),"")</f>
        <v/>
      </c>
      <c r="L28" s="5" t="str">
        <f>IFERROR(INDEX('Outreach Log'!$F:$F,MATCH(TEXT(K28,"YYYY-MM-DD")&amp;F28,'Outreach Log'!$L:$L,0)),"")</f>
        <v/>
      </c>
      <c r="M28" s="6" t="str">
        <f>IFERROR(HYPERLINK("#'Outreach Log'!A"&amp;MATCH(TEXT(K28,"YYYY-MM-DD")&amp;F28,'Outreach Log'!$L:$L,0),"→ View"),"—")</f>
        <v>—</v>
      </c>
      <c r="N28" s="6" t="str">
        <f>IFERROR(HYPERLINK("#Companies!A"&amp;MATCH(E28,Companies!$B:$B,0),"→ View"),"—")</f>
        <v>—</v>
      </c>
    </row>
    <row r="29" spans="1:14">
      <c r="A29" s="9">
        <f>IF(tblContacts[[#This Row],[First Name]]&lt;&gt;0,ROW()-1,"")</f>
        <v>28</v>
      </c>
      <c r="B29" s="55" t="s">
        <v>2849</v>
      </c>
      <c r="C29" s="55" t="s">
        <v>752</v>
      </c>
      <c r="E29" s="10"/>
      <c r="F29" s="10" t="s">
        <v>2850</v>
      </c>
      <c r="H29" s="10" t="s">
        <v>2824</v>
      </c>
      <c r="I29" s="44" t="s">
        <v>2873</v>
      </c>
      <c r="K29" s="7" t="str" cm="1">
        <f t="array" ref="K29">IFERROR(LOOKUP(2,1/('Outreach Log'!$C$2:$C$9998=F29),'Outreach Log'!$B$2:$B$9998),"")</f>
        <v/>
      </c>
      <c r="L29" s="5" t="str">
        <f>IFERROR(INDEX('Outreach Log'!$F:$F,MATCH(TEXT(K29,"YYYY-MM-DD")&amp;F29,'Outreach Log'!$L:$L,0)),"")</f>
        <v/>
      </c>
      <c r="M29" s="6" t="str">
        <f>IFERROR(HYPERLINK("#'Outreach Log'!A"&amp;MATCH(TEXT(K29,"YYYY-MM-DD")&amp;F29,'Outreach Log'!$L:$L,0),"→ View"),"—")</f>
        <v>—</v>
      </c>
      <c r="N29" s="6" t="str">
        <f>IFERROR(HYPERLINK("#Companies!A"&amp;MATCH(E29,Companies!$B:$B,0),"→ View"),"—")</f>
        <v>—</v>
      </c>
    </row>
    <row r="30" spans="1:14">
      <c r="A30" s="9">
        <f>IF(tblContacts[[#This Row],[First Name]]&lt;&gt;0,ROW()-1,"")</f>
        <v>29</v>
      </c>
      <c r="B30" s="50" t="s">
        <v>812</v>
      </c>
      <c r="C30" s="50" t="s">
        <v>815</v>
      </c>
      <c r="D30" s="10" t="s">
        <v>816</v>
      </c>
      <c r="E30" s="10" t="s">
        <v>89</v>
      </c>
      <c r="F30" s="10" t="s">
        <v>817</v>
      </c>
      <c r="G30" s="10"/>
      <c r="H30" s="10" t="s">
        <v>2824</v>
      </c>
      <c r="I30" s="10" t="s">
        <v>13</v>
      </c>
      <c r="J30" s="10"/>
      <c r="K30" s="7" cm="1">
        <f t="array" ref="K30">IFERROR(LOOKUP(2,1/('Outreach Log'!$C$2:$C$9998=F30),'Outreach Log'!$B$2:$B$9998),"")</f>
        <v>46126</v>
      </c>
      <c r="L30" s="5" t="str">
        <f>IFERROR(INDEX('Outreach Log'!$F:$F,MATCH(TEXT(K30,"YYYY-MM-DD")&amp;F30,'Outreach Log'!$L:$L,0)),"")</f>
        <v>Email</v>
      </c>
      <c r="M30" s="6" t="str">
        <f>IFERROR(HYPERLINK("#'Outreach Log'!A"&amp;MATCH(TEXT(K30,"YYYY-MM-DD")&amp;F30,'Outreach Log'!$L:$L,0),"→ View"),"—")</f>
        <v>→ View</v>
      </c>
      <c r="N30" s="6" t="str">
        <f>IFERROR(HYPERLINK("#Companies!A"&amp;MATCH(E30,Companies!$B:$B,0),"→ View"),"—")</f>
        <v>→ View</v>
      </c>
    </row>
    <row r="31" spans="1:14">
      <c r="A31" s="9">
        <f>IF(tblContacts[[#This Row],[First Name]]&lt;&gt;0,ROW()-1,"")</f>
        <v>30</v>
      </c>
      <c r="B31" s="50" t="s">
        <v>812</v>
      </c>
      <c r="C31" s="50" t="s">
        <v>818</v>
      </c>
      <c r="D31" s="10"/>
      <c r="E31" s="10" t="s">
        <v>2189</v>
      </c>
      <c r="F31" s="10" t="s">
        <v>819</v>
      </c>
      <c r="G31" s="10"/>
      <c r="H31" s="10" t="s">
        <v>2824</v>
      </c>
      <c r="I31" s="10" t="s">
        <v>2171</v>
      </c>
      <c r="J31" s="10"/>
      <c r="K31" s="7" t="str" cm="1">
        <f t="array" ref="K31">IFERROR(LOOKUP(2,1/('Outreach Log'!$C$2:$C$9998=F31),'Outreach Log'!$B$2:$B$9998),"")</f>
        <v/>
      </c>
      <c r="L31" s="5" t="str">
        <f>IFERROR(INDEX('Outreach Log'!$F:$F,MATCH(TEXT(K31,"YYYY-MM-DD")&amp;F31,'Outreach Log'!$L:$L,0)),"")</f>
        <v/>
      </c>
      <c r="M31" s="6" t="str">
        <f>IFERROR(HYPERLINK("#'Outreach Log'!A"&amp;MATCH(TEXT(K31,"YYYY-MM-DD")&amp;F31,'Outreach Log'!$L:$L,0),"→ View"),"—")</f>
        <v>—</v>
      </c>
      <c r="N31" s="6" t="str">
        <f>IFERROR(HYPERLINK("#Companies!A"&amp;MATCH(E31,Companies!$B:$B,0),"→ View"),"—")</f>
        <v>→ View</v>
      </c>
    </row>
    <row r="32" spans="1:14">
      <c r="A32" s="9">
        <f>IF(tblContacts[[#This Row],[First Name]]&lt;&gt;0,ROW()-1,"")</f>
        <v>31</v>
      </c>
      <c r="B32" s="50" t="s">
        <v>820</v>
      </c>
      <c r="C32" s="50" t="s">
        <v>821</v>
      </c>
      <c r="D32" s="10"/>
      <c r="E32" s="10" t="s">
        <v>2190</v>
      </c>
      <c r="F32" s="10" t="s">
        <v>822</v>
      </c>
      <c r="G32" s="10"/>
      <c r="H32" s="10" t="s">
        <v>2824</v>
      </c>
      <c r="I32" s="10" t="s">
        <v>2171</v>
      </c>
      <c r="J32" s="10"/>
      <c r="K32" s="7" t="str" cm="1">
        <f t="array" ref="K32">IFERROR(LOOKUP(2,1/('Outreach Log'!$C$2:$C$9998=F32),'Outreach Log'!$B$2:$B$9998),"")</f>
        <v/>
      </c>
      <c r="L32" s="5" t="str">
        <f>IFERROR(INDEX('Outreach Log'!$F:$F,MATCH(TEXT(K32,"YYYY-MM-DD")&amp;F32,'Outreach Log'!$L:$L,0)),"")</f>
        <v/>
      </c>
      <c r="M32" s="6" t="str">
        <f>IFERROR(HYPERLINK("#'Outreach Log'!A"&amp;MATCH(TEXT(K32,"YYYY-MM-DD")&amp;F32,'Outreach Log'!$L:$L,0),"→ View"),"—")</f>
        <v>—</v>
      </c>
      <c r="N32" s="6" t="str">
        <f>IFERROR(HYPERLINK("#Companies!A"&amp;MATCH(E32,Companies!$B:$B,0),"→ View"),"—")</f>
        <v>→ View</v>
      </c>
    </row>
    <row r="33" spans="1:14">
      <c r="A33" s="9">
        <f>IF(tblContacts[[#This Row],[First Name]]&lt;&gt;0,ROW()-1,"")</f>
        <v>32</v>
      </c>
      <c r="B33" s="50" t="s">
        <v>823</v>
      </c>
      <c r="C33" s="50" t="s">
        <v>824</v>
      </c>
      <c r="D33" s="10"/>
      <c r="E33" s="10" t="s">
        <v>2191</v>
      </c>
      <c r="F33" s="10" t="s">
        <v>825</v>
      </c>
      <c r="G33" s="10"/>
      <c r="H33" s="10" t="s">
        <v>2824</v>
      </c>
      <c r="I33" s="10" t="s">
        <v>2171</v>
      </c>
      <c r="J33" s="10"/>
      <c r="K33" s="7" t="str" cm="1">
        <f t="array" ref="K33">IFERROR(LOOKUP(2,1/('Outreach Log'!$C$2:$C$9998=F33),'Outreach Log'!$B$2:$B$9998),"")</f>
        <v/>
      </c>
      <c r="L33" s="5" t="str">
        <f>IFERROR(INDEX('Outreach Log'!$F:$F,MATCH(TEXT(K33,"YYYY-MM-DD")&amp;F33,'Outreach Log'!$L:$L,0)),"")</f>
        <v/>
      </c>
      <c r="M33" s="6" t="str">
        <f>IFERROR(HYPERLINK("#'Outreach Log'!A"&amp;MATCH(TEXT(K33,"YYYY-MM-DD")&amp;F33,'Outreach Log'!$L:$L,0),"→ View"),"—")</f>
        <v>—</v>
      </c>
      <c r="N33" s="6" t="str">
        <f>IFERROR(HYPERLINK("#Companies!A"&amp;MATCH(E33,Companies!$B:$B,0),"→ View"),"—")</f>
        <v>→ View</v>
      </c>
    </row>
    <row r="34" spans="1:14">
      <c r="A34" s="9">
        <f>IF(tblContacts[[#This Row],[First Name]]&lt;&gt;0,ROW()-1,"")</f>
        <v>33</v>
      </c>
      <c r="B34" s="50" t="s">
        <v>826</v>
      </c>
      <c r="C34" s="50" t="s">
        <v>827</v>
      </c>
      <c r="D34" s="10"/>
      <c r="E34" s="10" t="s">
        <v>2170</v>
      </c>
      <c r="F34" s="10" t="s">
        <v>828</v>
      </c>
      <c r="G34" s="10"/>
      <c r="H34" s="10" t="s">
        <v>2824</v>
      </c>
      <c r="I34" s="10" t="s">
        <v>2171</v>
      </c>
      <c r="J34" s="10"/>
      <c r="K34" s="7" t="str" cm="1">
        <f t="array" ref="K34">IFERROR(LOOKUP(2,1/('Outreach Log'!$C$2:$C$9998=F34),'Outreach Log'!$B$2:$B$9998),"")</f>
        <v/>
      </c>
      <c r="L34" s="5" t="str">
        <f>IFERROR(INDEX('Outreach Log'!$F:$F,MATCH(TEXT(K34,"YYYY-MM-DD")&amp;F34,'Outreach Log'!$L:$L,0)),"")</f>
        <v/>
      </c>
      <c r="M34" s="6" t="str">
        <f>IFERROR(HYPERLINK("#'Outreach Log'!A"&amp;MATCH(TEXT(K34,"YYYY-MM-DD")&amp;F34,'Outreach Log'!$L:$L,0),"→ View"),"—")</f>
        <v>—</v>
      </c>
      <c r="N34" s="6" t="str">
        <f>IFERROR(HYPERLINK("#Companies!A"&amp;MATCH(E34,Companies!$B:$B,0),"→ View"),"—")</f>
        <v>→ View</v>
      </c>
    </row>
    <row r="35" spans="1:14">
      <c r="A35" s="9">
        <f>IF(tblContacts[[#This Row],[First Name]]&lt;&gt;0,ROW()-1,"")</f>
        <v>34</v>
      </c>
      <c r="B35" s="50" t="s">
        <v>826</v>
      </c>
      <c r="C35" s="50" t="s">
        <v>829</v>
      </c>
      <c r="D35" s="10"/>
      <c r="E35" s="10" t="s">
        <v>2192</v>
      </c>
      <c r="F35" s="10" t="s">
        <v>830</v>
      </c>
      <c r="G35" s="10"/>
      <c r="H35" s="10" t="s">
        <v>2824</v>
      </c>
      <c r="I35" s="10" t="s">
        <v>2171</v>
      </c>
      <c r="J35" s="10"/>
      <c r="K35" s="7" cm="1">
        <f t="array" ref="K35">IFERROR(LOOKUP(2,1/('Outreach Log'!$C$2:$C$9998=F35),'Outreach Log'!$B$2:$B$9998),"")</f>
        <v>46126</v>
      </c>
      <c r="L35" s="5" t="str">
        <f>IFERROR(INDEX('Outreach Log'!$F:$F,MATCH(TEXT(K35,"YYYY-MM-DD")&amp;F35,'Outreach Log'!$L:$L,0)),"")</f>
        <v>Email</v>
      </c>
      <c r="M35" s="6" t="str">
        <f>IFERROR(HYPERLINK("#'Outreach Log'!A"&amp;MATCH(TEXT(K35,"YYYY-MM-DD")&amp;F35,'Outreach Log'!$L:$L,0),"→ View"),"—")</f>
        <v>→ View</v>
      </c>
      <c r="N35" s="6" t="str">
        <f>IFERROR(HYPERLINK("#Companies!A"&amp;MATCH(E35,Companies!$B:$B,0),"→ View"),"—")</f>
        <v>→ View</v>
      </c>
    </row>
    <row r="36" spans="1:14">
      <c r="A36" s="9">
        <f>IF(tblContacts[[#This Row],[First Name]]&lt;&gt;0,ROW()-1,"")</f>
        <v>35</v>
      </c>
      <c r="B36" s="50" t="s">
        <v>826</v>
      </c>
      <c r="C36" s="50" t="s">
        <v>748</v>
      </c>
      <c r="D36" s="10"/>
      <c r="E36" s="10" t="s">
        <v>96</v>
      </c>
      <c r="F36" s="10" t="s">
        <v>831</v>
      </c>
      <c r="G36" s="10"/>
      <c r="H36" s="10" t="s">
        <v>2824</v>
      </c>
      <c r="I36" s="10" t="s">
        <v>2171</v>
      </c>
      <c r="J36" s="10"/>
      <c r="K36" s="7" cm="1">
        <f t="array" ref="K36">IFERROR(LOOKUP(2,1/('Outreach Log'!$C$2:$C$9998=F36),'Outreach Log'!$B$2:$B$9998),"")</f>
        <v>46126</v>
      </c>
      <c r="L36" s="5" t="str">
        <f>IFERROR(INDEX('Outreach Log'!$F:$F,MATCH(TEXT(K36,"YYYY-MM-DD")&amp;F36,'Outreach Log'!$L:$L,0)),"")</f>
        <v>Email</v>
      </c>
      <c r="M36" s="6" t="str">
        <f>IFERROR(HYPERLINK("#'Outreach Log'!A"&amp;MATCH(TEXT(K36,"YYYY-MM-DD")&amp;F36,'Outreach Log'!$L:$L,0),"→ View"),"—")</f>
        <v>→ View</v>
      </c>
      <c r="N36" s="6" t="str">
        <f>IFERROR(HYPERLINK("#Companies!A"&amp;MATCH(E36,Companies!$B:$B,0),"→ View"),"—")</f>
        <v>→ View</v>
      </c>
    </row>
    <row r="37" spans="1:14">
      <c r="A37" s="9">
        <f>IF(tblContacts[[#This Row],[First Name]]&lt;&gt;0,ROW()-1,"")</f>
        <v>36</v>
      </c>
      <c r="B37" s="50" t="s">
        <v>832</v>
      </c>
      <c r="C37" s="50" t="s">
        <v>833</v>
      </c>
      <c r="D37" s="10"/>
      <c r="E37" s="10" t="s">
        <v>2193</v>
      </c>
      <c r="F37" s="10" t="s">
        <v>834</v>
      </c>
      <c r="G37" s="10"/>
      <c r="H37" s="10" t="s">
        <v>2824</v>
      </c>
      <c r="I37" s="10" t="s">
        <v>2171</v>
      </c>
      <c r="J37" s="10"/>
      <c r="K37" s="7" cm="1">
        <f t="array" ref="K37">IFERROR(LOOKUP(2,1/('Outreach Log'!$C$2:$C$9998=F37),'Outreach Log'!$B$2:$B$9998),"")</f>
        <v>46126</v>
      </c>
      <c r="L37" s="5" t="str">
        <f>IFERROR(INDEX('Outreach Log'!$F:$F,MATCH(TEXT(K37,"YYYY-MM-DD")&amp;F37,'Outreach Log'!$L:$L,0)),"")</f>
        <v>Email</v>
      </c>
      <c r="M37" s="6" t="str">
        <f>IFERROR(HYPERLINK("#'Outreach Log'!A"&amp;MATCH(TEXT(K37,"YYYY-MM-DD")&amp;F37,'Outreach Log'!$L:$L,0),"→ View"),"—")</f>
        <v>→ View</v>
      </c>
      <c r="N37" s="6" t="str">
        <f>IFERROR(HYPERLINK("#Companies!A"&amp;MATCH(E37,Companies!$B:$B,0),"→ View"),"—")</f>
        <v>→ View</v>
      </c>
    </row>
    <row r="38" spans="1:14">
      <c r="A38" s="9">
        <f>IF(tblContacts[[#This Row],[First Name]]&lt;&gt;0,ROW()-1,"")</f>
        <v>37</v>
      </c>
      <c r="B38" s="50" t="s">
        <v>826</v>
      </c>
      <c r="C38" s="50" t="s">
        <v>837</v>
      </c>
      <c r="D38" s="10"/>
      <c r="E38" s="10" t="s">
        <v>102</v>
      </c>
      <c r="F38" s="10" t="s">
        <v>838</v>
      </c>
      <c r="G38" s="10"/>
      <c r="H38" s="10" t="s">
        <v>2824</v>
      </c>
      <c r="I38" s="10" t="s">
        <v>2171</v>
      </c>
      <c r="J38" s="10"/>
      <c r="K38" s="7" t="str" cm="1">
        <f t="array" ref="K38">IFERROR(LOOKUP(2,1/('Outreach Log'!$C$2:$C$9998=F38),'Outreach Log'!$B$2:$B$9998),"")</f>
        <v/>
      </c>
      <c r="L38" s="5" t="str">
        <f>IFERROR(INDEX('Outreach Log'!$F:$F,MATCH(TEXT(K38,"YYYY-MM-DD")&amp;F38,'Outreach Log'!$L:$L,0)),"")</f>
        <v/>
      </c>
      <c r="M38" s="6" t="str">
        <f>IFERROR(HYPERLINK("#'Outreach Log'!A"&amp;MATCH(TEXT(K38,"YYYY-MM-DD")&amp;F38,'Outreach Log'!$L:$L,0),"→ View"),"—")</f>
        <v>—</v>
      </c>
      <c r="N38" s="6" t="str">
        <f>IFERROR(HYPERLINK("#Companies!A"&amp;MATCH(E38,Companies!$B:$B,0),"→ View"),"—")</f>
        <v>→ View</v>
      </c>
    </row>
    <row r="39" spans="1:14">
      <c r="A39" s="9">
        <f>IF(tblContacts[[#This Row],[First Name]]&lt;&gt;0,ROW()-1,"")</f>
        <v>38</v>
      </c>
      <c r="B39" s="50" t="s">
        <v>826</v>
      </c>
      <c r="C39" s="50" t="s">
        <v>841</v>
      </c>
      <c r="D39" s="10"/>
      <c r="E39" s="10" t="s">
        <v>2195</v>
      </c>
      <c r="F39" s="10" t="s">
        <v>842</v>
      </c>
      <c r="G39" s="10"/>
      <c r="H39" s="10" t="s">
        <v>2824</v>
      </c>
      <c r="I39" s="10" t="s">
        <v>2171</v>
      </c>
      <c r="J39" s="10"/>
      <c r="K39" s="7" t="str" cm="1">
        <f t="array" ref="K39">IFERROR(LOOKUP(2,1/('Outreach Log'!$C$2:$C$9998=F39),'Outreach Log'!$B$2:$B$9998),"")</f>
        <v/>
      </c>
      <c r="L39" s="5" t="str">
        <f>IFERROR(INDEX('Outreach Log'!$F:$F,MATCH(TEXT(K39,"YYYY-MM-DD")&amp;F39,'Outreach Log'!$L:$L,0)),"")</f>
        <v/>
      </c>
      <c r="M39" s="6" t="str">
        <f>IFERROR(HYPERLINK("#'Outreach Log'!A"&amp;MATCH(TEXT(K39,"YYYY-MM-DD")&amp;F39,'Outreach Log'!$L:$L,0),"→ View"),"—")</f>
        <v>—</v>
      </c>
      <c r="N39" s="6" t="str">
        <f>IFERROR(HYPERLINK("#Companies!A"&amp;MATCH(E39,Companies!$B:$B,0),"→ View"),"—")</f>
        <v>→ View</v>
      </c>
    </row>
    <row r="40" spans="1:14">
      <c r="A40" s="9">
        <f>IF(tblContacts[[#This Row],[First Name]]&lt;&gt;0,ROW()-1,"")</f>
        <v>39</v>
      </c>
      <c r="B40" s="50" t="s">
        <v>843</v>
      </c>
      <c r="C40" s="50" t="s">
        <v>844</v>
      </c>
      <c r="D40" s="10"/>
      <c r="E40" s="10" t="s">
        <v>2196</v>
      </c>
      <c r="F40" s="10" t="s">
        <v>845</v>
      </c>
      <c r="G40" s="10"/>
      <c r="H40" s="10" t="s">
        <v>2824</v>
      </c>
      <c r="I40" s="10" t="s">
        <v>2171</v>
      </c>
      <c r="J40" s="10"/>
      <c r="K40" s="7" t="str" cm="1">
        <f t="array" ref="K40">IFERROR(LOOKUP(2,1/('Outreach Log'!$C$2:$C$9998=F40),'Outreach Log'!$B$2:$B$9998),"")</f>
        <v/>
      </c>
      <c r="L40" s="5" t="str">
        <f>IFERROR(INDEX('Outreach Log'!$F:$F,MATCH(TEXT(K40,"YYYY-MM-DD")&amp;F40,'Outreach Log'!$L:$L,0)),"")</f>
        <v/>
      </c>
      <c r="M40" s="6" t="str">
        <f>IFERROR(HYPERLINK("#'Outreach Log'!A"&amp;MATCH(TEXT(K40,"YYYY-MM-DD")&amp;F40,'Outreach Log'!$L:$L,0),"→ View"),"—")</f>
        <v>—</v>
      </c>
      <c r="N40" s="6" t="str">
        <f>IFERROR(HYPERLINK("#Companies!A"&amp;MATCH(E40,Companies!$B:$B,0),"→ View"),"—")</f>
        <v>→ View</v>
      </c>
    </row>
    <row r="41" spans="1:14">
      <c r="A41" s="9">
        <f>IF(tblContacts[[#This Row],[First Name]]&lt;&gt;0,ROW()-1,"")</f>
        <v>40</v>
      </c>
      <c r="B41" s="50" t="s">
        <v>843</v>
      </c>
      <c r="C41" s="50" t="s">
        <v>846</v>
      </c>
      <c r="D41" s="10"/>
      <c r="E41" s="10" t="s">
        <v>2197</v>
      </c>
      <c r="F41" s="10" t="s">
        <v>847</v>
      </c>
      <c r="G41" s="10"/>
      <c r="H41" s="10" t="s">
        <v>2824</v>
      </c>
      <c r="I41" s="10" t="s">
        <v>2171</v>
      </c>
      <c r="J41" s="10"/>
      <c r="K41" s="7" t="str" cm="1">
        <f t="array" ref="K41">IFERROR(LOOKUP(2,1/('Outreach Log'!$C$2:$C$9998=F41),'Outreach Log'!$B$2:$B$9998),"")</f>
        <v/>
      </c>
      <c r="L41" s="5" t="str">
        <f>IFERROR(INDEX('Outreach Log'!$F:$F,MATCH(TEXT(K41,"YYYY-MM-DD")&amp;F41,'Outreach Log'!$L:$L,0)),"")</f>
        <v/>
      </c>
      <c r="M41" s="6" t="str">
        <f>IFERROR(HYPERLINK("#'Outreach Log'!A"&amp;MATCH(TEXT(K41,"YYYY-MM-DD")&amp;F41,'Outreach Log'!$L:$L,0),"→ View"),"—")</f>
        <v>—</v>
      </c>
      <c r="N41" s="6" t="str">
        <f>IFERROR(HYPERLINK("#Companies!A"&amp;MATCH(E41,Companies!$B:$B,0),"→ View"),"—")</f>
        <v>→ View</v>
      </c>
    </row>
    <row r="42" spans="1:14">
      <c r="A42" s="9">
        <f>IF(tblContacts[[#This Row],[First Name]]&lt;&gt;0,ROW()-1,"")</f>
        <v>41</v>
      </c>
      <c r="B42" s="50" t="s">
        <v>843</v>
      </c>
      <c r="C42" s="50" t="s">
        <v>848</v>
      </c>
      <c r="D42" s="10" t="s">
        <v>768</v>
      </c>
      <c r="E42" s="10" t="s">
        <v>2198</v>
      </c>
      <c r="F42" s="10" t="s">
        <v>849</v>
      </c>
      <c r="G42" s="10"/>
      <c r="H42" s="10" t="s">
        <v>2824</v>
      </c>
      <c r="I42" s="10" t="s">
        <v>2171</v>
      </c>
      <c r="J42" s="10"/>
      <c r="K42" s="7" t="str" cm="1">
        <f t="array" ref="K42">IFERROR(LOOKUP(2,1/('Outreach Log'!$C$2:$C$9998=F42),'Outreach Log'!$B$2:$B$9998),"")</f>
        <v/>
      </c>
      <c r="L42" s="5" t="str">
        <f>IFERROR(INDEX('Outreach Log'!$F:$F,MATCH(TEXT(K42,"YYYY-MM-DD")&amp;F42,'Outreach Log'!$L:$L,0)),"")</f>
        <v/>
      </c>
      <c r="M42" s="6" t="str">
        <f>IFERROR(HYPERLINK("#'Outreach Log'!A"&amp;MATCH(TEXT(K42,"YYYY-MM-DD")&amp;F42,'Outreach Log'!$L:$L,0),"→ View"),"—")</f>
        <v>—</v>
      </c>
      <c r="N42" s="6" t="str">
        <f>IFERROR(HYPERLINK("#Companies!A"&amp;MATCH(E42,Companies!$B:$B,0),"→ View"),"—")</f>
        <v>→ View</v>
      </c>
    </row>
    <row r="43" spans="1:14">
      <c r="A43" s="9">
        <f>IF(tblContacts[[#This Row],[First Name]]&lt;&gt;0,ROW()-1,"")</f>
        <v>42</v>
      </c>
      <c r="B43" s="50" t="s">
        <v>843</v>
      </c>
      <c r="C43" s="50" t="s">
        <v>850</v>
      </c>
      <c r="D43" s="10"/>
      <c r="E43" s="10" t="s">
        <v>2199</v>
      </c>
      <c r="F43" s="10" t="s">
        <v>851</v>
      </c>
      <c r="G43" s="10"/>
      <c r="H43" s="10" t="s">
        <v>2824</v>
      </c>
      <c r="I43" s="10" t="s">
        <v>2171</v>
      </c>
      <c r="J43" s="10"/>
      <c r="K43" s="7" cm="1">
        <f t="array" ref="K43">IFERROR(LOOKUP(2,1/('Outreach Log'!$C$2:$C$9998=F43),'Outreach Log'!$B$2:$B$9998),"")</f>
        <v>46126</v>
      </c>
      <c r="L43" s="5" t="str">
        <f>IFERROR(INDEX('Outreach Log'!$F:$F,MATCH(TEXT(K43,"YYYY-MM-DD")&amp;F43,'Outreach Log'!$L:$L,0)),"")</f>
        <v>Email</v>
      </c>
      <c r="M43" s="6" t="str">
        <f>IFERROR(HYPERLINK("#'Outreach Log'!A"&amp;MATCH(TEXT(K43,"YYYY-MM-DD")&amp;F43,'Outreach Log'!$L:$L,0),"→ View"),"—")</f>
        <v>→ View</v>
      </c>
      <c r="N43" s="6" t="str">
        <f>IFERROR(HYPERLINK("#Companies!A"&amp;MATCH(E43,Companies!$B:$B,0),"→ View"),"—")</f>
        <v>→ View</v>
      </c>
    </row>
    <row r="44" spans="1:14">
      <c r="A44" s="9">
        <f>IF(tblContacts[[#This Row],[First Name]]&lt;&gt;0,ROW()-1,"")</f>
        <v>43</v>
      </c>
      <c r="B44" s="50" t="s">
        <v>852</v>
      </c>
      <c r="C44" s="50" t="s">
        <v>853</v>
      </c>
      <c r="D44" s="10"/>
      <c r="E44" s="10" t="s">
        <v>2200</v>
      </c>
      <c r="F44" s="10" t="s">
        <v>854</v>
      </c>
      <c r="G44" s="10"/>
      <c r="H44" s="10" t="s">
        <v>2824</v>
      </c>
      <c r="I44" s="10" t="s">
        <v>2171</v>
      </c>
      <c r="J44" s="10"/>
      <c r="K44" s="7" cm="1">
        <f t="array" ref="K44">IFERROR(LOOKUP(2,1/('Outreach Log'!$C$2:$C$9998=F44),'Outreach Log'!$B$2:$B$9998),"")</f>
        <v>46126</v>
      </c>
      <c r="L44" s="5" t="str">
        <f>IFERROR(INDEX('Outreach Log'!$F:$F,MATCH(TEXT(K44,"YYYY-MM-DD")&amp;F44,'Outreach Log'!$L:$L,0)),"")</f>
        <v>Email</v>
      </c>
      <c r="M44" s="6" t="str">
        <f>IFERROR(HYPERLINK("#'Outreach Log'!A"&amp;MATCH(TEXT(K44,"YYYY-MM-DD")&amp;F44,'Outreach Log'!$L:$L,0),"→ View"),"—")</f>
        <v>→ View</v>
      </c>
      <c r="N44" s="6" t="str">
        <f>IFERROR(HYPERLINK("#Companies!A"&amp;MATCH(E44,Companies!$B:$B,0),"→ View"),"—")</f>
        <v>→ View</v>
      </c>
    </row>
    <row r="45" spans="1:14">
      <c r="A45" s="9">
        <f>IF(tblContacts[[#This Row],[First Name]]&lt;&gt;0,ROW()-1,"")</f>
        <v>44</v>
      </c>
      <c r="B45" s="50" t="s">
        <v>855</v>
      </c>
      <c r="C45" s="50" t="s">
        <v>799</v>
      </c>
      <c r="D45" s="10"/>
      <c r="E45" s="10" t="s">
        <v>2201</v>
      </c>
      <c r="F45" s="10" t="s">
        <v>856</v>
      </c>
      <c r="G45" s="10"/>
      <c r="H45" s="10" t="s">
        <v>2824</v>
      </c>
      <c r="I45" s="10" t="s">
        <v>2171</v>
      </c>
      <c r="J45" s="10"/>
      <c r="K45" s="7" t="str" cm="1">
        <f t="array" ref="K45">IFERROR(LOOKUP(2,1/('Outreach Log'!$C$2:$C$9998=F45),'Outreach Log'!$B$2:$B$9998),"")</f>
        <v/>
      </c>
      <c r="L45" s="5" t="str">
        <f>IFERROR(INDEX('Outreach Log'!$F:$F,MATCH(TEXT(K45,"YYYY-MM-DD")&amp;F45,'Outreach Log'!$L:$L,0)),"")</f>
        <v/>
      </c>
      <c r="M45" s="6" t="str">
        <f>IFERROR(HYPERLINK("#'Outreach Log'!A"&amp;MATCH(TEXT(K45,"YYYY-MM-DD")&amp;F45,'Outreach Log'!$L:$L,0),"→ View"),"—")</f>
        <v>—</v>
      </c>
      <c r="N45" s="6" t="str">
        <f>IFERROR(HYPERLINK("#Companies!A"&amp;MATCH(E45,Companies!$B:$B,0),"→ View"),"—")</f>
        <v>→ View</v>
      </c>
    </row>
    <row r="46" spans="1:14">
      <c r="A46" s="9">
        <f>IF(tblContacts[[#This Row],[First Name]]&lt;&gt;0,ROW()-1,"")</f>
        <v>45</v>
      </c>
      <c r="B46" s="55" t="s">
        <v>2836</v>
      </c>
      <c r="C46" s="55" t="s">
        <v>2837</v>
      </c>
      <c r="E46" s="10" t="s">
        <v>2170</v>
      </c>
      <c r="F46" s="10" t="s">
        <v>2838</v>
      </c>
      <c r="H46" s="10" t="s">
        <v>2824</v>
      </c>
      <c r="I46" s="44" t="s">
        <v>2873</v>
      </c>
      <c r="K46" s="7" t="str" cm="1">
        <f t="array" ref="K46">IFERROR(LOOKUP(2,1/('Outreach Log'!$C$2:$C$9998=F46),'Outreach Log'!$B$2:$B$9998),"")</f>
        <v/>
      </c>
      <c r="L46" s="5" t="str">
        <f>IFERROR(INDEX('Outreach Log'!$F:$F,MATCH(TEXT(K46,"YYYY-MM-DD")&amp;F46,'Outreach Log'!$L:$L,0)),"")</f>
        <v/>
      </c>
      <c r="M46" s="6" t="str">
        <f>IFERROR(HYPERLINK("#'Outreach Log'!A"&amp;MATCH(TEXT(K46,"YYYY-MM-DD")&amp;F46,'Outreach Log'!$L:$L,0),"→ View"),"—")</f>
        <v>—</v>
      </c>
      <c r="N46" s="6" t="str">
        <f>IFERROR(HYPERLINK("#Companies!A"&amp;MATCH(E46,Companies!$B:$B,0),"→ View"),"—")</f>
        <v>→ View</v>
      </c>
    </row>
    <row r="47" spans="1:14">
      <c r="A47" s="9">
        <f>IF(tblContacts[[#This Row],[First Name]]&lt;&gt;0,ROW()-1,"")</f>
        <v>46</v>
      </c>
      <c r="B47" s="50" t="s">
        <v>869</v>
      </c>
      <c r="C47" s="50" t="s">
        <v>870</v>
      </c>
      <c r="D47" s="10"/>
      <c r="E47" s="10" t="s">
        <v>116</v>
      </c>
      <c r="F47" s="10" t="s">
        <v>871</v>
      </c>
      <c r="G47" s="10"/>
      <c r="H47" s="10" t="s">
        <v>2824</v>
      </c>
      <c r="I47" s="10" t="s">
        <v>2171</v>
      </c>
      <c r="J47" s="10"/>
      <c r="K47" s="7" t="str" cm="1">
        <f t="array" ref="K47">IFERROR(LOOKUP(2,1/('Outreach Log'!$C$2:$C$9998=F47),'Outreach Log'!$B$2:$B$9998),"")</f>
        <v/>
      </c>
      <c r="L47" s="5" t="str">
        <f>IFERROR(INDEX('Outreach Log'!$F:$F,MATCH(TEXT(K47,"YYYY-MM-DD")&amp;F47,'Outreach Log'!$L:$L,0)),"")</f>
        <v/>
      </c>
      <c r="M47" s="6" t="str">
        <f>IFERROR(HYPERLINK("#'Outreach Log'!A"&amp;MATCH(TEXT(K47,"YYYY-MM-DD")&amp;F47,'Outreach Log'!$L:$L,0),"→ View"),"—")</f>
        <v>—</v>
      </c>
      <c r="N47" s="6" t="str">
        <f>IFERROR(HYPERLINK("#Companies!A"&amp;MATCH(E47,Companies!$B:$B,0),"→ View"),"—")</f>
        <v>→ View</v>
      </c>
    </row>
    <row r="48" spans="1:14">
      <c r="A48" s="9">
        <f>IF(tblContacts[[#This Row],[First Name]]&lt;&gt;0,ROW()-1,"")</f>
        <v>47</v>
      </c>
      <c r="B48" s="50" t="s">
        <v>874</v>
      </c>
      <c r="C48" s="50" t="s">
        <v>3240</v>
      </c>
      <c r="D48" s="10" t="s">
        <v>3241</v>
      </c>
      <c r="E48" s="10" t="s">
        <v>3046</v>
      </c>
      <c r="F48" s="10" t="s">
        <v>3242</v>
      </c>
      <c r="G48" s="10"/>
      <c r="H48" s="10" t="s">
        <v>2824</v>
      </c>
      <c r="I48" s="44" t="s">
        <v>3363</v>
      </c>
      <c r="K48" s="7" cm="1">
        <f t="array" ref="K48">IFERROR(LOOKUP(2,1/('Outreach Log'!$C$2:$C$9998=F48),'Outreach Log'!$B$2:$B$9998),"")</f>
        <v>46126</v>
      </c>
      <c r="L48" s="5" t="str">
        <f>IFERROR(INDEX('Outreach Log'!$F:$F,MATCH(TEXT(K48,"YYYY-MM-DD")&amp;F48,'Outreach Log'!$L:$L,0)),"")</f>
        <v>Email</v>
      </c>
      <c r="M48" s="6" t="str">
        <f>IFERROR(HYPERLINK("#'Outreach Log'!A"&amp;MATCH(TEXT(K48,"YYYY-MM-DD")&amp;F48,'Outreach Log'!$L:$L,0),"→ View"),"—")</f>
        <v>→ View</v>
      </c>
      <c r="N48" s="6" t="str">
        <f>IFERROR(HYPERLINK("#Companies!A"&amp;MATCH(E48,Companies!$B:$B,0),"→ View"),"—")</f>
        <v>→ View</v>
      </c>
    </row>
    <row r="49" spans="1:14">
      <c r="A49" s="9">
        <f>IF(tblContacts[[#This Row],[First Name]]&lt;&gt;0,ROW()-1,"")</f>
        <v>48</v>
      </c>
      <c r="B49" s="50" t="s">
        <v>874</v>
      </c>
      <c r="C49" s="50" t="s">
        <v>875</v>
      </c>
      <c r="D49" s="10"/>
      <c r="E49" s="10" t="s">
        <v>2205</v>
      </c>
      <c r="F49" s="10" t="s">
        <v>876</v>
      </c>
      <c r="G49" s="10"/>
      <c r="H49" s="10" t="s">
        <v>2824</v>
      </c>
      <c r="I49" s="10" t="s">
        <v>2171</v>
      </c>
      <c r="J49" s="10"/>
      <c r="K49" s="7" t="str" cm="1">
        <f t="array" ref="K49">IFERROR(LOOKUP(2,1/('Outreach Log'!$C$2:$C$9998=F49),'Outreach Log'!$B$2:$B$9998),"")</f>
        <v/>
      </c>
      <c r="L49" s="5" t="str">
        <f>IFERROR(INDEX('Outreach Log'!$F:$F,MATCH(TEXT(K49,"YYYY-MM-DD")&amp;F49,'Outreach Log'!$L:$L,0)),"")</f>
        <v/>
      </c>
      <c r="M49" s="6" t="str">
        <f>IFERROR(HYPERLINK("#'Outreach Log'!A"&amp;MATCH(TEXT(K49,"YYYY-MM-DD")&amp;F49,'Outreach Log'!$L:$L,0),"→ View"),"—")</f>
        <v>—</v>
      </c>
      <c r="N49" s="6" t="str">
        <f>IFERROR(HYPERLINK("#Companies!A"&amp;MATCH(E49,Companies!$B:$B,0),"→ View"),"—")</f>
        <v>→ View</v>
      </c>
    </row>
    <row r="50" spans="1:14">
      <c r="A50" s="9">
        <f>IF(tblContacts[[#This Row],[First Name]]&lt;&gt;0,ROW()-1,"")</f>
        <v>49</v>
      </c>
      <c r="B50" s="50" t="s">
        <v>877</v>
      </c>
      <c r="C50" s="50" t="s">
        <v>878</v>
      </c>
      <c r="D50" s="10"/>
      <c r="E50" s="10" t="s">
        <v>2206</v>
      </c>
      <c r="F50" s="10" t="s">
        <v>879</v>
      </c>
      <c r="G50" s="10"/>
      <c r="H50" s="10" t="s">
        <v>2824</v>
      </c>
      <c r="I50" s="10" t="s">
        <v>2171</v>
      </c>
      <c r="J50" s="10"/>
      <c r="K50" s="7" cm="1">
        <f t="array" ref="K50">IFERROR(LOOKUP(2,1/('Outreach Log'!$C$2:$C$9998=F50),'Outreach Log'!$B$2:$B$9998),"")</f>
        <v>46126</v>
      </c>
      <c r="L50" s="5" t="str">
        <f>IFERROR(INDEX('Outreach Log'!$F:$F,MATCH(TEXT(K50,"YYYY-MM-DD")&amp;F50,'Outreach Log'!$L:$L,0)),"")</f>
        <v>Email</v>
      </c>
      <c r="M50" s="6" t="str">
        <f>IFERROR(HYPERLINK("#'Outreach Log'!A"&amp;MATCH(TEXT(K50,"YYYY-MM-DD")&amp;F50,'Outreach Log'!$L:$L,0),"→ View"),"—")</f>
        <v>→ View</v>
      </c>
      <c r="N50" s="6" t="str">
        <f>IFERROR(HYPERLINK("#Companies!A"&amp;MATCH(E50,Companies!$B:$B,0),"→ View"),"—")</f>
        <v>→ View</v>
      </c>
    </row>
    <row r="51" spans="1:14">
      <c r="A51" s="9">
        <f>IF(tblContacts[[#This Row],[First Name]]&lt;&gt;0,ROW()-1,"")</f>
        <v>50</v>
      </c>
      <c r="B51" s="50" t="s">
        <v>877</v>
      </c>
      <c r="C51" s="50" t="s">
        <v>880</v>
      </c>
      <c r="D51" s="10"/>
      <c r="E51" s="10" t="s">
        <v>2207</v>
      </c>
      <c r="F51" s="10" t="s">
        <v>881</v>
      </c>
      <c r="G51" s="10"/>
      <c r="H51" s="10" t="s">
        <v>2824</v>
      </c>
      <c r="I51" s="10" t="s">
        <v>2171</v>
      </c>
      <c r="J51" s="10"/>
      <c r="K51" s="7" t="str" cm="1">
        <f t="array" ref="K51">IFERROR(LOOKUP(2,1/('Outreach Log'!$C$2:$C$9998=F51),'Outreach Log'!$B$2:$B$9998),"")</f>
        <v/>
      </c>
      <c r="L51" s="5" t="str">
        <f>IFERROR(INDEX('Outreach Log'!$F:$F,MATCH(TEXT(K51,"YYYY-MM-DD")&amp;F51,'Outreach Log'!$L:$L,0)),"")</f>
        <v/>
      </c>
      <c r="M51" s="6" t="str">
        <f>IFERROR(HYPERLINK("#'Outreach Log'!A"&amp;MATCH(TEXT(K51,"YYYY-MM-DD")&amp;F51,'Outreach Log'!$L:$L,0),"→ View"),"—")</f>
        <v>—</v>
      </c>
      <c r="N51" s="6" t="str">
        <f>IFERROR(HYPERLINK("#Companies!A"&amp;MATCH(E51,Companies!$B:$B,0),"→ View"),"—")</f>
        <v>→ View</v>
      </c>
    </row>
    <row r="52" spans="1:14">
      <c r="A52" s="9">
        <f>IF(tblContacts[[#This Row],[First Name]]&lt;&gt;0,ROW()-1,"")</f>
        <v>51</v>
      </c>
      <c r="B52" s="50" t="s">
        <v>882</v>
      </c>
      <c r="C52" s="50" t="s">
        <v>883</v>
      </c>
      <c r="D52" s="10"/>
      <c r="E52" s="10" t="s">
        <v>124</v>
      </c>
      <c r="F52" s="10" t="s">
        <v>884</v>
      </c>
      <c r="G52" s="10"/>
      <c r="H52" s="10" t="s">
        <v>2824</v>
      </c>
      <c r="I52" s="10" t="s">
        <v>2171</v>
      </c>
      <c r="J52" s="10"/>
      <c r="K52" s="7" cm="1">
        <f t="array" ref="K52">IFERROR(LOOKUP(2,1/('Outreach Log'!$C$2:$C$9998=F52),'Outreach Log'!$B$2:$B$9998),"")</f>
        <v>46126</v>
      </c>
      <c r="L52" s="5" t="str">
        <f>IFERROR(INDEX('Outreach Log'!$F:$F,MATCH(TEXT(K52,"YYYY-MM-DD")&amp;F52,'Outreach Log'!$L:$L,0)),"")</f>
        <v>Email</v>
      </c>
      <c r="M52" s="6" t="str">
        <f>IFERROR(HYPERLINK("#'Outreach Log'!A"&amp;MATCH(TEXT(K52,"YYYY-MM-DD")&amp;F52,'Outreach Log'!$L:$L,0),"→ View"),"—")</f>
        <v>→ View</v>
      </c>
      <c r="N52" s="6" t="str">
        <f>IFERROR(HYPERLINK("#Companies!A"&amp;MATCH(E52,Companies!$B:$B,0),"→ View"),"—")</f>
        <v>→ View</v>
      </c>
    </row>
    <row r="53" spans="1:14">
      <c r="A53" s="9">
        <f>IF(tblContacts[[#This Row],[First Name]]&lt;&gt;0,ROW()-1,"")</f>
        <v>52</v>
      </c>
      <c r="B53" s="50" t="s">
        <v>882</v>
      </c>
      <c r="C53" s="50" t="s">
        <v>885</v>
      </c>
      <c r="D53" s="10"/>
      <c r="E53" s="10" t="s">
        <v>127</v>
      </c>
      <c r="F53" s="10" t="s">
        <v>886</v>
      </c>
      <c r="G53" s="10"/>
      <c r="H53" s="10" t="s">
        <v>2824</v>
      </c>
      <c r="I53" s="10" t="s">
        <v>2171</v>
      </c>
      <c r="J53" s="10"/>
      <c r="K53" s="7" t="str" cm="1">
        <f t="array" ref="K53">IFERROR(LOOKUP(2,1/('Outreach Log'!$C$2:$C$9998=F53),'Outreach Log'!$B$2:$B$9998),"")</f>
        <v/>
      </c>
      <c r="L53" s="5" t="str">
        <f>IFERROR(INDEX('Outreach Log'!$F:$F,MATCH(TEXT(K53,"YYYY-MM-DD")&amp;F53,'Outreach Log'!$L:$L,0)),"")</f>
        <v/>
      </c>
      <c r="M53" s="6" t="str">
        <f>IFERROR(HYPERLINK("#'Outreach Log'!A"&amp;MATCH(TEXT(K53,"YYYY-MM-DD")&amp;F53,'Outreach Log'!$L:$L,0),"→ View"),"—")</f>
        <v>—</v>
      </c>
      <c r="N53" s="6" t="str">
        <f>IFERROR(HYPERLINK("#Companies!A"&amp;MATCH(E53,Companies!$B:$B,0),"→ View"),"—")</f>
        <v>→ View</v>
      </c>
    </row>
    <row r="54" spans="1:14">
      <c r="A54" s="9">
        <f>IF(tblContacts[[#This Row],[First Name]]&lt;&gt;0,ROW()-1,"")</f>
        <v>53</v>
      </c>
      <c r="B54" s="50" t="s">
        <v>889</v>
      </c>
      <c r="C54" s="50" t="s">
        <v>890</v>
      </c>
      <c r="D54" s="10"/>
      <c r="E54" s="10" t="s">
        <v>129</v>
      </c>
      <c r="F54" s="10" t="s">
        <v>891</v>
      </c>
      <c r="G54" s="10"/>
      <c r="H54" s="10" t="s">
        <v>2824</v>
      </c>
      <c r="I54" s="10" t="s">
        <v>2171</v>
      </c>
      <c r="J54" s="10"/>
      <c r="K54" s="7" cm="1">
        <f t="array" ref="K54">IFERROR(LOOKUP(2,1/('Outreach Log'!$C$2:$C$9998=F54),'Outreach Log'!$B$2:$B$9998),"")</f>
        <v>46126</v>
      </c>
      <c r="L54" s="5" t="str">
        <f>IFERROR(INDEX('Outreach Log'!$F:$F,MATCH(TEXT(K54,"YYYY-MM-DD")&amp;F54,'Outreach Log'!$L:$L,0)),"")</f>
        <v>Email</v>
      </c>
      <c r="M54" s="6" t="str">
        <f>IFERROR(HYPERLINK("#'Outreach Log'!A"&amp;MATCH(TEXT(K54,"YYYY-MM-DD")&amp;F54,'Outreach Log'!$L:$L,0),"→ View"),"—")</f>
        <v>→ View</v>
      </c>
      <c r="N54" s="6" t="str">
        <f>IFERROR(HYPERLINK("#Companies!A"&amp;MATCH(E54,Companies!$B:$B,0),"→ View"),"—")</f>
        <v>→ View</v>
      </c>
    </row>
    <row r="55" spans="1:14">
      <c r="A55" s="9">
        <f>IF(tblContacts[[#This Row],[First Name]]&lt;&gt;0,ROW()-1,"")</f>
        <v>54</v>
      </c>
      <c r="B55" s="50" t="s">
        <v>892</v>
      </c>
      <c r="C55" s="50" t="s">
        <v>893</v>
      </c>
      <c r="D55" s="10"/>
      <c r="E55" s="10" t="s">
        <v>2208</v>
      </c>
      <c r="F55" s="10" t="s">
        <v>894</v>
      </c>
      <c r="G55" s="10"/>
      <c r="H55" s="10" t="s">
        <v>2824</v>
      </c>
      <c r="I55" s="10" t="s">
        <v>2171</v>
      </c>
      <c r="J55" s="10"/>
      <c r="K55" s="7" cm="1">
        <f t="array" ref="K55">IFERROR(LOOKUP(2,1/('Outreach Log'!$C$2:$C$9998=F55),'Outreach Log'!$B$2:$B$9998),"")</f>
        <v>46126</v>
      </c>
      <c r="L55" s="5" t="str">
        <f>IFERROR(INDEX('Outreach Log'!$F:$F,MATCH(TEXT(K55,"YYYY-MM-DD")&amp;F55,'Outreach Log'!$L:$L,0)),"")</f>
        <v>Email</v>
      </c>
      <c r="M55" s="6" t="str">
        <f>IFERROR(HYPERLINK("#'Outreach Log'!A"&amp;MATCH(TEXT(K55,"YYYY-MM-DD")&amp;F55,'Outreach Log'!$L:$L,0),"→ View"),"—")</f>
        <v>→ View</v>
      </c>
      <c r="N55" s="6" t="str">
        <f>IFERROR(HYPERLINK("#Companies!A"&amp;MATCH(E55,Companies!$B:$B,0),"→ View"),"—")</f>
        <v>→ View</v>
      </c>
    </row>
    <row r="56" spans="1:14">
      <c r="A56" s="9">
        <f>IF(tblContacts[[#This Row],[First Name]]&lt;&gt;0,ROW()-1,"")</f>
        <v>55</v>
      </c>
      <c r="B56" s="50" t="s">
        <v>895</v>
      </c>
      <c r="C56" s="50" t="s">
        <v>896</v>
      </c>
      <c r="D56" s="10"/>
      <c r="E56" s="10" t="s">
        <v>2209</v>
      </c>
      <c r="F56" s="10" t="s">
        <v>897</v>
      </c>
      <c r="G56" s="10"/>
      <c r="H56" s="10" t="s">
        <v>2824</v>
      </c>
      <c r="I56" s="10" t="s">
        <v>2171</v>
      </c>
      <c r="J56" s="10"/>
      <c r="K56" s="7" cm="1">
        <f t="array" ref="K56">IFERROR(LOOKUP(2,1/('Outreach Log'!$C$2:$C$9998=F56),'Outreach Log'!$B$2:$B$9998),"")</f>
        <v>46126</v>
      </c>
      <c r="L56" s="5" t="str">
        <f>IFERROR(INDEX('Outreach Log'!$F:$F,MATCH(TEXT(K56,"YYYY-MM-DD")&amp;F56,'Outreach Log'!$L:$L,0)),"")</f>
        <v>Email</v>
      </c>
      <c r="M56" s="6" t="str">
        <f>IFERROR(HYPERLINK("#'Outreach Log'!A"&amp;MATCH(TEXT(K56,"YYYY-MM-DD")&amp;F56,'Outreach Log'!$L:$L,0),"→ View"),"—")</f>
        <v>→ View</v>
      </c>
      <c r="N56" s="6" t="str">
        <f>IFERROR(HYPERLINK("#Companies!A"&amp;MATCH(E56,Companies!$B:$B,0),"→ View"),"—")</f>
        <v>→ View</v>
      </c>
    </row>
    <row r="57" spans="1:14">
      <c r="A57" s="9">
        <f>IF(tblContacts[[#This Row],[First Name]]&lt;&gt;0,ROW()-1,"")</f>
        <v>56</v>
      </c>
      <c r="B57" s="50" t="s">
        <v>727</v>
      </c>
      <c r="C57" s="50" t="s">
        <v>728</v>
      </c>
      <c r="D57" s="10" t="s">
        <v>729</v>
      </c>
      <c r="E57" s="10" t="s">
        <v>2170</v>
      </c>
      <c r="F57" s="10" t="s">
        <v>730</v>
      </c>
      <c r="G57" s="10"/>
      <c r="H57" s="10" t="s">
        <v>2824</v>
      </c>
      <c r="I57" s="10" t="s">
        <v>2171</v>
      </c>
      <c r="J57" s="10"/>
      <c r="K57" s="7" cm="1">
        <f t="array" ref="K57">IFERROR(LOOKUP(2,1/('Outreach Log'!$C$2:$C$9998=F57),'Outreach Log'!$B$2:$B$9998),"")</f>
        <v>46126</v>
      </c>
      <c r="L57" s="5" t="str">
        <f>IFERROR(INDEX('Outreach Log'!$F:$F,MATCH(TEXT(K57,"YYYY-MM-DD")&amp;F57,'Outreach Log'!$L:$L,0)),"")</f>
        <v>Email</v>
      </c>
      <c r="M57" s="6" t="str">
        <f>IFERROR(HYPERLINK("#'Outreach Log'!A"&amp;MATCH(TEXT(K57,"YYYY-MM-DD")&amp;F57,'Outreach Log'!$L:$L,0),"→ View"),"—")</f>
        <v>→ View</v>
      </c>
      <c r="N57" s="6" t="str">
        <f>IFERROR(HYPERLINK("#Companies!A"&amp;MATCH(E57,Companies!$B:$B,0),"→ View"),"—")</f>
        <v>→ View</v>
      </c>
    </row>
    <row r="58" spans="1:14">
      <c r="A58" s="9">
        <f>IF(tblContacts[[#This Row],[First Name]]&lt;&gt;0,ROW()-1,"")</f>
        <v>57</v>
      </c>
      <c r="B58" s="50" t="s">
        <v>902</v>
      </c>
      <c r="C58" s="50" t="s">
        <v>903</v>
      </c>
      <c r="D58" s="10"/>
      <c r="E58" s="10" t="s">
        <v>136</v>
      </c>
      <c r="F58" s="10" t="s">
        <v>904</v>
      </c>
      <c r="G58" s="10"/>
      <c r="H58" s="10" t="s">
        <v>2824</v>
      </c>
      <c r="I58" s="10" t="s">
        <v>2171</v>
      </c>
      <c r="J58" s="10"/>
      <c r="K58" s="7" t="str" cm="1">
        <f t="array" ref="K58">IFERROR(LOOKUP(2,1/('Outreach Log'!$C$2:$C$9998=F58),'Outreach Log'!$B$2:$B$9998),"")</f>
        <v/>
      </c>
      <c r="L58" s="5" t="str">
        <f>IFERROR(INDEX('Outreach Log'!$F:$F,MATCH(TEXT(K58,"YYYY-MM-DD")&amp;F58,'Outreach Log'!$L:$L,0)),"")</f>
        <v/>
      </c>
      <c r="M58" s="6" t="str">
        <f>IFERROR(HYPERLINK("#'Outreach Log'!A"&amp;MATCH(TEXT(K58,"YYYY-MM-DD")&amp;F58,'Outreach Log'!$L:$L,0),"→ View"),"—")</f>
        <v>—</v>
      </c>
      <c r="N58" s="6" t="str">
        <f>IFERROR(HYPERLINK("#Companies!A"&amp;MATCH(E58,Companies!$B:$B,0),"→ View"),"—")</f>
        <v>→ View</v>
      </c>
    </row>
    <row r="59" spans="1:14">
      <c r="A59" s="9">
        <f>IF(tblContacts[[#This Row],[First Name]]&lt;&gt;0,ROW()-1,"")</f>
        <v>58</v>
      </c>
      <c r="B59" s="50" t="s">
        <v>821</v>
      </c>
      <c r="C59" s="50" t="s">
        <v>905</v>
      </c>
      <c r="D59" s="10"/>
      <c r="E59" s="10" t="s">
        <v>2136</v>
      </c>
      <c r="F59" s="10" t="s">
        <v>906</v>
      </c>
      <c r="G59" s="10"/>
      <c r="H59" s="10" t="s">
        <v>2824</v>
      </c>
      <c r="I59" s="10" t="s">
        <v>2171</v>
      </c>
      <c r="J59" s="10"/>
      <c r="K59" s="7" t="str" cm="1">
        <f t="array" ref="K59">IFERROR(LOOKUP(2,1/('Outreach Log'!$C$2:$C$9998=F59),'Outreach Log'!$B$2:$B$9998),"")</f>
        <v/>
      </c>
      <c r="L59" s="5" t="str">
        <f>IFERROR(INDEX('Outreach Log'!$F:$F,MATCH(TEXT(K59,"YYYY-MM-DD")&amp;F59,'Outreach Log'!$L:$L,0)),"")</f>
        <v/>
      </c>
      <c r="M59" s="6" t="str">
        <f>IFERROR(HYPERLINK("#'Outreach Log'!A"&amp;MATCH(TEXT(K59,"YYYY-MM-DD")&amp;F59,'Outreach Log'!$L:$L,0),"→ View"),"—")</f>
        <v>—</v>
      </c>
      <c r="N59" s="6" t="str">
        <f>IFERROR(HYPERLINK("#Companies!A"&amp;MATCH(E59,Companies!$B:$B,0),"→ View"),"—")</f>
        <v>→ View</v>
      </c>
    </row>
    <row r="60" spans="1:14">
      <c r="A60" s="9">
        <f>IF(tblContacts[[#This Row],[First Name]]&lt;&gt;0,ROW()-1,"")</f>
        <v>59</v>
      </c>
      <c r="B60" s="50" t="s">
        <v>911</v>
      </c>
      <c r="C60" s="50" t="s">
        <v>912</v>
      </c>
      <c r="D60" s="10"/>
      <c r="E60" s="10" t="s">
        <v>2210</v>
      </c>
      <c r="F60" s="10" t="s">
        <v>913</v>
      </c>
      <c r="G60" s="10"/>
      <c r="H60" s="10" t="s">
        <v>2824</v>
      </c>
      <c r="I60" s="10" t="s">
        <v>2171</v>
      </c>
      <c r="J60" s="10"/>
      <c r="K60" s="7" t="str" cm="1">
        <f t="array" ref="K60">IFERROR(LOOKUP(2,1/('Outreach Log'!$C$2:$C$9998=F60),'Outreach Log'!$B$2:$B$9998),"")</f>
        <v/>
      </c>
      <c r="L60" s="5" t="str">
        <f>IFERROR(INDEX('Outreach Log'!$F:$F,MATCH(TEXT(K60,"YYYY-MM-DD")&amp;F60,'Outreach Log'!$L:$L,0)),"")</f>
        <v/>
      </c>
      <c r="M60" s="6" t="str">
        <f>IFERROR(HYPERLINK("#'Outreach Log'!A"&amp;MATCH(TEXT(K60,"YYYY-MM-DD")&amp;F60,'Outreach Log'!$L:$L,0),"→ View"),"—")</f>
        <v>—</v>
      </c>
      <c r="N60" s="6" t="str">
        <f>IFERROR(HYPERLINK("#Companies!A"&amp;MATCH(E60,Companies!$B:$B,0),"→ View"),"—")</f>
        <v>→ View</v>
      </c>
    </row>
    <row r="61" spans="1:14">
      <c r="A61" s="9">
        <f>IF(tblContacts[[#This Row],[First Name]]&lt;&gt;0,ROW()-1,"")</f>
        <v>60</v>
      </c>
      <c r="B61" s="55" t="s">
        <v>2846</v>
      </c>
      <c r="C61" s="55" t="s">
        <v>2847</v>
      </c>
      <c r="E61" s="10" t="s">
        <v>2869</v>
      </c>
      <c r="F61" s="10" t="s">
        <v>2848</v>
      </c>
      <c r="H61" s="10" t="s">
        <v>2824</v>
      </c>
      <c r="I61" s="44" t="s">
        <v>2873</v>
      </c>
      <c r="K61" s="7" t="str" cm="1">
        <f t="array" ref="K61">IFERROR(LOOKUP(2,1/('Outreach Log'!$C$2:$C$9998=F61),'Outreach Log'!$B$2:$B$9998),"")</f>
        <v/>
      </c>
      <c r="L61" s="5" t="str">
        <f>IFERROR(INDEX('Outreach Log'!$F:$F,MATCH(TEXT(K61,"YYYY-MM-DD")&amp;F61,'Outreach Log'!$L:$L,0)),"")</f>
        <v/>
      </c>
      <c r="M61" s="6" t="str">
        <f>IFERROR(HYPERLINK("#'Outreach Log'!A"&amp;MATCH(TEXT(K61,"YYYY-MM-DD")&amp;F61,'Outreach Log'!$L:$L,0),"→ View"),"—")</f>
        <v>—</v>
      </c>
      <c r="N61" s="6" t="str">
        <f>IFERROR(HYPERLINK("#Companies!A"&amp;MATCH(E61,Companies!$B:$B,0),"→ View"),"—")</f>
        <v>—</v>
      </c>
    </row>
    <row r="62" spans="1:14">
      <c r="A62" s="9">
        <f>IF(tblContacts[[#This Row],[First Name]]&lt;&gt;0,ROW()-1,"")</f>
        <v>61</v>
      </c>
      <c r="B62" s="50" t="s">
        <v>914</v>
      </c>
      <c r="C62" s="50" t="s">
        <v>915</v>
      </c>
      <c r="D62" s="10"/>
      <c r="E62" s="10" t="s">
        <v>145</v>
      </c>
      <c r="F62" s="10" t="s">
        <v>916</v>
      </c>
      <c r="G62" s="10"/>
      <c r="H62" s="10" t="s">
        <v>2824</v>
      </c>
      <c r="I62" s="10" t="s">
        <v>2171</v>
      </c>
      <c r="J62" s="10"/>
      <c r="K62" s="7" cm="1">
        <f t="array" ref="K62">IFERROR(LOOKUP(2,1/('Outreach Log'!$C$2:$C$9998=F62),'Outreach Log'!$B$2:$B$9998),"")</f>
        <v>46126</v>
      </c>
      <c r="L62" s="5" t="str">
        <f>IFERROR(INDEX('Outreach Log'!$F:$F,MATCH(TEXT(K62,"YYYY-MM-DD")&amp;F62,'Outreach Log'!$L:$L,0)),"")</f>
        <v>Email</v>
      </c>
      <c r="M62" s="6" t="str">
        <f>IFERROR(HYPERLINK("#'Outreach Log'!A"&amp;MATCH(TEXT(K62,"YYYY-MM-DD")&amp;F62,'Outreach Log'!$L:$L,0),"→ View"),"—")</f>
        <v>→ View</v>
      </c>
      <c r="N62" s="6" t="str">
        <f>IFERROR(HYPERLINK("#Companies!A"&amp;MATCH(E62,Companies!$B:$B,0),"→ View"),"—")</f>
        <v>→ View</v>
      </c>
    </row>
    <row r="63" spans="1:14">
      <c r="A63" s="9">
        <f>IF(tblContacts[[#This Row],[First Name]]&lt;&gt;0,ROW()-1,"")</f>
        <v>62</v>
      </c>
      <c r="B63" s="50" t="s">
        <v>919</v>
      </c>
      <c r="C63" s="50" t="s">
        <v>922</v>
      </c>
      <c r="D63" s="10"/>
      <c r="E63" s="10"/>
      <c r="F63" s="10" t="s">
        <v>923</v>
      </c>
      <c r="G63" s="10"/>
      <c r="H63" s="10" t="s">
        <v>2824</v>
      </c>
      <c r="I63" s="10" t="s">
        <v>14</v>
      </c>
      <c r="J63" s="10"/>
      <c r="K63" s="7" t="str" cm="1">
        <f t="array" ref="K63">IFERROR(LOOKUP(2,1/('Outreach Log'!$C$2:$C$9998=F63),'Outreach Log'!$B$2:$B$9998),"")</f>
        <v/>
      </c>
      <c r="L63" s="5" t="str">
        <f>IFERROR(INDEX('Outreach Log'!$F:$F,MATCH(TEXT(K63,"YYYY-MM-DD")&amp;F63,'Outreach Log'!$L:$L,0)),"")</f>
        <v/>
      </c>
      <c r="M63" s="6" t="str">
        <f>IFERROR(HYPERLINK("#'Outreach Log'!A"&amp;MATCH(TEXT(K63,"YYYY-MM-DD")&amp;F63,'Outreach Log'!$L:$L,0),"→ View"),"—")</f>
        <v>—</v>
      </c>
      <c r="N63" s="6" t="str">
        <f>IFERROR(HYPERLINK("#Companies!A"&amp;MATCH(E63,Companies!$B:$B,0),"→ View"),"—")</f>
        <v>—</v>
      </c>
    </row>
    <row r="64" spans="1:14">
      <c r="A64" s="9">
        <f>IF(tblContacts[[#This Row],[First Name]]&lt;&gt;0,ROW()-1,"")</f>
        <v>63</v>
      </c>
      <c r="B64" s="50" t="s">
        <v>919</v>
      </c>
      <c r="C64" s="50" t="s">
        <v>924</v>
      </c>
      <c r="D64" s="10"/>
      <c r="E64" s="10" t="s">
        <v>2212</v>
      </c>
      <c r="F64" s="10" t="s">
        <v>925</v>
      </c>
      <c r="G64" s="10"/>
      <c r="H64" s="10" t="s">
        <v>2824</v>
      </c>
      <c r="I64" s="10" t="s">
        <v>2171</v>
      </c>
      <c r="J64" s="10"/>
      <c r="K64" s="7" cm="1">
        <f t="array" ref="K64">IFERROR(LOOKUP(2,1/('Outreach Log'!$C$2:$C$9998=F64),'Outreach Log'!$B$2:$B$9998),"")</f>
        <v>46126</v>
      </c>
      <c r="L64" s="5" t="str">
        <f>IFERROR(INDEX('Outreach Log'!$F:$F,MATCH(TEXT(K64,"YYYY-MM-DD")&amp;F64,'Outreach Log'!$L:$L,0)),"")</f>
        <v>Email</v>
      </c>
      <c r="M64" s="6" t="str">
        <f>IFERROR(HYPERLINK("#'Outreach Log'!A"&amp;MATCH(TEXT(K64,"YYYY-MM-DD")&amp;F64,'Outreach Log'!$L:$L,0),"→ View"),"—")</f>
        <v>→ View</v>
      </c>
      <c r="N64" s="6" t="str">
        <f>IFERROR(HYPERLINK("#Companies!A"&amp;MATCH(E64,Companies!$B:$B,0),"→ View"),"—")</f>
        <v>→ View</v>
      </c>
    </row>
    <row r="65" spans="1:14">
      <c r="A65" s="9">
        <f>IF(tblContacts[[#This Row],[First Name]]&lt;&gt;0,ROW()-1,"")</f>
        <v>64</v>
      </c>
      <c r="B65" s="50" t="s">
        <v>926</v>
      </c>
      <c r="C65" s="50" t="s">
        <v>927</v>
      </c>
      <c r="D65" s="10"/>
      <c r="E65" s="10" t="s">
        <v>2213</v>
      </c>
      <c r="F65" s="10" t="s">
        <v>928</v>
      </c>
      <c r="G65" s="10"/>
      <c r="H65" s="10" t="s">
        <v>2824</v>
      </c>
      <c r="I65" s="10" t="s">
        <v>2171</v>
      </c>
      <c r="J65" s="10"/>
      <c r="K65" s="7" t="str" cm="1">
        <f t="array" ref="K65">IFERROR(LOOKUP(2,1/('Outreach Log'!$C$2:$C$9998=F65),'Outreach Log'!$B$2:$B$9998),"")</f>
        <v/>
      </c>
      <c r="L65" s="5" t="str">
        <f>IFERROR(INDEX('Outreach Log'!$F:$F,MATCH(TEXT(K65,"YYYY-MM-DD")&amp;F65,'Outreach Log'!$L:$L,0)),"")</f>
        <v/>
      </c>
      <c r="M65" s="6" t="str">
        <f>IFERROR(HYPERLINK("#'Outreach Log'!A"&amp;MATCH(TEXT(K65,"YYYY-MM-DD")&amp;F65,'Outreach Log'!$L:$L,0),"→ View"),"—")</f>
        <v>—</v>
      </c>
      <c r="N65" s="6" t="str">
        <f>IFERROR(HYPERLINK("#Companies!A"&amp;MATCH(E65,Companies!$B:$B,0),"→ View"),"—")</f>
        <v>→ View</v>
      </c>
    </row>
    <row r="66" spans="1:14">
      <c r="A66" s="9">
        <f>IF(tblContacts[[#This Row],[First Name]]&lt;&gt;0,ROW()-1,"")</f>
        <v>65</v>
      </c>
      <c r="B66" s="50" t="s">
        <v>926</v>
      </c>
      <c r="C66" s="50" t="s">
        <v>931</v>
      </c>
      <c r="D66" s="10"/>
      <c r="E66" s="10" t="s">
        <v>154</v>
      </c>
      <c r="F66" s="10" t="s">
        <v>932</v>
      </c>
      <c r="G66" s="10"/>
      <c r="H66" s="10" t="s">
        <v>2824</v>
      </c>
      <c r="I66" s="10" t="s">
        <v>2171</v>
      </c>
      <c r="J66" s="10"/>
      <c r="K66" s="7" t="str" cm="1">
        <f t="array" ref="K66">IFERROR(LOOKUP(2,1/('Outreach Log'!$C$2:$C$9998=F66),'Outreach Log'!$B$2:$B$9998),"")</f>
        <v/>
      </c>
      <c r="L66" s="5" t="str">
        <f>IFERROR(INDEX('Outreach Log'!$F:$F,MATCH(TEXT(K66,"YYYY-MM-DD")&amp;F66,'Outreach Log'!$L:$L,0)),"")</f>
        <v/>
      </c>
      <c r="M66" s="6" t="str">
        <f>IFERROR(HYPERLINK("#'Outreach Log'!A"&amp;MATCH(TEXT(K66,"YYYY-MM-DD")&amp;F66,'Outreach Log'!$L:$L,0),"→ View"),"—")</f>
        <v>—</v>
      </c>
      <c r="N66" s="6" t="str">
        <f>IFERROR(HYPERLINK("#Companies!A"&amp;MATCH(E66,Companies!$B:$B,0),"→ View"),"—")</f>
        <v>→ View</v>
      </c>
    </row>
    <row r="67" spans="1:14">
      <c r="A67" s="9">
        <f>IF(tblContacts[[#This Row],[First Name]]&lt;&gt;0,ROW()-1,"")</f>
        <v>66</v>
      </c>
      <c r="B67" s="50" t="s">
        <v>911</v>
      </c>
      <c r="C67" s="50" t="s">
        <v>933</v>
      </c>
      <c r="D67" s="10"/>
      <c r="E67" s="10" t="s">
        <v>2214</v>
      </c>
      <c r="F67" s="10" t="s">
        <v>934</v>
      </c>
      <c r="G67" s="10"/>
      <c r="H67" s="10" t="s">
        <v>2824</v>
      </c>
      <c r="I67" s="10" t="s">
        <v>2171</v>
      </c>
      <c r="J67" s="10"/>
      <c r="K67" s="7" cm="1">
        <f t="array" ref="K67">IFERROR(LOOKUP(2,1/('Outreach Log'!$C$2:$C$9998=F67),'Outreach Log'!$B$2:$B$9998),"")</f>
        <v>46126</v>
      </c>
      <c r="L67" s="5" t="str">
        <f>IFERROR(INDEX('Outreach Log'!$F:$F,MATCH(TEXT(K67,"YYYY-MM-DD")&amp;F67,'Outreach Log'!$L:$L,0)),"")</f>
        <v>Email</v>
      </c>
      <c r="M67" s="6" t="str">
        <f>IFERROR(HYPERLINK("#'Outreach Log'!A"&amp;MATCH(TEXT(K67,"YYYY-MM-DD")&amp;F67,'Outreach Log'!$L:$L,0),"→ View"),"—")</f>
        <v>→ View</v>
      </c>
      <c r="N67" s="6" t="str">
        <f>IFERROR(HYPERLINK("#Companies!A"&amp;MATCH(E67,Companies!$B:$B,0),"→ View"),"—")</f>
        <v>→ View</v>
      </c>
    </row>
    <row r="68" spans="1:14">
      <c r="A68" s="9">
        <f>IF(tblContacts[[#This Row],[First Name]]&lt;&gt;0,ROW()-1,"")</f>
        <v>67</v>
      </c>
      <c r="B68" s="50" t="s">
        <v>938</v>
      </c>
      <c r="C68" s="50" t="s">
        <v>941</v>
      </c>
      <c r="D68" s="10"/>
      <c r="E68" s="10" t="s">
        <v>2215</v>
      </c>
      <c r="F68" s="10" t="s">
        <v>942</v>
      </c>
      <c r="G68" s="10"/>
      <c r="H68" s="10" t="s">
        <v>2824</v>
      </c>
      <c r="I68" s="10" t="s">
        <v>2171</v>
      </c>
      <c r="J68" s="10"/>
      <c r="K68" s="7" t="str" cm="1">
        <f t="array" ref="K68">IFERROR(LOOKUP(2,1/('Outreach Log'!$C$2:$C$9998=F68),'Outreach Log'!$B$2:$B$9998),"")</f>
        <v/>
      </c>
      <c r="L68" s="5" t="str">
        <f>IFERROR(INDEX('Outreach Log'!$F:$F,MATCH(TEXT(K68,"YYYY-MM-DD")&amp;F68,'Outreach Log'!$L:$L,0)),"")</f>
        <v/>
      </c>
      <c r="M68" s="6" t="str">
        <f>IFERROR(HYPERLINK("#'Outreach Log'!A"&amp;MATCH(TEXT(K68,"YYYY-MM-DD")&amp;F68,'Outreach Log'!$L:$L,0),"→ View"),"—")</f>
        <v>—</v>
      </c>
      <c r="N68" s="6" t="str">
        <f>IFERROR(HYPERLINK("#Companies!A"&amp;MATCH(E68,Companies!$B:$B,0),"→ View"),"—")</f>
        <v>→ View</v>
      </c>
    </row>
    <row r="69" spans="1:14">
      <c r="A69" s="9">
        <f>IF(tblContacts[[#This Row],[First Name]]&lt;&gt;0,ROW()-1,"")</f>
        <v>68</v>
      </c>
      <c r="B69" s="50" t="s">
        <v>943</v>
      </c>
      <c r="C69" s="50" t="s">
        <v>944</v>
      </c>
      <c r="D69" s="10"/>
      <c r="E69" s="10" t="s">
        <v>161</v>
      </c>
      <c r="F69" s="10" t="s">
        <v>945</v>
      </c>
      <c r="G69" s="10"/>
      <c r="H69" s="10" t="s">
        <v>2824</v>
      </c>
      <c r="I69" s="10" t="s">
        <v>2171</v>
      </c>
      <c r="J69" s="10"/>
      <c r="K69" s="7" t="str" cm="1">
        <f t="array" ref="K69">IFERROR(LOOKUP(2,1/('Outreach Log'!$C$2:$C$9998=F69),'Outreach Log'!$B$2:$B$9998),"")</f>
        <v/>
      </c>
      <c r="L69" s="5" t="str">
        <f>IFERROR(INDEX('Outreach Log'!$F:$F,MATCH(TEXT(K69,"YYYY-MM-DD")&amp;F69,'Outreach Log'!$L:$L,0)),"")</f>
        <v/>
      </c>
      <c r="M69" s="6" t="str">
        <f>IFERROR(HYPERLINK("#'Outreach Log'!A"&amp;MATCH(TEXT(K69,"YYYY-MM-DD")&amp;F69,'Outreach Log'!$L:$L,0),"→ View"),"—")</f>
        <v>—</v>
      </c>
      <c r="N69" s="6" t="str">
        <f>IFERROR(HYPERLINK("#Companies!A"&amp;MATCH(E69,Companies!$B:$B,0),"→ View"),"—")</f>
        <v>→ View</v>
      </c>
    </row>
    <row r="70" spans="1:14">
      <c r="A70" s="9">
        <f>IF(tblContacts[[#This Row],[First Name]]&lt;&gt;0,ROW()-1,"")</f>
        <v>69</v>
      </c>
      <c r="B70" s="50" t="s">
        <v>938</v>
      </c>
      <c r="C70" s="50" t="s">
        <v>3256</v>
      </c>
      <c r="D70" s="10" t="s">
        <v>768</v>
      </c>
      <c r="E70" s="10" t="s">
        <v>3056</v>
      </c>
      <c r="F70" s="10"/>
      <c r="G70" s="10" t="s">
        <v>3255</v>
      </c>
      <c r="H70" s="10" t="s">
        <v>2824</v>
      </c>
      <c r="I70" s="44" t="s">
        <v>3363</v>
      </c>
      <c r="K70" s="7" cm="1">
        <f t="array" ref="K70">IFERROR(LOOKUP(2,1/('Outreach Log'!$C$2:$C$9998=F70),'Outreach Log'!$B$2:$B$9998),"")</f>
        <v>0</v>
      </c>
      <c r="L70" s="5" t="str">
        <f>IFERROR(INDEX('Outreach Log'!$F:$F,MATCH(TEXT(K70,"YYYY-MM-DD")&amp;F70,'Outreach Log'!$L:$L,0)),"")</f>
        <v/>
      </c>
      <c r="M70" s="6" t="str">
        <f>IFERROR(HYPERLINK("#'Outreach Log'!A"&amp;MATCH(TEXT(K70,"YYYY-MM-DD")&amp;F70,'Outreach Log'!$L:$L,0),"→ View"),"—")</f>
        <v>—</v>
      </c>
      <c r="N70" s="6" t="str">
        <f>IFERROR(HYPERLINK("#Companies!A"&amp;MATCH(E70,Companies!$B:$B,0),"→ View"),"—")</f>
        <v>→ View</v>
      </c>
    </row>
    <row r="71" spans="1:14">
      <c r="A71" s="9">
        <f>IF(tblContacts[[#This Row],[First Name]]&lt;&gt;0,ROW()-1,"")</f>
        <v>70</v>
      </c>
      <c r="B71" s="50" t="s">
        <v>919</v>
      </c>
      <c r="C71" s="50" t="s">
        <v>948</v>
      </c>
      <c r="D71" s="10"/>
      <c r="E71" s="10" t="s">
        <v>2216</v>
      </c>
      <c r="F71" s="10" t="s">
        <v>949</v>
      </c>
      <c r="G71" s="10"/>
      <c r="H71" s="10" t="s">
        <v>2824</v>
      </c>
      <c r="I71" s="10" t="s">
        <v>2171</v>
      </c>
      <c r="J71" s="10"/>
      <c r="K71" s="7" cm="1">
        <f t="array" ref="K71">IFERROR(LOOKUP(2,1/('Outreach Log'!$C$2:$C$9998=F71),'Outreach Log'!$B$2:$B$9998),"")</f>
        <v>46126</v>
      </c>
      <c r="L71" s="5" t="str">
        <f>IFERROR(INDEX('Outreach Log'!$F:$F,MATCH(TEXT(K71,"YYYY-MM-DD")&amp;F71,'Outreach Log'!$L:$L,0)),"")</f>
        <v>Email</v>
      </c>
      <c r="M71" s="6" t="str">
        <f>IFERROR(HYPERLINK("#'Outreach Log'!A"&amp;MATCH(TEXT(K71,"YYYY-MM-DD")&amp;F71,'Outreach Log'!$L:$L,0),"→ View"),"—")</f>
        <v>→ View</v>
      </c>
      <c r="N71" s="6" t="str">
        <f>IFERROR(HYPERLINK("#Companies!A"&amp;MATCH(E71,Companies!$B:$B,0),"→ View"),"—")</f>
        <v>→ View</v>
      </c>
    </row>
    <row r="72" spans="1:14">
      <c r="A72" s="9">
        <f>IF(tblContacts[[#This Row],[First Name]]&lt;&gt;0,ROW()-1,"")</f>
        <v>71</v>
      </c>
      <c r="B72" s="50" t="s">
        <v>950</v>
      </c>
      <c r="C72" s="50" t="s">
        <v>951</v>
      </c>
      <c r="D72" s="10"/>
      <c r="E72" s="10" t="s">
        <v>2217</v>
      </c>
      <c r="F72" s="10" t="s">
        <v>952</v>
      </c>
      <c r="G72" s="10"/>
      <c r="H72" s="10" t="s">
        <v>2824</v>
      </c>
      <c r="I72" s="10" t="s">
        <v>2171</v>
      </c>
      <c r="J72" s="10"/>
      <c r="K72" s="7" cm="1">
        <f t="array" ref="K72">IFERROR(LOOKUP(2,1/('Outreach Log'!$C$2:$C$9998=F72),'Outreach Log'!$B$2:$B$9998),"")</f>
        <v>46126</v>
      </c>
      <c r="L72" s="5" t="str">
        <f>IFERROR(INDEX('Outreach Log'!$F:$F,MATCH(TEXT(K72,"YYYY-MM-DD")&amp;F72,'Outreach Log'!$L:$L,0)),"")</f>
        <v>Email</v>
      </c>
      <c r="M72" s="6" t="str">
        <f>IFERROR(HYPERLINK("#'Outreach Log'!A"&amp;MATCH(TEXT(K72,"YYYY-MM-DD")&amp;F72,'Outreach Log'!$L:$L,0),"→ View"),"—")</f>
        <v>→ View</v>
      </c>
      <c r="N72" s="6" t="str">
        <f>IFERROR(HYPERLINK("#Companies!A"&amp;MATCH(E72,Companies!$B:$B,0),"→ View"),"—")</f>
        <v>→ View</v>
      </c>
    </row>
    <row r="73" spans="1:14">
      <c r="A73" s="9">
        <f>IF(tblContacts[[#This Row],[First Name]]&lt;&gt;0,ROW()-1,"")</f>
        <v>72</v>
      </c>
      <c r="B73" s="50" t="s">
        <v>953</v>
      </c>
      <c r="C73" s="50" t="s">
        <v>954</v>
      </c>
      <c r="D73" s="10"/>
      <c r="E73" s="10" t="s">
        <v>167</v>
      </c>
      <c r="F73" s="10" t="s">
        <v>955</v>
      </c>
      <c r="G73" s="10"/>
      <c r="H73" s="10" t="s">
        <v>2824</v>
      </c>
      <c r="I73" s="10" t="s">
        <v>13</v>
      </c>
      <c r="J73" s="10"/>
      <c r="K73" s="7" t="str" cm="1">
        <f t="array" ref="K73">IFERROR(LOOKUP(2,1/('Outreach Log'!$C$2:$C$9998=F73),'Outreach Log'!$B$2:$B$9998),"")</f>
        <v/>
      </c>
      <c r="L73" s="5" t="str">
        <f>IFERROR(INDEX('Outreach Log'!$F:$F,MATCH(TEXT(K73,"YYYY-MM-DD")&amp;F73,'Outreach Log'!$L:$L,0)),"")</f>
        <v/>
      </c>
      <c r="M73" s="6" t="str">
        <f>IFERROR(HYPERLINK("#'Outreach Log'!A"&amp;MATCH(TEXT(K73,"YYYY-MM-DD")&amp;F73,'Outreach Log'!$L:$L,0),"→ View"),"—")</f>
        <v>—</v>
      </c>
      <c r="N73" s="6" t="str">
        <f>IFERROR(HYPERLINK("#Companies!A"&amp;MATCH(E73,Companies!$B:$B,0),"→ View"),"—")</f>
        <v>→ View</v>
      </c>
    </row>
    <row r="74" spans="1:14">
      <c r="A74" s="9">
        <f>IF(tblContacts[[#This Row],[First Name]]&lt;&gt;0,ROW()-1,"")</f>
        <v>73</v>
      </c>
      <c r="B74" s="50" t="s">
        <v>956</v>
      </c>
      <c r="C74" s="50" t="s">
        <v>957</v>
      </c>
      <c r="D74" s="10" t="s">
        <v>958</v>
      </c>
      <c r="E74" s="10" t="s">
        <v>170</v>
      </c>
      <c r="F74" s="10" t="s">
        <v>959</v>
      </c>
      <c r="G74" s="10"/>
      <c r="H74" s="10" t="s">
        <v>2824</v>
      </c>
      <c r="I74" s="10" t="s">
        <v>13</v>
      </c>
      <c r="J74" s="10"/>
      <c r="K74" s="7" t="str" cm="1">
        <f t="array" ref="K74">IFERROR(LOOKUP(2,1/('Outreach Log'!$C$2:$C$9998=F74),'Outreach Log'!$B$2:$B$9998),"")</f>
        <v/>
      </c>
      <c r="L74" s="5" t="str">
        <f>IFERROR(INDEX('Outreach Log'!$F:$F,MATCH(TEXT(K74,"YYYY-MM-DD")&amp;F74,'Outreach Log'!$L:$L,0)),"")</f>
        <v/>
      </c>
      <c r="M74" s="6" t="str">
        <f>IFERROR(HYPERLINK("#'Outreach Log'!A"&amp;MATCH(TEXT(K74,"YYYY-MM-DD")&amp;F74,'Outreach Log'!$L:$L,0),"→ View"),"—")</f>
        <v>—</v>
      </c>
      <c r="N74" s="6" t="str">
        <f>IFERROR(HYPERLINK("#Companies!A"&amp;MATCH(E74,Companies!$B:$B,0),"→ View"),"—")</f>
        <v>→ View</v>
      </c>
    </row>
    <row r="75" spans="1:14">
      <c r="A75" s="9">
        <f>IF(tblContacts[[#This Row],[First Name]]&lt;&gt;0,ROW()-1,"")</f>
        <v>74</v>
      </c>
      <c r="B75" s="50" t="s">
        <v>963</v>
      </c>
      <c r="C75" s="50" t="s">
        <v>964</v>
      </c>
      <c r="D75" s="10"/>
      <c r="E75" s="10" t="s">
        <v>2218</v>
      </c>
      <c r="F75" s="10" t="s">
        <v>965</v>
      </c>
      <c r="G75" s="10"/>
      <c r="H75" s="10" t="s">
        <v>2824</v>
      </c>
      <c r="I75" s="10" t="s">
        <v>2171</v>
      </c>
      <c r="J75" s="10"/>
      <c r="K75" s="7" t="str" cm="1">
        <f t="array" ref="K75">IFERROR(LOOKUP(2,1/('Outreach Log'!$C$2:$C$9998=F75),'Outreach Log'!$B$2:$B$9998),"")</f>
        <v/>
      </c>
      <c r="L75" s="5" t="str">
        <f>IFERROR(INDEX('Outreach Log'!$F:$F,MATCH(TEXT(K75,"YYYY-MM-DD")&amp;F75,'Outreach Log'!$L:$L,0)),"")</f>
        <v/>
      </c>
      <c r="M75" s="6" t="str">
        <f>IFERROR(HYPERLINK("#'Outreach Log'!A"&amp;MATCH(TEXT(K75,"YYYY-MM-DD")&amp;F75,'Outreach Log'!$L:$L,0),"→ View"),"—")</f>
        <v>—</v>
      </c>
      <c r="N75" s="6" t="str">
        <f>IFERROR(HYPERLINK("#Companies!A"&amp;MATCH(E75,Companies!$B:$B,0),"→ View"),"—")</f>
        <v>→ View</v>
      </c>
    </row>
    <row r="76" spans="1:14">
      <c r="A76" s="9">
        <f>IF(tblContacts[[#This Row],[First Name]]&lt;&gt;0,ROW()-1,"")</f>
        <v>75</v>
      </c>
      <c r="B76" s="50" t="s">
        <v>966</v>
      </c>
      <c r="C76" s="50" t="s">
        <v>919</v>
      </c>
      <c r="D76" s="10"/>
      <c r="E76" s="10" t="s">
        <v>2219</v>
      </c>
      <c r="F76" s="10" t="s">
        <v>967</v>
      </c>
      <c r="G76" s="10"/>
      <c r="H76" s="10" t="s">
        <v>2824</v>
      </c>
      <c r="I76" s="10" t="s">
        <v>2171</v>
      </c>
      <c r="J76" s="10"/>
      <c r="K76" s="7" t="str" cm="1">
        <f t="array" ref="K76">IFERROR(LOOKUP(2,1/('Outreach Log'!$C$2:$C$9998=F76),'Outreach Log'!$B$2:$B$9998),"")</f>
        <v/>
      </c>
      <c r="L76" s="5" t="str">
        <f>IFERROR(INDEX('Outreach Log'!$F:$F,MATCH(TEXT(K76,"YYYY-MM-DD")&amp;F76,'Outreach Log'!$L:$L,0)),"")</f>
        <v/>
      </c>
      <c r="M76" s="6" t="str">
        <f>IFERROR(HYPERLINK("#'Outreach Log'!A"&amp;MATCH(TEXT(K76,"YYYY-MM-DD")&amp;F76,'Outreach Log'!$L:$L,0),"→ View"),"—")</f>
        <v>—</v>
      </c>
      <c r="N76" s="6" t="str">
        <f>IFERROR(HYPERLINK("#Companies!A"&amp;MATCH(E76,Companies!$B:$B,0),"→ View"),"—")</f>
        <v>→ View</v>
      </c>
    </row>
    <row r="77" spans="1:14">
      <c r="A77" s="9">
        <f>IF(tblContacts[[#This Row],[First Name]]&lt;&gt;0,ROW()-1,"")</f>
        <v>76</v>
      </c>
      <c r="B77" s="50" t="s">
        <v>974</v>
      </c>
      <c r="C77" s="50" t="s">
        <v>975</v>
      </c>
      <c r="D77" s="10"/>
      <c r="E77" s="10" t="s">
        <v>2220</v>
      </c>
      <c r="F77" s="10" t="s">
        <v>976</v>
      </c>
      <c r="G77" s="10"/>
      <c r="H77" s="10" t="s">
        <v>2824</v>
      </c>
      <c r="I77" s="10" t="s">
        <v>2171</v>
      </c>
      <c r="J77" s="10"/>
      <c r="K77" s="7" t="str" cm="1">
        <f t="array" ref="K77">IFERROR(LOOKUP(2,1/('Outreach Log'!$C$2:$C$9998=F77),'Outreach Log'!$B$2:$B$9998),"")</f>
        <v/>
      </c>
      <c r="L77" s="5" t="str">
        <f>IFERROR(INDEX('Outreach Log'!$F:$F,MATCH(TEXT(K77,"YYYY-MM-DD")&amp;F77,'Outreach Log'!$L:$L,0)),"")</f>
        <v/>
      </c>
      <c r="M77" s="6" t="str">
        <f>IFERROR(HYPERLINK("#'Outreach Log'!A"&amp;MATCH(TEXT(K77,"YYYY-MM-DD")&amp;F77,'Outreach Log'!$L:$L,0),"→ View"),"—")</f>
        <v>—</v>
      </c>
      <c r="N77" s="6" t="str">
        <f>IFERROR(HYPERLINK("#Companies!A"&amp;MATCH(E77,Companies!$B:$B,0),"→ View"),"—")</f>
        <v>→ View</v>
      </c>
    </row>
    <row r="78" spans="1:14">
      <c r="A78" s="9">
        <f>IF(tblContacts[[#This Row],[First Name]]&lt;&gt;0,ROW()-1,"")</f>
        <v>77</v>
      </c>
      <c r="B78" s="50" t="s">
        <v>977</v>
      </c>
      <c r="C78" s="50" t="s">
        <v>978</v>
      </c>
      <c r="D78" s="10"/>
      <c r="E78" s="10" t="s">
        <v>2221</v>
      </c>
      <c r="F78" s="10" t="s">
        <v>979</v>
      </c>
      <c r="G78" s="10"/>
      <c r="H78" s="10" t="s">
        <v>2824</v>
      </c>
      <c r="I78" s="10" t="s">
        <v>2171</v>
      </c>
      <c r="J78" s="10"/>
      <c r="K78" s="7" t="str" cm="1">
        <f t="array" ref="K78">IFERROR(LOOKUP(2,1/('Outreach Log'!$C$2:$C$9998=F78),'Outreach Log'!$B$2:$B$9998),"")</f>
        <v/>
      </c>
      <c r="L78" s="5" t="str">
        <f>IFERROR(INDEX('Outreach Log'!$F:$F,MATCH(TEXT(K78,"YYYY-MM-DD")&amp;F78,'Outreach Log'!$L:$L,0)),"")</f>
        <v/>
      </c>
      <c r="M78" s="6" t="str">
        <f>IFERROR(HYPERLINK("#'Outreach Log'!A"&amp;MATCH(TEXT(K78,"YYYY-MM-DD")&amp;F78,'Outreach Log'!$L:$L,0),"→ View"),"—")</f>
        <v>—</v>
      </c>
      <c r="N78" s="6" t="str">
        <f>IFERROR(HYPERLINK("#Companies!A"&amp;MATCH(E78,Companies!$B:$B,0),"→ View"),"—")</f>
        <v>→ View</v>
      </c>
    </row>
    <row r="79" spans="1:14">
      <c r="A79" s="9">
        <f>IF(tblContacts[[#This Row],[First Name]]&lt;&gt;0,ROW()-1,"")</f>
        <v>78</v>
      </c>
      <c r="B79" s="50" t="s">
        <v>985</v>
      </c>
      <c r="C79" s="50" t="s">
        <v>986</v>
      </c>
      <c r="D79" s="10"/>
      <c r="E79" s="10" t="s">
        <v>2224</v>
      </c>
      <c r="F79" s="10" t="s">
        <v>987</v>
      </c>
      <c r="G79" s="10"/>
      <c r="H79" s="10" t="s">
        <v>2824</v>
      </c>
      <c r="I79" s="10" t="s">
        <v>2171</v>
      </c>
      <c r="J79" s="10"/>
      <c r="K79" s="7" cm="1">
        <f t="array" ref="K79">IFERROR(LOOKUP(2,1/('Outreach Log'!$C$2:$C$9998=F79),'Outreach Log'!$B$2:$B$9998),"")</f>
        <v>46126</v>
      </c>
      <c r="L79" s="5" t="str">
        <f>IFERROR(INDEX('Outreach Log'!$F:$F,MATCH(TEXT(K79,"YYYY-MM-DD")&amp;F79,'Outreach Log'!$L:$L,0)),"")</f>
        <v>Email</v>
      </c>
      <c r="M79" s="6" t="str">
        <f>IFERROR(HYPERLINK("#'Outreach Log'!A"&amp;MATCH(TEXT(K79,"YYYY-MM-DD")&amp;F79,'Outreach Log'!$L:$L,0),"→ View"),"—")</f>
        <v>→ View</v>
      </c>
      <c r="N79" s="6" t="str">
        <f>IFERROR(HYPERLINK("#Companies!A"&amp;MATCH(E79,Companies!$B:$B,0),"→ View"),"—")</f>
        <v>→ View</v>
      </c>
    </row>
    <row r="80" spans="1:14">
      <c r="A80" s="9">
        <f>IF(tblContacts[[#This Row],[First Name]]&lt;&gt;0,ROW()-1,"")</f>
        <v>79</v>
      </c>
      <c r="B80" s="50" t="s">
        <v>988</v>
      </c>
      <c r="C80" s="50" t="s">
        <v>893</v>
      </c>
      <c r="D80" s="10"/>
      <c r="E80" s="10" t="s">
        <v>188</v>
      </c>
      <c r="F80" s="10" t="s">
        <v>989</v>
      </c>
      <c r="G80" s="10"/>
      <c r="H80" s="10" t="s">
        <v>2824</v>
      </c>
      <c r="I80" s="10" t="s">
        <v>2171</v>
      </c>
      <c r="J80" s="10"/>
      <c r="K80" s="7" cm="1">
        <f t="array" ref="K80">IFERROR(LOOKUP(2,1/('Outreach Log'!$C$2:$C$9998=F80),'Outreach Log'!$B$2:$B$9998),"")</f>
        <v>46126</v>
      </c>
      <c r="L80" s="5" t="str">
        <f>IFERROR(INDEX('Outreach Log'!$F:$F,MATCH(TEXT(K80,"YYYY-MM-DD")&amp;F80,'Outreach Log'!$L:$L,0)),"")</f>
        <v>Email</v>
      </c>
      <c r="M80" s="6" t="str">
        <f>IFERROR(HYPERLINK("#'Outreach Log'!A"&amp;MATCH(TEXT(K80,"YYYY-MM-DD")&amp;F80,'Outreach Log'!$L:$L,0),"→ View"),"—")</f>
        <v>→ View</v>
      </c>
      <c r="N80" s="6" t="str">
        <f>IFERROR(HYPERLINK("#Companies!A"&amp;MATCH(E80,Companies!$B:$B,0),"→ View"),"—")</f>
        <v>→ View</v>
      </c>
    </row>
    <row r="81" spans="1:14">
      <c r="A81" s="9">
        <f>IF(tblContacts[[#This Row],[First Name]]&lt;&gt;0,ROW()-1,"")</f>
        <v>80</v>
      </c>
      <c r="B81" s="50" t="s">
        <v>990</v>
      </c>
      <c r="C81" s="50" t="s">
        <v>991</v>
      </c>
      <c r="D81" s="10"/>
      <c r="E81" s="10" t="s">
        <v>2225</v>
      </c>
      <c r="F81" s="10" t="s">
        <v>992</v>
      </c>
      <c r="G81" s="10"/>
      <c r="H81" s="10" t="s">
        <v>2824</v>
      </c>
      <c r="I81" s="10" t="s">
        <v>2171</v>
      </c>
      <c r="J81" s="10"/>
      <c r="K81" s="7" t="str" cm="1">
        <f t="array" ref="K81">IFERROR(LOOKUP(2,1/('Outreach Log'!$C$2:$C$9998=F81),'Outreach Log'!$B$2:$B$9998),"")</f>
        <v/>
      </c>
      <c r="L81" s="5" t="str">
        <f>IFERROR(INDEX('Outreach Log'!$F:$F,MATCH(TEXT(K81,"YYYY-MM-DD")&amp;F81,'Outreach Log'!$L:$L,0)),"")</f>
        <v/>
      </c>
      <c r="M81" s="6" t="str">
        <f>IFERROR(HYPERLINK("#'Outreach Log'!A"&amp;MATCH(TEXT(K81,"YYYY-MM-DD")&amp;F81,'Outreach Log'!$L:$L,0),"→ View"),"—")</f>
        <v>—</v>
      </c>
      <c r="N81" s="6" t="str">
        <f>IFERROR(HYPERLINK("#Companies!A"&amp;MATCH(E81,Companies!$B:$B,0),"→ View"),"—")</f>
        <v>→ View</v>
      </c>
    </row>
    <row r="82" spans="1:14">
      <c r="A82" s="9">
        <f>IF(tblContacts[[#This Row],[First Name]]&lt;&gt;0,ROW()-1,"")</f>
        <v>81</v>
      </c>
      <c r="B82" s="50" t="s">
        <v>993</v>
      </c>
      <c r="C82" s="50" t="s">
        <v>994</v>
      </c>
      <c r="D82" s="10"/>
      <c r="E82" s="10" t="s">
        <v>2226</v>
      </c>
      <c r="F82" s="10" t="s">
        <v>995</v>
      </c>
      <c r="G82" s="10"/>
      <c r="H82" s="10" t="s">
        <v>2824</v>
      </c>
      <c r="I82" s="10" t="s">
        <v>2171</v>
      </c>
      <c r="J82" s="10"/>
      <c r="K82" s="7" t="str" cm="1">
        <f t="array" ref="K82">IFERROR(LOOKUP(2,1/('Outreach Log'!$C$2:$C$9998=F82),'Outreach Log'!$B$2:$B$9998),"")</f>
        <v/>
      </c>
      <c r="L82" s="5" t="str">
        <f>IFERROR(INDEX('Outreach Log'!$F:$F,MATCH(TEXT(K82,"YYYY-MM-DD")&amp;F82,'Outreach Log'!$L:$L,0)),"")</f>
        <v/>
      </c>
      <c r="M82" s="6" t="str">
        <f>IFERROR(HYPERLINK("#'Outreach Log'!A"&amp;MATCH(TEXT(K82,"YYYY-MM-DD")&amp;F82,'Outreach Log'!$L:$L,0),"→ View"),"—")</f>
        <v>—</v>
      </c>
      <c r="N82" s="6" t="str">
        <f>IFERROR(HYPERLINK("#Companies!A"&amp;MATCH(E82,Companies!$B:$B,0),"→ View"),"—")</f>
        <v>→ View</v>
      </c>
    </row>
    <row r="83" spans="1:14">
      <c r="A83" s="9">
        <f>IF(tblContacts[[#This Row],[First Name]]&lt;&gt;0,ROW()-1,"")</f>
        <v>82</v>
      </c>
      <c r="B83" s="50" t="s">
        <v>996</v>
      </c>
      <c r="C83" s="50" t="s">
        <v>2227</v>
      </c>
      <c r="D83" s="10"/>
      <c r="E83" s="10" t="s">
        <v>2157</v>
      </c>
      <c r="F83" s="10" t="s">
        <v>997</v>
      </c>
      <c r="G83" s="10"/>
      <c r="H83" s="10" t="s">
        <v>2824</v>
      </c>
      <c r="I83" s="10" t="s">
        <v>2171</v>
      </c>
      <c r="J83" s="10"/>
      <c r="K83" s="7" t="str" cm="1">
        <f t="array" ref="K83">IFERROR(LOOKUP(2,1/('Outreach Log'!$C$2:$C$9998=F83),'Outreach Log'!$B$2:$B$9998),"")</f>
        <v/>
      </c>
      <c r="L83" s="5" t="str">
        <f>IFERROR(INDEX('Outreach Log'!$F:$F,MATCH(TEXT(K83,"YYYY-MM-DD")&amp;F83,'Outreach Log'!$L:$L,0)),"")</f>
        <v/>
      </c>
      <c r="M83" s="6" t="str">
        <f>IFERROR(HYPERLINK("#'Outreach Log'!A"&amp;MATCH(TEXT(K83,"YYYY-MM-DD")&amp;F83,'Outreach Log'!$L:$L,0),"→ View"),"—")</f>
        <v>—</v>
      </c>
      <c r="N83" s="6" t="str">
        <f>IFERROR(HYPERLINK("#Companies!A"&amp;MATCH(E83,Companies!$B:$B,0),"→ View"),"—")</f>
        <v>→ View</v>
      </c>
    </row>
    <row r="84" spans="1:14">
      <c r="A84" s="9">
        <f>IF(tblContacts[[#This Row],[First Name]]&lt;&gt;0,ROW()-1,"")</f>
        <v>83</v>
      </c>
      <c r="B84" s="50" t="s">
        <v>996</v>
      </c>
      <c r="C84" s="50" t="s">
        <v>998</v>
      </c>
      <c r="D84" s="10"/>
      <c r="E84" s="10" t="s">
        <v>2228</v>
      </c>
      <c r="F84" s="10" t="s">
        <v>999</v>
      </c>
      <c r="G84" s="10"/>
      <c r="H84" s="10" t="s">
        <v>2824</v>
      </c>
      <c r="I84" s="10" t="s">
        <v>2171</v>
      </c>
      <c r="J84" s="10"/>
      <c r="K84" s="7" cm="1">
        <f t="array" ref="K84">IFERROR(LOOKUP(2,1/('Outreach Log'!$C$2:$C$9998=F84),'Outreach Log'!$B$2:$B$9998),"")</f>
        <v>46126</v>
      </c>
      <c r="L84" s="5" t="str">
        <f>IFERROR(INDEX('Outreach Log'!$F:$F,MATCH(TEXT(K84,"YYYY-MM-DD")&amp;F84,'Outreach Log'!$L:$L,0)),"")</f>
        <v>Email</v>
      </c>
      <c r="M84" s="6" t="str">
        <f>IFERROR(HYPERLINK("#'Outreach Log'!A"&amp;MATCH(TEXT(K84,"YYYY-MM-DD")&amp;F84,'Outreach Log'!$L:$L,0),"→ View"),"—")</f>
        <v>→ View</v>
      </c>
      <c r="N84" s="6" t="str">
        <f>IFERROR(HYPERLINK("#Companies!A"&amp;MATCH(E84,Companies!$B:$B,0),"→ View"),"—")</f>
        <v>→ View</v>
      </c>
    </row>
    <row r="85" spans="1:14">
      <c r="A85" s="9">
        <f>IF(tblContacts[[#This Row],[First Name]]&lt;&gt;0,ROW()-1,"")</f>
        <v>84</v>
      </c>
      <c r="B85" s="55" t="s">
        <v>996</v>
      </c>
      <c r="C85" s="55" t="s">
        <v>1914</v>
      </c>
      <c r="E85" s="10" t="s">
        <v>2866</v>
      </c>
      <c r="F85" s="10" t="s">
        <v>2854</v>
      </c>
      <c r="H85" s="10" t="s">
        <v>2824</v>
      </c>
      <c r="I85" s="44" t="s">
        <v>2873</v>
      </c>
      <c r="K85" s="7" t="str" cm="1">
        <f t="array" ref="K85">IFERROR(LOOKUP(2,1/('Outreach Log'!$C$2:$C$9998=F85),'Outreach Log'!$B$2:$B$9998),"")</f>
        <v/>
      </c>
      <c r="L85" s="5" t="str">
        <f>IFERROR(INDEX('Outreach Log'!$F:$F,MATCH(TEXT(K85,"YYYY-MM-DD")&amp;F85,'Outreach Log'!$L:$L,0)),"")</f>
        <v/>
      </c>
      <c r="M85" s="6" t="str">
        <f>IFERROR(HYPERLINK("#'Outreach Log'!A"&amp;MATCH(TEXT(K85,"YYYY-MM-DD")&amp;F85,'Outreach Log'!$L:$L,0),"→ View"),"—")</f>
        <v>—</v>
      </c>
      <c r="N85" s="6" t="str">
        <f>IFERROR(HYPERLINK("#Companies!A"&amp;MATCH(E85,Companies!$B:$B,0),"→ View"),"—")</f>
        <v>—</v>
      </c>
    </row>
    <row r="86" spans="1:14">
      <c r="A86" s="9">
        <f>IF(tblContacts[[#This Row],[First Name]]&lt;&gt;0,ROW()-1,"")</f>
        <v>85</v>
      </c>
      <c r="B86" s="50" t="s">
        <v>1000</v>
      </c>
      <c r="C86" s="50" t="s">
        <v>919</v>
      </c>
      <c r="D86" s="10"/>
      <c r="E86" s="10" t="s">
        <v>2111</v>
      </c>
      <c r="F86" s="10" t="s">
        <v>1001</v>
      </c>
      <c r="G86" s="10"/>
      <c r="H86" s="10" t="s">
        <v>2824</v>
      </c>
      <c r="I86" s="10" t="s">
        <v>2171</v>
      </c>
      <c r="J86" s="10"/>
      <c r="K86" s="7" t="str" cm="1">
        <f t="array" ref="K86">IFERROR(LOOKUP(2,1/('Outreach Log'!$C$2:$C$9998=F86),'Outreach Log'!$B$2:$B$9998),"")</f>
        <v/>
      </c>
      <c r="L86" s="5" t="str">
        <f>IFERROR(INDEX('Outreach Log'!$F:$F,MATCH(TEXT(K86,"YYYY-MM-DD")&amp;F86,'Outreach Log'!$L:$L,0)),"")</f>
        <v/>
      </c>
      <c r="M86" s="6" t="str">
        <f>IFERROR(HYPERLINK("#'Outreach Log'!A"&amp;MATCH(TEXT(K86,"YYYY-MM-DD")&amp;F86,'Outreach Log'!$L:$L,0),"→ View"),"—")</f>
        <v>—</v>
      </c>
      <c r="N86" s="6" t="str">
        <f>IFERROR(HYPERLINK("#Companies!A"&amp;MATCH(E86,Companies!$B:$B,0),"→ View"),"—")</f>
        <v>→ View</v>
      </c>
    </row>
    <row r="87" spans="1:14">
      <c r="A87" s="9">
        <f>IF(tblContacts[[#This Row],[First Name]]&lt;&gt;0,ROW()-1,"")</f>
        <v>86</v>
      </c>
      <c r="B87" s="50" t="s">
        <v>1000</v>
      </c>
      <c r="C87" s="50" t="s">
        <v>1002</v>
      </c>
      <c r="D87" s="10"/>
      <c r="E87" s="10" t="s">
        <v>2229</v>
      </c>
      <c r="F87" s="10" t="s">
        <v>1003</v>
      </c>
      <c r="G87" s="10"/>
      <c r="H87" s="10" t="s">
        <v>2824</v>
      </c>
      <c r="I87" s="10" t="s">
        <v>2171</v>
      </c>
      <c r="J87" s="10"/>
      <c r="K87" s="7" cm="1">
        <f t="array" ref="K87">IFERROR(LOOKUP(2,1/('Outreach Log'!$C$2:$C$9998=F87),'Outreach Log'!$B$2:$B$9998),"")</f>
        <v>46126</v>
      </c>
      <c r="L87" s="5" t="str">
        <f>IFERROR(INDEX('Outreach Log'!$F:$F,MATCH(TEXT(K87,"YYYY-MM-DD")&amp;F87,'Outreach Log'!$L:$L,0)),"")</f>
        <v>Email</v>
      </c>
      <c r="M87" s="6" t="str">
        <f>IFERROR(HYPERLINK("#'Outreach Log'!A"&amp;MATCH(TEXT(K87,"YYYY-MM-DD")&amp;F87,'Outreach Log'!$L:$L,0),"→ View"),"—")</f>
        <v>→ View</v>
      </c>
      <c r="N87" s="6" t="str">
        <f>IFERROR(HYPERLINK("#Companies!A"&amp;MATCH(E87,Companies!$B:$B,0),"→ View"),"—")</f>
        <v>→ View</v>
      </c>
    </row>
    <row r="88" spans="1:14">
      <c r="A88" s="9">
        <f>IF(tblContacts[[#This Row],[First Name]]&lt;&gt;0,ROW()-1,"")</f>
        <v>87</v>
      </c>
      <c r="B88" s="50" t="s">
        <v>1004</v>
      </c>
      <c r="C88" s="50" t="s">
        <v>1005</v>
      </c>
      <c r="D88" s="10"/>
      <c r="E88" s="10" t="s">
        <v>2230</v>
      </c>
      <c r="F88" s="10" t="s">
        <v>1006</v>
      </c>
      <c r="G88" s="10"/>
      <c r="H88" s="10" t="s">
        <v>2824</v>
      </c>
      <c r="I88" s="10" t="s">
        <v>2171</v>
      </c>
      <c r="J88" s="10"/>
      <c r="K88" s="7" t="str" cm="1">
        <f t="array" ref="K88">IFERROR(LOOKUP(2,1/('Outreach Log'!$C$2:$C$9998=F88),'Outreach Log'!$B$2:$B$9998),"")</f>
        <v/>
      </c>
      <c r="L88" s="5" t="str">
        <f>IFERROR(INDEX('Outreach Log'!$F:$F,MATCH(TEXT(K88,"YYYY-MM-DD")&amp;F88,'Outreach Log'!$L:$L,0)),"")</f>
        <v/>
      </c>
      <c r="M88" s="6" t="str">
        <f>IFERROR(HYPERLINK("#'Outreach Log'!A"&amp;MATCH(TEXT(K88,"YYYY-MM-DD")&amp;F88,'Outreach Log'!$L:$L,0),"→ View"),"—")</f>
        <v>—</v>
      </c>
      <c r="N88" s="6" t="str">
        <f>IFERROR(HYPERLINK("#Companies!A"&amp;MATCH(E88,Companies!$B:$B,0),"→ View"),"—")</f>
        <v>→ View</v>
      </c>
    </row>
    <row r="89" spans="1:14">
      <c r="A89" s="9">
        <f>IF(tblContacts[[#This Row],[First Name]]&lt;&gt;0,ROW()-1,"")</f>
        <v>88</v>
      </c>
      <c r="B89" s="50" t="s">
        <v>1008</v>
      </c>
      <c r="C89" s="50" t="s">
        <v>1009</v>
      </c>
      <c r="D89" s="10"/>
      <c r="E89" s="10" t="s">
        <v>2232</v>
      </c>
      <c r="F89" s="10" t="s">
        <v>1010</v>
      </c>
      <c r="G89" s="10"/>
      <c r="H89" s="10" t="s">
        <v>2824</v>
      </c>
      <c r="I89" s="10" t="s">
        <v>2171</v>
      </c>
      <c r="J89" s="10"/>
      <c r="K89" s="7" t="str" cm="1">
        <f t="array" ref="K89">IFERROR(LOOKUP(2,1/('Outreach Log'!$C$2:$C$9998=F89),'Outreach Log'!$B$2:$B$9998),"")</f>
        <v/>
      </c>
      <c r="L89" s="5" t="str">
        <f>IFERROR(INDEX('Outreach Log'!$F:$F,MATCH(TEXT(K89,"YYYY-MM-DD")&amp;F89,'Outreach Log'!$L:$L,0)),"")</f>
        <v/>
      </c>
      <c r="M89" s="6" t="str">
        <f>IFERROR(HYPERLINK("#'Outreach Log'!A"&amp;MATCH(TEXT(K89,"YYYY-MM-DD")&amp;F89,'Outreach Log'!$L:$L,0),"→ View"),"—")</f>
        <v>—</v>
      </c>
      <c r="N89" s="6" t="str">
        <f>IFERROR(HYPERLINK("#Companies!A"&amp;MATCH(E89,Companies!$B:$B,0),"→ View"),"—")</f>
        <v>→ View</v>
      </c>
    </row>
    <row r="90" spans="1:14">
      <c r="A90" s="9">
        <f>IF(tblContacts[[#This Row],[First Name]]&lt;&gt;0,ROW()-1,"")</f>
        <v>89</v>
      </c>
      <c r="B90" s="50" t="s">
        <v>1008</v>
      </c>
      <c r="C90" s="50" t="s">
        <v>1011</v>
      </c>
      <c r="D90" s="10"/>
      <c r="E90" s="10" t="s">
        <v>2233</v>
      </c>
      <c r="F90" s="10" t="s">
        <v>1012</v>
      </c>
      <c r="G90" s="10"/>
      <c r="H90" s="10" t="s">
        <v>2824</v>
      </c>
      <c r="I90" s="10" t="s">
        <v>2171</v>
      </c>
      <c r="J90" s="10"/>
      <c r="K90" s="7" t="str" cm="1">
        <f t="array" ref="K90">IFERROR(LOOKUP(2,1/('Outreach Log'!$C$2:$C$9998=F90),'Outreach Log'!$B$2:$B$9998),"")</f>
        <v/>
      </c>
      <c r="L90" s="5" t="str">
        <f>IFERROR(INDEX('Outreach Log'!$F:$F,MATCH(TEXT(K90,"YYYY-MM-DD")&amp;F90,'Outreach Log'!$L:$L,0)),"")</f>
        <v/>
      </c>
      <c r="M90" s="6" t="str">
        <f>IFERROR(HYPERLINK("#'Outreach Log'!A"&amp;MATCH(TEXT(K90,"YYYY-MM-DD")&amp;F90,'Outreach Log'!$L:$L,0),"→ View"),"—")</f>
        <v>—</v>
      </c>
      <c r="N90" s="6" t="str">
        <f>IFERROR(HYPERLINK("#Companies!A"&amp;MATCH(E90,Companies!$B:$B,0),"→ View"),"—")</f>
        <v>→ View</v>
      </c>
    </row>
    <row r="91" spans="1:14">
      <c r="A91" s="9">
        <f>IF(tblContacts[[#This Row],[First Name]]&lt;&gt;0,ROW()-1,"")</f>
        <v>90</v>
      </c>
      <c r="B91" s="50" t="s">
        <v>1013</v>
      </c>
      <c r="C91" s="50" t="s">
        <v>1014</v>
      </c>
      <c r="D91" s="10"/>
      <c r="E91" s="10" t="s">
        <v>2234</v>
      </c>
      <c r="F91" s="10" t="s">
        <v>1015</v>
      </c>
      <c r="G91" s="10"/>
      <c r="H91" s="10" t="s">
        <v>2824</v>
      </c>
      <c r="I91" s="10" t="s">
        <v>2171</v>
      </c>
      <c r="J91" s="10"/>
      <c r="K91" s="7" t="str" cm="1">
        <f t="array" ref="K91">IFERROR(LOOKUP(2,1/('Outreach Log'!$C$2:$C$9998=F91),'Outreach Log'!$B$2:$B$9998),"")</f>
        <v/>
      </c>
      <c r="L91" s="5" t="str">
        <f>IFERROR(INDEX('Outreach Log'!$F:$F,MATCH(TEXT(K91,"YYYY-MM-DD")&amp;F91,'Outreach Log'!$L:$L,0)),"")</f>
        <v/>
      </c>
      <c r="M91" s="6" t="str">
        <f>IFERROR(HYPERLINK("#'Outreach Log'!A"&amp;MATCH(TEXT(K91,"YYYY-MM-DD")&amp;F91,'Outreach Log'!$L:$L,0),"→ View"),"—")</f>
        <v>—</v>
      </c>
      <c r="N91" s="6" t="str">
        <f>IFERROR(HYPERLINK("#Companies!A"&amp;MATCH(E91,Companies!$B:$B,0),"→ View"),"—")</f>
        <v>→ View</v>
      </c>
    </row>
    <row r="92" spans="1:14">
      <c r="A92" s="9">
        <f>IF(tblContacts[[#This Row],[First Name]]&lt;&gt;0,ROW()-1,"")</f>
        <v>91</v>
      </c>
      <c r="B92" s="50" t="s">
        <v>1016</v>
      </c>
      <c r="C92" s="50" t="s">
        <v>1017</v>
      </c>
      <c r="D92" s="10" t="s">
        <v>1018</v>
      </c>
      <c r="E92" s="10" t="s">
        <v>203</v>
      </c>
      <c r="F92" s="10" t="s">
        <v>1019</v>
      </c>
      <c r="G92" s="10"/>
      <c r="H92" s="10" t="s">
        <v>2824</v>
      </c>
      <c r="I92" s="10" t="s">
        <v>13</v>
      </c>
      <c r="J92" s="10"/>
      <c r="K92" s="7" t="str" cm="1">
        <f t="array" ref="K92">IFERROR(LOOKUP(2,1/('Outreach Log'!$C$2:$C$9998=F92),'Outreach Log'!$B$2:$B$9998),"")</f>
        <v/>
      </c>
      <c r="L92" s="5" t="str">
        <f>IFERROR(INDEX('Outreach Log'!$F:$F,MATCH(TEXT(K92,"YYYY-MM-DD")&amp;F92,'Outreach Log'!$L:$L,0)),"")</f>
        <v/>
      </c>
      <c r="M92" s="6" t="str">
        <f>IFERROR(HYPERLINK("#'Outreach Log'!A"&amp;MATCH(TEXT(K92,"YYYY-MM-DD")&amp;F92,'Outreach Log'!$L:$L,0),"→ View"),"—")</f>
        <v>—</v>
      </c>
      <c r="N92" s="6" t="str">
        <f>IFERROR(HYPERLINK("#Companies!A"&amp;MATCH(E92,Companies!$B:$B,0),"→ View"),"—")</f>
        <v>→ View</v>
      </c>
    </row>
    <row r="93" spans="1:14">
      <c r="A93" s="9">
        <f>IF(tblContacts[[#This Row],[First Name]]&lt;&gt;0,ROW()-1,"")</f>
        <v>92</v>
      </c>
      <c r="B93" s="50" t="s">
        <v>1016</v>
      </c>
      <c r="C93" s="50" t="s">
        <v>1020</v>
      </c>
      <c r="D93" s="10"/>
      <c r="E93" s="10" t="s">
        <v>2235</v>
      </c>
      <c r="F93" s="10" t="s">
        <v>1021</v>
      </c>
      <c r="G93" s="10"/>
      <c r="H93" s="10" t="s">
        <v>2824</v>
      </c>
      <c r="I93" s="10" t="s">
        <v>2171</v>
      </c>
      <c r="J93" s="10"/>
      <c r="K93" s="7" t="str" cm="1">
        <f t="array" ref="K93">IFERROR(LOOKUP(2,1/('Outreach Log'!$C$2:$C$9998=F93),'Outreach Log'!$B$2:$B$9998),"")</f>
        <v/>
      </c>
      <c r="L93" s="5" t="str">
        <f>IFERROR(INDEX('Outreach Log'!$F:$F,MATCH(TEXT(K93,"YYYY-MM-DD")&amp;F93,'Outreach Log'!$L:$L,0)),"")</f>
        <v/>
      </c>
      <c r="M93" s="6" t="str">
        <f>IFERROR(HYPERLINK("#'Outreach Log'!A"&amp;MATCH(TEXT(K93,"YYYY-MM-DD")&amp;F93,'Outreach Log'!$L:$L,0),"→ View"),"—")</f>
        <v>—</v>
      </c>
      <c r="N93" s="6" t="str">
        <f>IFERROR(HYPERLINK("#Companies!A"&amp;MATCH(E93,Companies!$B:$B,0),"→ View"),"—")</f>
        <v>→ View</v>
      </c>
    </row>
    <row r="94" spans="1:14">
      <c r="A94" s="9">
        <f>IF(tblContacts[[#This Row],[First Name]]&lt;&gt;0,ROW()-1,"")</f>
        <v>93</v>
      </c>
      <c r="B94" s="50" t="s">
        <v>1016</v>
      </c>
      <c r="C94" s="50" t="s">
        <v>1022</v>
      </c>
      <c r="D94" s="10"/>
      <c r="E94" s="10" t="s">
        <v>2236</v>
      </c>
      <c r="F94" s="10" t="s">
        <v>1023</v>
      </c>
      <c r="G94" s="10"/>
      <c r="H94" s="10" t="s">
        <v>2824</v>
      </c>
      <c r="I94" s="10" t="s">
        <v>2171</v>
      </c>
      <c r="J94" s="10"/>
      <c r="K94" s="7" cm="1">
        <f t="array" ref="K94">IFERROR(LOOKUP(2,1/('Outreach Log'!$C$2:$C$9998=F94),'Outreach Log'!$B$2:$B$9998),"")</f>
        <v>46126</v>
      </c>
      <c r="L94" s="5" t="str">
        <f>IFERROR(INDEX('Outreach Log'!$F:$F,MATCH(TEXT(K94,"YYYY-MM-DD")&amp;F94,'Outreach Log'!$L:$L,0)),"")</f>
        <v>Email</v>
      </c>
      <c r="M94" s="6" t="str">
        <f>IFERROR(HYPERLINK("#'Outreach Log'!A"&amp;MATCH(TEXT(K94,"YYYY-MM-DD")&amp;F94,'Outreach Log'!$L:$L,0),"→ View"),"—")</f>
        <v>→ View</v>
      </c>
      <c r="N94" s="6" t="str">
        <f>IFERROR(HYPERLINK("#Companies!A"&amp;MATCH(E94,Companies!$B:$B,0),"→ View"),"—")</f>
        <v>→ View</v>
      </c>
    </row>
    <row r="95" spans="1:14">
      <c r="A95" s="9">
        <f>IF(tblContacts[[#This Row],[First Name]]&lt;&gt;0,ROW()-1,"")</f>
        <v>94</v>
      </c>
      <c r="B95" s="50" t="s">
        <v>1024</v>
      </c>
      <c r="C95" s="50" t="s">
        <v>1025</v>
      </c>
      <c r="D95" s="10"/>
      <c r="E95" s="10" t="s">
        <v>207</v>
      </c>
      <c r="F95" s="10" t="s">
        <v>1026</v>
      </c>
      <c r="G95" s="10"/>
      <c r="H95" s="10" t="s">
        <v>2824</v>
      </c>
      <c r="I95" s="10" t="s">
        <v>2171</v>
      </c>
      <c r="J95" s="10"/>
      <c r="K95" s="7" cm="1">
        <f t="array" ref="K95">IFERROR(LOOKUP(2,1/('Outreach Log'!$C$2:$C$9998=F95),'Outreach Log'!$B$2:$B$9998),"")</f>
        <v>46126</v>
      </c>
      <c r="L95" s="5" t="str">
        <f>IFERROR(INDEX('Outreach Log'!$F:$F,MATCH(TEXT(K95,"YYYY-MM-DD")&amp;F95,'Outreach Log'!$L:$L,0)),"")</f>
        <v>Email</v>
      </c>
      <c r="M95" s="6" t="str">
        <f>IFERROR(HYPERLINK("#'Outreach Log'!A"&amp;MATCH(TEXT(K95,"YYYY-MM-DD")&amp;F95,'Outreach Log'!$L:$L,0),"→ View"),"—")</f>
        <v>→ View</v>
      </c>
      <c r="N95" s="6" t="str">
        <f>IFERROR(HYPERLINK("#Companies!A"&amp;MATCH(E95,Companies!$B:$B,0),"→ View"),"—")</f>
        <v>→ View</v>
      </c>
    </row>
    <row r="96" spans="1:14">
      <c r="A96" s="9">
        <f>IF(tblContacts[[#This Row],[First Name]]&lt;&gt;0,ROW()-1,"")</f>
        <v>95</v>
      </c>
      <c r="B96" s="50" t="s">
        <v>1027</v>
      </c>
      <c r="C96" s="50" t="s">
        <v>1028</v>
      </c>
      <c r="D96" s="10"/>
      <c r="E96" s="10" t="s">
        <v>2138</v>
      </c>
      <c r="F96" s="10" t="s">
        <v>1029</v>
      </c>
      <c r="G96" s="10"/>
      <c r="H96" s="10" t="s">
        <v>2824</v>
      </c>
      <c r="I96" s="10" t="s">
        <v>2171</v>
      </c>
      <c r="J96" s="10"/>
      <c r="K96" s="7" cm="1">
        <f t="array" ref="K96">IFERROR(LOOKUP(2,1/('Outreach Log'!$C$2:$C$9998=F96),'Outreach Log'!$B$2:$B$9998),"")</f>
        <v>46126</v>
      </c>
      <c r="L96" s="5" t="str">
        <f>IFERROR(INDEX('Outreach Log'!$F:$F,MATCH(TEXT(K96,"YYYY-MM-DD")&amp;F96,'Outreach Log'!$L:$L,0)),"")</f>
        <v>Email</v>
      </c>
      <c r="M96" s="6" t="str">
        <f>IFERROR(HYPERLINK("#'Outreach Log'!A"&amp;MATCH(TEXT(K96,"YYYY-MM-DD")&amp;F96,'Outreach Log'!$L:$L,0),"→ View"),"—")</f>
        <v>→ View</v>
      </c>
      <c r="N96" s="6" t="str">
        <f>IFERROR(HYPERLINK("#Companies!A"&amp;MATCH(E96,Companies!$B:$B,0),"→ View"),"—")</f>
        <v>→ View</v>
      </c>
    </row>
    <row r="97" spans="1:14">
      <c r="A97" s="9">
        <f>IF(tblContacts[[#This Row],[First Name]]&lt;&gt;0,ROW()-1,"")</f>
        <v>96</v>
      </c>
      <c r="B97" s="50" t="s">
        <v>1030</v>
      </c>
      <c r="C97" s="50" t="s">
        <v>1031</v>
      </c>
      <c r="D97" s="10"/>
      <c r="E97" s="10" t="s">
        <v>2237</v>
      </c>
      <c r="F97" s="10" t="s">
        <v>1032</v>
      </c>
      <c r="G97" s="10"/>
      <c r="H97" s="10" t="s">
        <v>2824</v>
      </c>
      <c r="I97" s="10" t="s">
        <v>2171</v>
      </c>
      <c r="J97" s="10"/>
      <c r="K97" s="7" cm="1">
        <f t="array" ref="K97">IFERROR(LOOKUP(2,1/('Outreach Log'!$C$2:$C$9998=F97),'Outreach Log'!$B$2:$B$9998),"")</f>
        <v>46126</v>
      </c>
      <c r="L97" s="5" t="str">
        <f>IFERROR(INDEX('Outreach Log'!$F:$F,MATCH(TEXT(K97,"YYYY-MM-DD")&amp;F97,'Outreach Log'!$L:$L,0)),"")</f>
        <v>Email</v>
      </c>
      <c r="M97" s="6" t="str">
        <f>IFERROR(HYPERLINK("#'Outreach Log'!A"&amp;MATCH(TEXT(K97,"YYYY-MM-DD")&amp;F97,'Outreach Log'!$L:$L,0),"→ View"),"—")</f>
        <v>→ View</v>
      </c>
      <c r="N97" s="6" t="str">
        <f>IFERROR(HYPERLINK("#Companies!A"&amp;MATCH(E97,Companies!$B:$B,0),"→ View"),"—")</f>
        <v>→ View</v>
      </c>
    </row>
    <row r="98" spans="1:14">
      <c r="A98" s="9">
        <f>IF(tblContacts[[#This Row],[First Name]]&lt;&gt;0,ROW()-1,"")</f>
        <v>97</v>
      </c>
      <c r="B98" s="50" t="s">
        <v>1030</v>
      </c>
      <c r="C98" s="50" t="s">
        <v>1033</v>
      </c>
      <c r="D98" s="10"/>
      <c r="E98" s="10" t="s">
        <v>210</v>
      </c>
      <c r="F98" s="10" t="s">
        <v>1034</v>
      </c>
      <c r="G98" s="10"/>
      <c r="H98" s="10" t="s">
        <v>2824</v>
      </c>
      <c r="I98" s="10" t="s">
        <v>2171</v>
      </c>
      <c r="J98" s="10"/>
      <c r="K98" s="7" t="str" cm="1">
        <f t="array" ref="K98">IFERROR(LOOKUP(2,1/('Outreach Log'!$C$2:$C$9998=F98),'Outreach Log'!$B$2:$B$9998),"")</f>
        <v/>
      </c>
      <c r="L98" s="5" t="str">
        <f>IFERROR(INDEX('Outreach Log'!$F:$F,MATCH(TEXT(K98,"YYYY-MM-DD")&amp;F98,'Outreach Log'!$L:$L,0)),"")</f>
        <v/>
      </c>
      <c r="M98" s="6" t="str">
        <f>IFERROR(HYPERLINK("#'Outreach Log'!A"&amp;MATCH(TEXT(K98,"YYYY-MM-DD")&amp;F98,'Outreach Log'!$L:$L,0),"→ View"),"—")</f>
        <v>—</v>
      </c>
      <c r="N98" s="6" t="str">
        <f>IFERROR(HYPERLINK("#Companies!A"&amp;MATCH(E98,Companies!$B:$B,0),"→ View"),"—")</f>
        <v>→ View</v>
      </c>
    </row>
    <row r="99" spans="1:14">
      <c r="A99" s="9">
        <f>IF(tblContacts[[#This Row],[First Name]]&lt;&gt;0,ROW()-1,"")</f>
        <v>98</v>
      </c>
      <c r="B99" s="50" t="s">
        <v>1030</v>
      </c>
      <c r="C99" s="50" t="s">
        <v>1035</v>
      </c>
      <c r="D99" s="10"/>
      <c r="E99" s="10" t="s">
        <v>2238</v>
      </c>
      <c r="F99" s="10" t="s">
        <v>1036</v>
      </c>
      <c r="G99" s="10"/>
      <c r="H99" s="10" t="s">
        <v>2824</v>
      </c>
      <c r="I99" s="10" t="s">
        <v>2171</v>
      </c>
      <c r="J99" s="10"/>
      <c r="K99" s="7" t="str" cm="1">
        <f t="array" ref="K99">IFERROR(LOOKUP(2,1/('Outreach Log'!$C$2:$C$9998=F99),'Outreach Log'!$B$2:$B$9998),"")</f>
        <v/>
      </c>
      <c r="L99" s="5" t="str">
        <f>IFERROR(INDEX('Outreach Log'!$F:$F,MATCH(TEXT(K99,"YYYY-MM-DD")&amp;F99,'Outreach Log'!$L:$L,0)),"")</f>
        <v/>
      </c>
      <c r="M99" s="6" t="str">
        <f>IFERROR(HYPERLINK("#'Outreach Log'!A"&amp;MATCH(TEXT(K99,"YYYY-MM-DD")&amp;F99,'Outreach Log'!$L:$L,0),"→ View"),"—")</f>
        <v>—</v>
      </c>
      <c r="N99" s="6" t="str">
        <f>IFERROR(HYPERLINK("#Companies!A"&amp;MATCH(E99,Companies!$B:$B,0),"→ View"),"—")</f>
        <v>→ View</v>
      </c>
    </row>
    <row r="100" spans="1:14">
      <c r="A100" s="9">
        <f>IF(tblContacts[[#This Row],[First Name]]&lt;&gt;0,ROW()-1,"")</f>
        <v>99</v>
      </c>
      <c r="B100" s="50" t="s">
        <v>1030</v>
      </c>
      <c r="C100" s="50" t="s">
        <v>1037</v>
      </c>
      <c r="D100" s="10"/>
      <c r="E100" s="10" t="s">
        <v>2239</v>
      </c>
      <c r="F100" s="10" t="s">
        <v>1038</v>
      </c>
      <c r="G100" s="10"/>
      <c r="H100" s="10" t="s">
        <v>2824</v>
      </c>
      <c r="I100" s="10" t="s">
        <v>2171</v>
      </c>
      <c r="J100" s="10"/>
      <c r="K100" s="7" cm="1">
        <f t="array" ref="K100">IFERROR(LOOKUP(2,1/('Outreach Log'!$C$2:$C$9998=F100),'Outreach Log'!$B$2:$B$9998),"")</f>
        <v>46126</v>
      </c>
      <c r="L100" s="5" t="str">
        <f>IFERROR(INDEX('Outreach Log'!$F:$F,MATCH(TEXT(K100,"YYYY-MM-DD")&amp;F100,'Outreach Log'!$L:$L,0)),"")</f>
        <v>Email</v>
      </c>
      <c r="M100" s="6" t="str">
        <f>IFERROR(HYPERLINK("#'Outreach Log'!A"&amp;MATCH(TEXT(K100,"YYYY-MM-DD")&amp;F100,'Outreach Log'!$L:$L,0),"→ View"),"—")</f>
        <v>→ View</v>
      </c>
      <c r="N100" s="6" t="str">
        <f>IFERROR(HYPERLINK("#Companies!A"&amp;MATCH(E100,Companies!$B:$B,0),"→ View"),"—")</f>
        <v>→ View</v>
      </c>
    </row>
    <row r="101" spans="1:14">
      <c r="A101" s="9">
        <f>IF(tblContacts[[#This Row],[First Name]]&lt;&gt;0,ROW()-1,"")</f>
        <v>100</v>
      </c>
      <c r="B101" s="50" t="s">
        <v>1030</v>
      </c>
      <c r="C101" s="50" t="s">
        <v>1039</v>
      </c>
      <c r="D101" s="10" t="s">
        <v>1040</v>
      </c>
      <c r="E101" s="10" t="s">
        <v>214</v>
      </c>
      <c r="F101" s="10" t="s">
        <v>1041</v>
      </c>
      <c r="G101" s="10"/>
      <c r="H101" s="10" t="s">
        <v>2824</v>
      </c>
      <c r="I101" s="10" t="s">
        <v>13</v>
      </c>
      <c r="J101" s="10"/>
      <c r="K101" s="7" cm="1">
        <f t="array" ref="K101">IFERROR(LOOKUP(2,1/('Outreach Log'!$C$2:$C$9998=F101),'Outreach Log'!$B$2:$B$9998),"")</f>
        <v>46126</v>
      </c>
      <c r="L101" s="5" t="str">
        <f>IFERROR(INDEX('Outreach Log'!$F:$F,MATCH(TEXT(K101,"YYYY-MM-DD")&amp;F101,'Outreach Log'!$L:$L,0)),"")</f>
        <v>Email</v>
      </c>
      <c r="M101" s="6" t="str">
        <f>IFERROR(HYPERLINK("#'Outreach Log'!A"&amp;MATCH(TEXT(K101,"YYYY-MM-DD")&amp;F101,'Outreach Log'!$L:$L,0),"→ View"),"—")</f>
        <v>→ View</v>
      </c>
      <c r="N101" s="6" t="str">
        <f>IFERROR(HYPERLINK("#Companies!A"&amp;MATCH(E101,Companies!$B:$B,0),"→ View"),"—")</f>
        <v>→ View</v>
      </c>
    </row>
    <row r="102" spans="1:14">
      <c r="A102" s="9">
        <f>IF(tblContacts[[#This Row],[First Name]]&lt;&gt;0,ROW()-1,"")</f>
        <v>101</v>
      </c>
      <c r="B102" s="50" t="s">
        <v>887</v>
      </c>
      <c r="C102" s="50" t="s">
        <v>1042</v>
      </c>
      <c r="D102" s="10"/>
      <c r="E102" s="10" t="s">
        <v>2240</v>
      </c>
      <c r="F102" s="10" t="s">
        <v>1043</v>
      </c>
      <c r="G102" s="10"/>
      <c r="H102" s="10" t="s">
        <v>2824</v>
      </c>
      <c r="I102" s="10" t="s">
        <v>2171</v>
      </c>
      <c r="J102" s="10"/>
      <c r="K102" s="7" t="str" cm="1">
        <f t="array" ref="K102">IFERROR(LOOKUP(2,1/('Outreach Log'!$C$2:$C$9998=F102),'Outreach Log'!$B$2:$B$9998),"")</f>
        <v/>
      </c>
      <c r="L102" s="5" t="str">
        <f>IFERROR(INDEX('Outreach Log'!$F:$F,MATCH(TEXT(K102,"YYYY-MM-DD")&amp;F102,'Outreach Log'!$L:$L,0)),"")</f>
        <v/>
      </c>
      <c r="M102" s="6" t="str">
        <f>IFERROR(HYPERLINK("#'Outreach Log'!A"&amp;MATCH(TEXT(K102,"YYYY-MM-DD")&amp;F102,'Outreach Log'!$L:$L,0),"→ View"),"—")</f>
        <v>—</v>
      </c>
      <c r="N102" s="6" t="str">
        <f>IFERROR(HYPERLINK("#Companies!A"&amp;MATCH(E102,Companies!$B:$B,0),"→ View"),"—")</f>
        <v>→ View</v>
      </c>
    </row>
    <row r="103" spans="1:14">
      <c r="A103" s="9">
        <f>IF(tblContacts[[#This Row],[First Name]]&lt;&gt;0,ROW()-1,"")</f>
        <v>102</v>
      </c>
      <c r="B103" s="50" t="s">
        <v>887</v>
      </c>
      <c r="C103" s="50" t="s">
        <v>1044</v>
      </c>
      <c r="D103" s="10"/>
      <c r="E103" s="10" t="s">
        <v>2241</v>
      </c>
      <c r="F103" s="10" t="s">
        <v>1045</v>
      </c>
      <c r="G103" s="10"/>
      <c r="H103" s="10" t="s">
        <v>2824</v>
      </c>
      <c r="I103" s="10" t="s">
        <v>2171</v>
      </c>
      <c r="J103" s="10"/>
      <c r="K103" s="7" cm="1">
        <f t="array" ref="K103">IFERROR(LOOKUP(2,1/('Outreach Log'!$C$2:$C$9998=F103),'Outreach Log'!$B$2:$B$9998),"")</f>
        <v>46126</v>
      </c>
      <c r="L103" s="5" t="str">
        <f>IFERROR(INDEX('Outreach Log'!$F:$F,MATCH(TEXT(K103,"YYYY-MM-DD")&amp;F103,'Outreach Log'!$L:$L,0)),"")</f>
        <v>Email</v>
      </c>
      <c r="M103" s="6" t="str">
        <f>IFERROR(HYPERLINK("#'Outreach Log'!A"&amp;MATCH(TEXT(K103,"YYYY-MM-DD")&amp;F103,'Outreach Log'!$L:$L,0),"→ View"),"—")</f>
        <v>→ View</v>
      </c>
      <c r="N103" s="6" t="str">
        <f>IFERROR(HYPERLINK("#Companies!A"&amp;MATCH(E103,Companies!$B:$B,0),"→ View"),"—")</f>
        <v>→ View</v>
      </c>
    </row>
    <row r="104" spans="1:14">
      <c r="A104" s="9">
        <f>IF(tblContacts[[#This Row],[First Name]]&lt;&gt;0,ROW()-1,"")</f>
        <v>103</v>
      </c>
      <c r="B104" s="50" t="s">
        <v>820</v>
      </c>
      <c r="C104" s="50" t="s">
        <v>1049</v>
      </c>
      <c r="D104" s="10"/>
      <c r="E104" s="10" t="s">
        <v>2242</v>
      </c>
      <c r="F104" s="10" t="s">
        <v>1050</v>
      </c>
      <c r="G104" s="10"/>
      <c r="H104" s="10" t="s">
        <v>2824</v>
      </c>
      <c r="I104" s="10" t="s">
        <v>2171</v>
      </c>
      <c r="J104" s="10"/>
      <c r="K104" s="7" cm="1">
        <f t="array" ref="K104">IFERROR(LOOKUP(2,1/('Outreach Log'!$C$2:$C$9998=F104),'Outreach Log'!$B$2:$B$9998),"")</f>
        <v>46126</v>
      </c>
      <c r="L104" s="5" t="str">
        <f>IFERROR(INDEX('Outreach Log'!$F:$F,MATCH(TEXT(K104,"YYYY-MM-DD")&amp;F104,'Outreach Log'!$L:$L,0)),"")</f>
        <v>Email</v>
      </c>
      <c r="M104" s="6" t="str">
        <f>IFERROR(HYPERLINK("#'Outreach Log'!A"&amp;MATCH(TEXT(K104,"YYYY-MM-DD")&amp;F104,'Outreach Log'!$L:$L,0),"→ View"),"—")</f>
        <v>→ View</v>
      </c>
      <c r="N104" s="6" t="str">
        <f>IFERROR(HYPERLINK("#Companies!A"&amp;MATCH(E104,Companies!$B:$B,0),"→ View"),"—")</f>
        <v>→ View</v>
      </c>
    </row>
    <row r="105" spans="1:14">
      <c r="A105" s="9">
        <f>IF(tblContacts[[#This Row],[First Name]]&lt;&gt;0,ROW()-1,"")</f>
        <v>104</v>
      </c>
      <c r="B105" s="50" t="s">
        <v>1051</v>
      </c>
      <c r="C105" s="50" t="s">
        <v>1052</v>
      </c>
      <c r="D105" s="10"/>
      <c r="E105" s="10" t="s">
        <v>2243</v>
      </c>
      <c r="F105" s="10" t="s">
        <v>1053</v>
      </c>
      <c r="G105" s="10"/>
      <c r="H105" s="10" t="s">
        <v>2824</v>
      </c>
      <c r="I105" s="10" t="s">
        <v>2171</v>
      </c>
      <c r="J105" s="10"/>
      <c r="K105" s="7" cm="1">
        <f t="array" ref="K105">IFERROR(LOOKUP(2,1/('Outreach Log'!$C$2:$C$9998=F105),'Outreach Log'!$B$2:$B$9998),"")</f>
        <v>46126</v>
      </c>
      <c r="L105" s="5" t="str">
        <f>IFERROR(INDEX('Outreach Log'!$F:$F,MATCH(TEXT(K105,"YYYY-MM-DD")&amp;F105,'Outreach Log'!$L:$L,0)),"")</f>
        <v>Email</v>
      </c>
      <c r="M105" s="6" t="str">
        <f>IFERROR(HYPERLINK("#'Outreach Log'!A"&amp;MATCH(TEXT(K105,"YYYY-MM-DD")&amp;F105,'Outreach Log'!$L:$L,0),"→ View"),"—")</f>
        <v>→ View</v>
      </c>
      <c r="N105" s="6" t="str">
        <f>IFERROR(HYPERLINK("#Companies!A"&amp;MATCH(E105,Companies!$B:$B,0),"→ View"),"—")</f>
        <v>→ View</v>
      </c>
    </row>
    <row r="106" spans="1:14">
      <c r="A106" s="9">
        <f>IF(tblContacts[[#This Row],[First Name]]&lt;&gt;0,ROW()-1,"")</f>
        <v>105</v>
      </c>
      <c r="B106" s="50" t="s">
        <v>1054</v>
      </c>
      <c r="C106" s="50" t="s">
        <v>1055</v>
      </c>
      <c r="D106" s="10"/>
      <c r="E106" s="10" t="s">
        <v>2244</v>
      </c>
      <c r="F106" s="10" t="s">
        <v>1056</v>
      </c>
      <c r="G106" s="10"/>
      <c r="H106" s="10" t="s">
        <v>2824</v>
      </c>
      <c r="I106" s="10" t="s">
        <v>2171</v>
      </c>
      <c r="J106" s="10"/>
      <c r="K106" s="7" t="str" cm="1">
        <f t="array" ref="K106">IFERROR(LOOKUP(2,1/('Outreach Log'!$C$2:$C$9998=F106),'Outreach Log'!$B$2:$B$9998),"")</f>
        <v/>
      </c>
      <c r="L106" s="5" t="str">
        <f>IFERROR(INDEX('Outreach Log'!$F:$F,MATCH(TEXT(K106,"YYYY-MM-DD")&amp;F106,'Outreach Log'!$L:$L,0)),"")</f>
        <v/>
      </c>
      <c r="M106" s="6" t="str">
        <f>IFERROR(HYPERLINK("#'Outreach Log'!A"&amp;MATCH(TEXT(K106,"YYYY-MM-DD")&amp;F106,'Outreach Log'!$L:$L,0),"→ View"),"—")</f>
        <v>—</v>
      </c>
      <c r="N106" s="6" t="str">
        <f>IFERROR(HYPERLINK("#Companies!A"&amp;MATCH(E106,Companies!$B:$B,0),"→ View"),"—")</f>
        <v>→ View</v>
      </c>
    </row>
    <row r="107" spans="1:14">
      <c r="A107" s="9">
        <f>IF(tblContacts[[#This Row],[First Name]]&lt;&gt;0,ROW()-1,"")</f>
        <v>106</v>
      </c>
      <c r="B107" s="50" t="s">
        <v>1057</v>
      </c>
      <c r="C107" s="50" t="s">
        <v>1058</v>
      </c>
      <c r="D107" s="10"/>
      <c r="E107" s="10" t="s">
        <v>2245</v>
      </c>
      <c r="F107" s="10" t="s">
        <v>1059</v>
      </c>
      <c r="G107" s="10"/>
      <c r="H107" s="10" t="s">
        <v>2824</v>
      </c>
      <c r="I107" s="10" t="s">
        <v>2171</v>
      </c>
      <c r="J107" s="10"/>
      <c r="K107" s="7" t="str" cm="1">
        <f t="array" ref="K107">IFERROR(LOOKUP(2,1/('Outreach Log'!$C$2:$C$9998=F107),'Outreach Log'!$B$2:$B$9998),"")</f>
        <v/>
      </c>
      <c r="L107" s="5" t="str">
        <f>IFERROR(INDEX('Outreach Log'!$F:$F,MATCH(TEXT(K107,"YYYY-MM-DD")&amp;F107,'Outreach Log'!$L:$L,0)),"")</f>
        <v/>
      </c>
      <c r="M107" s="6" t="str">
        <f>IFERROR(HYPERLINK("#'Outreach Log'!A"&amp;MATCH(TEXT(K107,"YYYY-MM-DD")&amp;F107,'Outreach Log'!$L:$L,0),"→ View"),"—")</f>
        <v>—</v>
      </c>
      <c r="N107" s="6" t="str">
        <f>IFERROR(HYPERLINK("#Companies!A"&amp;MATCH(E107,Companies!$B:$B,0),"→ View"),"—")</f>
        <v>→ View</v>
      </c>
    </row>
    <row r="108" spans="1:14">
      <c r="A108" s="9">
        <f>IF(tblContacts[[#This Row],[First Name]]&lt;&gt;0,ROW()-1,"")</f>
        <v>107</v>
      </c>
      <c r="B108" s="50" t="s">
        <v>1057</v>
      </c>
      <c r="C108" s="50" t="s">
        <v>855</v>
      </c>
      <c r="D108" s="10"/>
      <c r="E108" s="10" t="s">
        <v>2246</v>
      </c>
      <c r="F108" s="10" t="s">
        <v>1060</v>
      </c>
      <c r="G108" s="10"/>
      <c r="H108" s="10" t="s">
        <v>2824</v>
      </c>
      <c r="I108" s="10" t="s">
        <v>2171</v>
      </c>
      <c r="J108" s="10"/>
      <c r="K108" s="7" cm="1">
        <f t="array" ref="K108">IFERROR(LOOKUP(2,1/('Outreach Log'!$C$2:$C$9998=F108),'Outreach Log'!$B$2:$B$9998),"")</f>
        <v>46126</v>
      </c>
      <c r="L108" s="5" t="str">
        <f>IFERROR(INDEX('Outreach Log'!$F:$F,MATCH(TEXT(K108,"YYYY-MM-DD")&amp;F108,'Outreach Log'!$L:$L,0)),"")</f>
        <v>Email</v>
      </c>
      <c r="M108" s="6" t="str">
        <f>IFERROR(HYPERLINK("#'Outreach Log'!A"&amp;MATCH(TEXT(K108,"YYYY-MM-DD")&amp;F108,'Outreach Log'!$L:$L,0),"→ View"),"—")</f>
        <v>→ View</v>
      </c>
      <c r="N108" s="6" t="str">
        <f>IFERROR(HYPERLINK("#Companies!A"&amp;MATCH(E108,Companies!$B:$B,0),"→ View"),"—")</f>
        <v>→ View</v>
      </c>
    </row>
    <row r="109" spans="1:14">
      <c r="A109" s="9">
        <f>IF(tblContacts[[#This Row],[First Name]]&lt;&gt;0,ROW()-1,"")</f>
        <v>108</v>
      </c>
      <c r="B109" s="56" t="s">
        <v>1057</v>
      </c>
      <c r="C109" s="56" t="s">
        <v>3298</v>
      </c>
      <c r="D109" s="10" t="s">
        <v>3208</v>
      </c>
      <c r="E109" s="10" t="s">
        <v>3114</v>
      </c>
      <c r="F109" s="10" t="s">
        <v>3299</v>
      </c>
      <c r="G109" s="10"/>
      <c r="H109" s="10" t="s">
        <v>2824</v>
      </c>
      <c r="I109" s="44" t="s">
        <v>3363</v>
      </c>
      <c r="K109" s="7" t="str" cm="1">
        <f t="array" ref="K109">IFERROR(LOOKUP(2,1/('Outreach Log'!$C$2:$C$9998=F109),'Outreach Log'!$B$2:$B$9998),"")</f>
        <v/>
      </c>
      <c r="L109" s="5" t="str">
        <f>IFERROR(INDEX('Outreach Log'!$F:$F,MATCH(TEXT(K109,"YYYY-MM-DD")&amp;F109,'Outreach Log'!$L:$L,0)),"")</f>
        <v/>
      </c>
      <c r="M109" s="6" t="str">
        <f>IFERROR(HYPERLINK("#'Outreach Log'!A"&amp;MATCH(TEXT(K109,"YYYY-MM-DD")&amp;F109,'Outreach Log'!$L:$L,0),"→ View"),"—")</f>
        <v>—</v>
      </c>
      <c r="N109" s="6" t="str">
        <f>IFERROR(HYPERLINK("#Companies!A"&amp;MATCH(E109,Companies!$B:$B,0),"→ View"),"—")</f>
        <v>→ View</v>
      </c>
    </row>
    <row r="110" spans="1:14">
      <c r="A110" s="9">
        <f>IF(tblContacts[[#This Row],[First Name]]&lt;&gt;0,ROW()-1,"")</f>
        <v>109</v>
      </c>
      <c r="B110" s="50" t="s">
        <v>1054</v>
      </c>
      <c r="C110" s="50" t="s">
        <v>1061</v>
      </c>
      <c r="D110" s="10"/>
      <c r="E110" s="10" t="s">
        <v>2247</v>
      </c>
      <c r="F110" s="10" t="s">
        <v>1062</v>
      </c>
      <c r="G110" s="10"/>
      <c r="H110" s="10" t="s">
        <v>2824</v>
      </c>
      <c r="I110" s="10" t="s">
        <v>2171</v>
      </c>
      <c r="J110" s="10"/>
      <c r="K110" s="7" cm="1">
        <f t="array" ref="K110">IFERROR(LOOKUP(2,1/('Outreach Log'!$C$2:$C$9998=F110),'Outreach Log'!$B$2:$B$9998),"")</f>
        <v>46126</v>
      </c>
      <c r="L110" s="5" t="str">
        <f>IFERROR(INDEX('Outreach Log'!$F:$F,MATCH(TEXT(K110,"YYYY-MM-DD")&amp;F110,'Outreach Log'!$L:$L,0)),"")</f>
        <v>Email</v>
      </c>
      <c r="M110" s="6" t="str">
        <f>IFERROR(HYPERLINK("#'Outreach Log'!A"&amp;MATCH(TEXT(K110,"YYYY-MM-DD")&amp;F110,'Outreach Log'!$L:$L,0),"→ View"),"—")</f>
        <v>→ View</v>
      </c>
      <c r="N110" s="6" t="str">
        <f>IFERROR(HYPERLINK("#Companies!A"&amp;MATCH(E110,Companies!$B:$B,0),"→ View"),"—")</f>
        <v>→ View</v>
      </c>
    </row>
    <row r="111" spans="1:14">
      <c r="A111" s="9">
        <f>IF(tblContacts[[#This Row],[First Name]]&lt;&gt;0,ROW()-1,"")</f>
        <v>110</v>
      </c>
      <c r="B111" s="50" t="s">
        <v>1054</v>
      </c>
      <c r="C111" s="50" t="s">
        <v>1063</v>
      </c>
      <c r="D111" s="10" t="s">
        <v>768</v>
      </c>
      <c r="E111" s="10" t="s">
        <v>230</v>
      </c>
      <c r="F111" s="10" t="s">
        <v>1064</v>
      </c>
      <c r="G111" s="10"/>
      <c r="H111" s="10" t="s">
        <v>2824</v>
      </c>
      <c r="I111" s="10" t="s">
        <v>13</v>
      </c>
      <c r="J111" s="10"/>
      <c r="K111" s="7" cm="1">
        <f t="array" ref="K111">IFERROR(LOOKUP(2,1/('Outreach Log'!$C$2:$C$9998=F111),'Outreach Log'!$B$2:$B$9998),"")</f>
        <v>46126</v>
      </c>
      <c r="L111" s="5" t="str">
        <f>IFERROR(INDEX('Outreach Log'!$F:$F,MATCH(TEXT(K111,"YYYY-MM-DD")&amp;F111,'Outreach Log'!$L:$L,0)),"")</f>
        <v>Email</v>
      </c>
      <c r="M111" s="6" t="str">
        <f>IFERROR(HYPERLINK("#'Outreach Log'!A"&amp;MATCH(TEXT(K111,"YYYY-MM-DD")&amp;F111,'Outreach Log'!$L:$L,0),"→ View"),"—")</f>
        <v>→ View</v>
      </c>
      <c r="N111" s="6" t="str">
        <f>IFERROR(HYPERLINK("#Companies!A"&amp;MATCH(E111,Companies!$B:$B,0),"→ View"),"—")</f>
        <v>→ View</v>
      </c>
    </row>
    <row r="112" spans="1:14">
      <c r="A112" s="9">
        <f>IF(tblContacts[[#This Row],[First Name]]&lt;&gt;0,ROW()-1,"")</f>
        <v>111</v>
      </c>
      <c r="B112" s="50" t="s">
        <v>1065</v>
      </c>
      <c r="C112" s="50" t="s">
        <v>1066</v>
      </c>
      <c r="D112" s="10"/>
      <c r="E112" s="10" t="s">
        <v>2167</v>
      </c>
      <c r="F112" s="10" t="s">
        <v>1067</v>
      </c>
      <c r="G112" s="10"/>
      <c r="H112" s="10" t="s">
        <v>2824</v>
      </c>
      <c r="I112" s="10" t="s">
        <v>2171</v>
      </c>
      <c r="J112" s="10"/>
      <c r="K112" s="7" t="str" cm="1">
        <f t="array" ref="K112">IFERROR(LOOKUP(2,1/('Outreach Log'!$C$2:$C$9998=F112),'Outreach Log'!$B$2:$B$9998),"")</f>
        <v/>
      </c>
      <c r="L112" s="5" t="str">
        <f>IFERROR(INDEX('Outreach Log'!$F:$F,MATCH(TEXT(K112,"YYYY-MM-DD")&amp;F112,'Outreach Log'!$L:$L,0)),"")</f>
        <v/>
      </c>
      <c r="M112" s="6" t="str">
        <f>IFERROR(HYPERLINK("#'Outreach Log'!A"&amp;MATCH(TEXT(K112,"YYYY-MM-DD")&amp;F112,'Outreach Log'!$L:$L,0),"→ View"),"—")</f>
        <v>—</v>
      </c>
      <c r="N112" s="6" t="str">
        <f>IFERROR(HYPERLINK("#Companies!A"&amp;MATCH(E112,Companies!$B:$B,0),"→ View"),"—")</f>
        <v>→ View</v>
      </c>
    </row>
    <row r="113" spans="1:14">
      <c r="A113" s="9">
        <f>IF(tblContacts[[#This Row],[First Name]]&lt;&gt;0,ROW()-1,"")</f>
        <v>112</v>
      </c>
      <c r="B113" s="50" t="s">
        <v>1008</v>
      </c>
      <c r="C113" s="50" t="s">
        <v>234</v>
      </c>
      <c r="D113" s="10" t="s">
        <v>1068</v>
      </c>
      <c r="E113" s="10" t="s">
        <v>234</v>
      </c>
      <c r="F113" s="10" t="s">
        <v>1069</v>
      </c>
      <c r="G113" s="10"/>
      <c r="H113" s="10" t="s">
        <v>2824</v>
      </c>
      <c r="I113" s="10" t="s">
        <v>13</v>
      </c>
      <c r="J113" s="10"/>
      <c r="K113" s="7" t="str" cm="1">
        <f t="array" ref="K113">IFERROR(LOOKUP(2,1/('Outreach Log'!$C$2:$C$9998=F113),'Outreach Log'!$B$2:$B$9998),"")</f>
        <v/>
      </c>
      <c r="L113" s="5" t="str">
        <f>IFERROR(INDEX('Outreach Log'!$F:$F,MATCH(TEXT(K113,"YYYY-MM-DD")&amp;F113,'Outreach Log'!$L:$L,0)),"")</f>
        <v/>
      </c>
      <c r="M113" s="6" t="str">
        <f>IFERROR(HYPERLINK("#'Outreach Log'!A"&amp;MATCH(TEXT(K113,"YYYY-MM-DD")&amp;F113,'Outreach Log'!$L:$L,0),"→ View"),"—")</f>
        <v>—</v>
      </c>
      <c r="N113" s="6" t="str">
        <f>IFERROR(HYPERLINK("#Companies!A"&amp;MATCH(E113,Companies!$B:$B,0),"→ View"),"—")</f>
        <v>→ View</v>
      </c>
    </row>
    <row r="114" spans="1:14">
      <c r="A114" s="9">
        <f>IF(tblContacts[[#This Row],[First Name]]&lt;&gt;0,ROW()-1,"")</f>
        <v>113</v>
      </c>
      <c r="B114" s="50" t="s">
        <v>1070</v>
      </c>
      <c r="C114" s="50" t="s">
        <v>1071</v>
      </c>
      <c r="D114" s="10"/>
      <c r="E114" s="10" t="s">
        <v>2248</v>
      </c>
      <c r="F114" s="10" t="s">
        <v>1072</v>
      </c>
      <c r="G114" s="10"/>
      <c r="H114" s="10" t="s">
        <v>2824</v>
      </c>
      <c r="I114" s="10" t="s">
        <v>2171</v>
      </c>
      <c r="J114" s="10"/>
      <c r="K114" s="7" t="str" cm="1">
        <f t="array" ref="K114">IFERROR(LOOKUP(2,1/('Outreach Log'!$C$2:$C$9998=F114),'Outreach Log'!$B$2:$B$9998),"")</f>
        <v/>
      </c>
      <c r="L114" s="5" t="str">
        <f>IFERROR(INDEX('Outreach Log'!$F:$F,MATCH(TEXT(K114,"YYYY-MM-DD")&amp;F114,'Outreach Log'!$L:$L,0)),"")</f>
        <v/>
      </c>
      <c r="M114" s="6" t="str">
        <f>IFERROR(HYPERLINK("#'Outreach Log'!A"&amp;MATCH(TEXT(K114,"YYYY-MM-DD")&amp;F114,'Outreach Log'!$L:$L,0),"→ View"),"—")</f>
        <v>—</v>
      </c>
      <c r="N114" s="6" t="str">
        <f>IFERROR(HYPERLINK("#Companies!A"&amp;MATCH(E114,Companies!$B:$B,0),"→ View"),"—")</f>
        <v>→ View</v>
      </c>
    </row>
    <row r="115" spans="1:14">
      <c r="A115" s="9">
        <f>IF(tblContacts[[#This Row],[First Name]]&lt;&gt;0,ROW()-1,"")</f>
        <v>114</v>
      </c>
      <c r="B115" s="50" t="s">
        <v>1073</v>
      </c>
      <c r="C115" s="50" t="s">
        <v>1074</v>
      </c>
      <c r="D115" s="10"/>
      <c r="E115" s="10" t="s">
        <v>2249</v>
      </c>
      <c r="F115" s="10" t="s">
        <v>1075</v>
      </c>
      <c r="G115" s="10"/>
      <c r="H115" s="10" t="s">
        <v>2824</v>
      </c>
      <c r="I115" s="10" t="s">
        <v>2171</v>
      </c>
      <c r="J115" s="10"/>
      <c r="K115" s="7" cm="1">
        <f t="array" ref="K115">IFERROR(LOOKUP(2,1/('Outreach Log'!$C$2:$C$9998=F115),'Outreach Log'!$B$2:$B$9998),"")</f>
        <v>46126</v>
      </c>
      <c r="L115" s="5" t="str">
        <f>IFERROR(INDEX('Outreach Log'!$F:$F,MATCH(TEXT(K115,"YYYY-MM-DD")&amp;F115,'Outreach Log'!$L:$L,0)),"")</f>
        <v>Email</v>
      </c>
      <c r="M115" s="6" t="str">
        <f>IFERROR(HYPERLINK("#'Outreach Log'!A"&amp;MATCH(TEXT(K115,"YYYY-MM-DD")&amp;F115,'Outreach Log'!$L:$L,0),"→ View"),"—")</f>
        <v>→ View</v>
      </c>
      <c r="N115" s="6" t="str">
        <f>IFERROR(HYPERLINK("#Companies!A"&amp;MATCH(E115,Companies!$B:$B,0),"→ View"),"—")</f>
        <v>→ View</v>
      </c>
    </row>
    <row r="116" spans="1:14">
      <c r="A116" s="9">
        <f>IF(tblContacts[[#This Row],[First Name]]&lt;&gt;0,ROW()-1,"")</f>
        <v>115</v>
      </c>
      <c r="B116" s="50" t="s">
        <v>1079</v>
      </c>
      <c r="C116" s="50" t="s">
        <v>1080</v>
      </c>
      <c r="D116" s="10"/>
      <c r="E116" s="10" t="s">
        <v>238</v>
      </c>
      <c r="F116" s="10" t="s">
        <v>1081</v>
      </c>
      <c r="G116" s="10"/>
      <c r="H116" s="10" t="s">
        <v>2824</v>
      </c>
      <c r="I116" s="10" t="s">
        <v>2171</v>
      </c>
      <c r="J116" s="10"/>
      <c r="K116" s="7" cm="1">
        <f t="array" ref="K116">IFERROR(LOOKUP(2,1/('Outreach Log'!$C$2:$C$9998=F116),'Outreach Log'!$B$2:$B$9998),"")</f>
        <v>46126</v>
      </c>
      <c r="L116" s="5" t="str">
        <f>IFERROR(INDEX('Outreach Log'!$F:$F,MATCH(TEXT(K116,"YYYY-MM-DD")&amp;F116,'Outreach Log'!$L:$L,0)),"")</f>
        <v>Email</v>
      </c>
      <c r="M116" s="6" t="str">
        <f>IFERROR(HYPERLINK("#'Outreach Log'!A"&amp;MATCH(TEXT(K116,"YYYY-MM-DD")&amp;F116,'Outreach Log'!$L:$L,0),"→ View"),"—")</f>
        <v>→ View</v>
      </c>
      <c r="N116" s="6" t="str">
        <f>IFERROR(HYPERLINK("#Companies!A"&amp;MATCH(E116,Companies!$B:$B,0),"→ View"),"—")</f>
        <v>→ View</v>
      </c>
    </row>
    <row r="117" spans="1:14">
      <c r="A117" s="9">
        <f>IF(tblContacts[[#This Row],[First Name]]&lt;&gt;0,ROW()-1,"")</f>
        <v>116</v>
      </c>
      <c r="B117" s="50" t="s">
        <v>1082</v>
      </c>
      <c r="C117" s="50" t="s">
        <v>1083</v>
      </c>
      <c r="D117" s="10"/>
      <c r="E117" s="10" t="s">
        <v>2250</v>
      </c>
      <c r="F117" s="10" t="s">
        <v>1084</v>
      </c>
      <c r="G117" s="10"/>
      <c r="H117" s="10" t="s">
        <v>2824</v>
      </c>
      <c r="I117" s="10" t="s">
        <v>2171</v>
      </c>
      <c r="J117" s="10"/>
      <c r="K117" s="7" t="str" cm="1">
        <f t="array" ref="K117">IFERROR(LOOKUP(2,1/('Outreach Log'!$C$2:$C$9998=F117),'Outreach Log'!$B$2:$B$9998),"")</f>
        <v/>
      </c>
      <c r="L117" s="5" t="str">
        <f>IFERROR(INDEX('Outreach Log'!$F:$F,MATCH(TEXT(K117,"YYYY-MM-DD")&amp;F117,'Outreach Log'!$L:$L,0)),"")</f>
        <v/>
      </c>
      <c r="M117" s="6" t="str">
        <f>IFERROR(HYPERLINK("#'Outreach Log'!A"&amp;MATCH(TEXT(K117,"YYYY-MM-DD")&amp;F117,'Outreach Log'!$L:$L,0),"→ View"),"—")</f>
        <v>—</v>
      </c>
      <c r="N117" s="6" t="str">
        <f>IFERROR(HYPERLINK("#Companies!A"&amp;MATCH(E117,Companies!$B:$B,0),"→ View"),"—")</f>
        <v>→ View</v>
      </c>
    </row>
    <row r="118" spans="1:14">
      <c r="A118" s="9">
        <f>IF(tblContacts[[#This Row],[First Name]]&lt;&gt;0,ROW()-1,"")</f>
        <v>117</v>
      </c>
      <c r="B118" s="50" t="s">
        <v>1079</v>
      </c>
      <c r="C118" s="50" t="s">
        <v>1085</v>
      </c>
      <c r="D118" s="10"/>
      <c r="E118" s="10" t="s">
        <v>2251</v>
      </c>
      <c r="F118" s="10" t="s">
        <v>1086</v>
      </c>
      <c r="G118" s="10"/>
      <c r="H118" s="10" t="s">
        <v>2824</v>
      </c>
      <c r="I118" s="10" t="s">
        <v>2171</v>
      </c>
      <c r="J118" s="10"/>
      <c r="K118" s="7" t="str" cm="1">
        <f t="array" ref="K118">IFERROR(LOOKUP(2,1/('Outreach Log'!$C$2:$C$9998=F118),'Outreach Log'!$B$2:$B$9998),"")</f>
        <v/>
      </c>
      <c r="L118" s="5" t="str">
        <f>IFERROR(INDEX('Outreach Log'!$F:$F,MATCH(TEXT(K118,"YYYY-MM-DD")&amp;F118,'Outreach Log'!$L:$L,0)),"")</f>
        <v/>
      </c>
      <c r="M118" s="6" t="str">
        <f>IFERROR(HYPERLINK("#'Outreach Log'!A"&amp;MATCH(TEXT(K118,"YYYY-MM-DD")&amp;F118,'Outreach Log'!$L:$L,0),"→ View"),"—")</f>
        <v>—</v>
      </c>
      <c r="N118" s="6" t="str">
        <f>IFERROR(HYPERLINK("#Companies!A"&amp;MATCH(E118,Companies!$B:$B,0),"→ View"),"—")</f>
        <v>→ View</v>
      </c>
    </row>
    <row r="119" spans="1:14">
      <c r="A119" s="9">
        <f>IF(tblContacts[[#This Row],[First Name]]&lt;&gt;0,ROW()-1,"")</f>
        <v>118</v>
      </c>
      <c r="B119" s="50" t="s">
        <v>1087</v>
      </c>
      <c r="C119" s="50" t="s">
        <v>1088</v>
      </c>
      <c r="D119" s="10"/>
      <c r="E119" s="10" t="s">
        <v>242</v>
      </c>
      <c r="F119" s="10" t="s">
        <v>1089</v>
      </c>
      <c r="G119" s="10"/>
      <c r="H119" s="10" t="s">
        <v>2824</v>
      </c>
      <c r="I119" s="10" t="s">
        <v>2171</v>
      </c>
      <c r="J119" s="10"/>
      <c r="K119" s="7" cm="1">
        <f t="array" ref="K119">IFERROR(LOOKUP(2,1/('Outreach Log'!$C$2:$C$9998=F119),'Outreach Log'!$B$2:$B$9998),"")</f>
        <v>46126</v>
      </c>
      <c r="L119" s="5" t="str">
        <f>IFERROR(INDEX('Outreach Log'!$F:$F,MATCH(TEXT(K119,"YYYY-MM-DD")&amp;F119,'Outreach Log'!$L:$L,0)),"")</f>
        <v>Email</v>
      </c>
      <c r="M119" s="6" t="str">
        <f>IFERROR(HYPERLINK("#'Outreach Log'!A"&amp;MATCH(TEXT(K119,"YYYY-MM-DD")&amp;F119,'Outreach Log'!$L:$L,0),"→ View"),"—")</f>
        <v>→ View</v>
      </c>
      <c r="N119" s="6" t="str">
        <f>IFERROR(HYPERLINK("#Companies!A"&amp;MATCH(E119,Companies!$B:$B,0),"→ View"),"—")</f>
        <v>→ View</v>
      </c>
    </row>
    <row r="120" spans="1:14">
      <c r="A120" s="9">
        <f>IF(tblContacts[[#This Row],[First Name]]&lt;&gt;0,ROW()-1,"")</f>
        <v>119</v>
      </c>
      <c r="B120" s="50" t="s">
        <v>1087</v>
      </c>
      <c r="C120" s="50" t="s">
        <v>1093</v>
      </c>
      <c r="D120" s="10"/>
      <c r="E120" s="10" t="s">
        <v>246</v>
      </c>
      <c r="F120" s="10" t="s">
        <v>1094</v>
      </c>
      <c r="G120" s="10"/>
      <c r="H120" s="10" t="s">
        <v>2824</v>
      </c>
      <c r="I120" s="10" t="s">
        <v>2171</v>
      </c>
      <c r="J120" s="10"/>
      <c r="K120" s="7" cm="1">
        <f t="array" ref="K120">IFERROR(LOOKUP(2,1/('Outreach Log'!$C$2:$C$9998=F120),'Outreach Log'!$B$2:$B$9998),"")</f>
        <v>46126</v>
      </c>
      <c r="L120" s="5" t="str">
        <f>IFERROR(INDEX('Outreach Log'!$F:$F,MATCH(TEXT(K120,"YYYY-MM-DD")&amp;F120,'Outreach Log'!$L:$L,0)),"")</f>
        <v>Email</v>
      </c>
      <c r="M120" s="6" t="str">
        <f>IFERROR(HYPERLINK("#'Outreach Log'!A"&amp;MATCH(TEXT(K120,"YYYY-MM-DD")&amp;F120,'Outreach Log'!$L:$L,0),"→ View"),"—")</f>
        <v>→ View</v>
      </c>
      <c r="N120" s="6" t="str">
        <f>IFERROR(HYPERLINK("#Companies!A"&amp;MATCH(E120,Companies!$B:$B,0),"→ View"),"—")</f>
        <v>→ View</v>
      </c>
    </row>
    <row r="121" spans="1:14">
      <c r="A121" s="9">
        <f>IF(tblContacts[[#This Row],[First Name]]&lt;&gt;0,ROW()-1,"")</f>
        <v>120</v>
      </c>
      <c r="B121" s="50" t="s">
        <v>1087</v>
      </c>
      <c r="C121" s="50" t="s">
        <v>1095</v>
      </c>
      <c r="D121" s="10" t="s">
        <v>1096</v>
      </c>
      <c r="E121" s="10" t="s">
        <v>249</v>
      </c>
      <c r="F121" s="10" t="s">
        <v>1097</v>
      </c>
      <c r="G121" s="10"/>
      <c r="H121" s="10" t="s">
        <v>2824</v>
      </c>
      <c r="I121" s="10" t="s">
        <v>13</v>
      </c>
      <c r="J121" s="10"/>
      <c r="K121" s="7" cm="1">
        <f t="array" ref="K121">IFERROR(LOOKUP(2,1/('Outreach Log'!$C$2:$C$9998=F121),'Outreach Log'!$B$2:$B$9998),"")</f>
        <v>46126</v>
      </c>
      <c r="L121" s="5" t="str">
        <f>IFERROR(INDEX('Outreach Log'!$F:$F,MATCH(TEXT(K121,"YYYY-MM-DD")&amp;F121,'Outreach Log'!$L:$L,0)),"")</f>
        <v>Email</v>
      </c>
      <c r="M121" s="6" t="str">
        <f>IFERROR(HYPERLINK("#'Outreach Log'!A"&amp;MATCH(TEXT(K121,"YYYY-MM-DD")&amp;F121,'Outreach Log'!$L:$L,0),"→ View"),"—")</f>
        <v>→ View</v>
      </c>
      <c r="N121" s="6" t="str">
        <f>IFERROR(HYPERLINK("#Companies!A"&amp;MATCH(E121,Companies!$B:$B,0),"→ View"),"—")</f>
        <v>→ View</v>
      </c>
    </row>
    <row r="122" spans="1:14">
      <c r="A122" s="9">
        <f>IF(tblContacts[[#This Row],[First Name]]&lt;&gt;0,ROW()-1,"")</f>
        <v>121</v>
      </c>
      <c r="B122" s="50" t="s">
        <v>1098</v>
      </c>
      <c r="C122" s="50" t="s">
        <v>1099</v>
      </c>
      <c r="D122" s="10"/>
      <c r="E122" s="10" t="s">
        <v>2252</v>
      </c>
      <c r="F122" s="10" t="s">
        <v>1100</v>
      </c>
      <c r="G122" s="10"/>
      <c r="H122" s="10" t="s">
        <v>2824</v>
      </c>
      <c r="I122" s="10" t="s">
        <v>2171</v>
      </c>
      <c r="J122" s="10"/>
      <c r="K122" s="7" t="str" cm="1">
        <f t="array" ref="K122">IFERROR(LOOKUP(2,1/('Outreach Log'!$C$2:$C$9998=F122),'Outreach Log'!$B$2:$B$9998),"")</f>
        <v/>
      </c>
      <c r="L122" s="5" t="str">
        <f>IFERROR(INDEX('Outreach Log'!$F:$F,MATCH(TEXT(K122,"YYYY-MM-DD")&amp;F122,'Outreach Log'!$L:$L,0)),"")</f>
        <v/>
      </c>
      <c r="M122" s="6" t="str">
        <f>IFERROR(HYPERLINK("#'Outreach Log'!A"&amp;MATCH(TEXT(K122,"YYYY-MM-DD")&amp;F122,'Outreach Log'!$L:$L,0),"→ View"),"—")</f>
        <v>—</v>
      </c>
      <c r="N122" s="6" t="str">
        <f>IFERROR(HYPERLINK("#Companies!A"&amp;MATCH(E122,Companies!$B:$B,0),"→ View"),"—")</f>
        <v>→ View</v>
      </c>
    </row>
    <row r="123" spans="1:14">
      <c r="A123" s="9">
        <f>IF(tblContacts[[#This Row],[First Name]]&lt;&gt;0,ROW()-1,"")</f>
        <v>122</v>
      </c>
      <c r="B123" s="50" t="s">
        <v>1101</v>
      </c>
      <c r="C123" s="50" t="s">
        <v>1102</v>
      </c>
      <c r="D123" s="10"/>
      <c r="E123" s="10" t="s">
        <v>2253</v>
      </c>
      <c r="F123" s="10" t="s">
        <v>1103</v>
      </c>
      <c r="G123" s="10"/>
      <c r="H123" s="10" t="s">
        <v>2824</v>
      </c>
      <c r="I123" s="10" t="s">
        <v>2171</v>
      </c>
      <c r="J123" s="10"/>
      <c r="K123" s="7" cm="1">
        <f t="array" ref="K123">IFERROR(LOOKUP(2,1/('Outreach Log'!$C$2:$C$9998=F123),'Outreach Log'!$B$2:$B$9998),"")</f>
        <v>46126</v>
      </c>
      <c r="L123" s="5" t="str">
        <f>IFERROR(INDEX('Outreach Log'!$F:$F,MATCH(TEXT(K123,"YYYY-MM-DD")&amp;F123,'Outreach Log'!$L:$L,0)),"")</f>
        <v>Email</v>
      </c>
      <c r="M123" s="6" t="str">
        <f>IFERROR(HYPERLINK("#'Outreach Log'!A"&amp;MATCH(TEXT(K123,"YYYY-MM-DD")&amp;F123,'Outreach Log'!$L:$L,0),"→ View"),"—")</f>
        <v>→ View</v>
      </c>
      <c r="N123" s="6" t="str">
        <f>IFERROR(HYPERLINK("#Companies!A"&amp;MATCH(E123,Companies!$B:$B,0),"→ View"),"—")</f>
        <v>→ View</v>
      </c>
    </row>
    <row r="124" spans="1:14">
      <c r="A124" s="9">
        <f>IF(tblContacts[[#This Row],[First Name]]&lt;&gt;0,ROW()-1,"")</f>
        <v>123</v>
      </c>
      <c r="B124" s="50" t="s">
        <v>1104</v>
      </c>
      <c r="C124" s="50" t="s">
        <v>1105</v>
      </c>
      <c r="D124" s="10"/>
      <c r="E124" s="10" t="s">
        <v>254</v>
      </c>
      <c r="F124" s="10" t="s">
        <v>1106</v>
      </c>
      <c r="G124" s="10"/>
      <c r="H124" s="10" t="s">
        <v>2824</v>
      </c>
      <c r="I124" s="10" t="s">
        <v>2171</v>
      </c>
      <c r="J124" s="10"/>
      <c r="K124" s="7" t="str" cm="1">
        <f t="array" ref="K124">IFERROR(LOOKUP(2,1/('Outreach Log'!$C$2:$C$9998=F124),'Outreach Log'!$B$2:$B$9998),"")</f>
        <v/>
      </c>
      <c r="L124" s="5" t="str">
        <f>IFERROR(INDEX('Outreach Log'!$F:$F,MATCH(TEXT(K124,"YYYY-MM-DD")&amp;F124,'Outreach Log'!$L:$L,0)),"")</f>
        <v/>
      </c>
      <c r="M124" s="6" t="str">
        <f>IFERROR(HYPERLINK("#'Outreach Log'!A"&amp;MATCH(TEXT(K124,"YYYY-MM-DD")&amp;F124,'Outreach Log'!$L:$L,0),"→ View"),"—")</f>
        <v>—</v>
      </c>
      <c r="N124" s="6" t="str">
        <f>IFERROR(HYPERLINK("#Companies!A"&amp;MATCH(E124,Companies!$B:$B,0),"→ View"),"—")</f>
        <v>→ View</v>
      </c>
    </row>
    <row r="125" spans="1:14">
      <c r="A125" s="9">
        <f>IF(tblContacts[[#This Row],[First Name]]&lt;&gt;0,ROW()-1,"")</f>
        <v>124</v>
      </c>
      <c r="B125" s="50" t="s">
        <v>1104</v>
      </c>
      <c r="C125" s="50" t="s">
        <v>1107</v>
      </c>
      <c r="D125" s="10"/>
      <c r="E125" s="10" t="s">
        <v>2254</v>
      </c>
      <c r="F125" s="10" t="s">
        <v>1108</v>
      </c>
      <c r="G125" s="10"/>
      <c r="H125" s="10" t="s">
        <v>2824</v>
      </c>
      <c r="I125" s="10" t="s">
        <v>2171</v>
      </c>
      <c r="J125" s="10"/>
      <c r="K125" s="7" t="str" cm="1">
        <f t="array" ref="K125">IFERROR(LOOKUP(2,1/('Outreach Log'!$C$2:$C$9998=F125),'Outreach Log'!$B$2:$B$9998),"")</f>
        <v/>
      </c>
      <c r="L125" s="5" t="str">
        <f>IFERROR(INDEX('Outreach Log'!$F:$F,MATCH(TEXT(K125,"YYYY-MM-DD")&amp;F125,'Outreach Log'!$L:$L,0)),"")</f>
        <v/>
      </c>
      <c r="M125" s="6" t="str">
        <f>IFERROR(HYPERLINK("#'Outreach Log'!A"&amp;MATCH(TEXT(K125,"YYYY-MM-DD")&amp;F125,'Outreach Log'!$L:$L,0),"→ View"),"—")</f>
        <v>—</v>
      </c>
      <c r="N125" s="6" t="str">
        <f>IFERROR(HYPERLINK("#Companies!A"&amp;MATCH(E125,Companies!$B:$B,0),"→ View"),"—")</f>
        <v>→ View</v>
      </c>
    </row>
    <row r="126" spans="1:14">
      <c r="A126" s="9">
        <f>IF(tblContacts[[#This Row],[First Name]]&lt;&gt;0,ROW()-1,"")</f>
        <v>125</v>
      </c>
      <c r="B126" s="50" t="s">
        <v>1104</v>
      </c>
      <c r="C126" s="50" t="s">
        <v>1110</v>
      </c>
      <c r="D126" s="10"/>
      <c r="E126" s="10" t="s">
        <v>2255</v>
      </c>
      <c r="F126" s="10" t="s">
        <v>1111</v>
      </c>
      <c r="G126" s="10"/>
      <c r="H126" s="10" t="s">
        <v>2824</v>
      </c>
      <c r="I126" s="10" t="s">
        <v>2171</v>
      </c>
      <c r="J126" s="10"/>
      <c r="K126" s="7" t="str" cm="1">
        <f t="array" ref="K126">IFERROR(LOOKUP(2,1/('Outreach Log'!$C$2:$C$9998=F126),'Outreach Log'!$B$2:$B$9998),"")</f>
        <v/>
      </c>
      <c r="L126" s="5" t="str">
        <f>IFERROR(INDEX('Outreach Log'!$F:$F,MATCH(TEXT(K126,"YYYY-MM-DD")&amp;F126,'Outreach Log'!$L:$L,0)),"")</f>
        <v/>
      </c>
      <c r="M126" s="6" t="str">
        <f>IFERROR(HYPERLINK("#'Outreach Log'!A"&amp;MATCH(TEXT(K126,"YYYY-MM-DD")&amp;F126,'Outreach Log'!$L:$L,0),"→ View"),"—")</f>
        <v>—</v>
      </c>
      <c r="N126" s="6" t="str">
        <f>IFERROR(HYPERLINK("#Companies!A"&amp;MATCH(E126,Companies!$B:$B,0),"→ View"),"—")</f>
        <v>→ View</v>
      </c>
    </row>
    <row r="127" spans="1:14">
      <c r="A127" s="9">
        <f>IF(tblContacts[[#This Row],[First Name]]&lt;&gt;0,ROW()-1,"")</f>
        <v>126</v>
      </c>
      <c r="B127" s="50" t="s">
        <v>1104</v>
      </c>
      <c r="C127" s="50" t="s">
        <v>1112</v>
      </c>
      <c r="D127" s="10"/>
      <c r="E127" s="10" t="s">
        <v>2256</v>
      </c>
      <c r="F127" s="10" t="s">
        <v>1113</v>
      </c>
      <c r="G127" s="10"/>
      <c r="H127" s="10" t="s">
        <v>2824</v>
      </c>
      <c r="I127" s="10" t="s">
        <v>2171</v>
      </c>
      <c r="J127" s="10"/>
      <c r="K127" s="7" cm="1">
        <f t="array" ref="K127">IFERROR(LOOKUP(2,1/('Outreach Log'!$C$2:$C$9998=F127),'Outreach Log'!$B$2:$B$9998),"")</f>
        <v>46126</v>
      </c>
      <c r="L127" s="5" t="str">
        <f>IFERROR(INDEX('Outreach Log'!$F:$F,MATCH(TEXT(K127,"YYYY-MM-DD")&amp;F127,'Outreach Log'!$L:$L,0)),"")</f>
        <v>Email</v>
      </c>
      <c r="M127" s="6" t="str">
        <f>IFERROR(HYPERLINK("#'Outreach Log'!A"&amp;MATCH(TEXT(K127,"YYYY-MM-DD")&amp;F127,'Outreach Log'!$L:$L,0),"→ View"),"—")</f>
        <v>→ View</v>
      </c>
      <c r="N127" s="6" t="str">
        <f>IFERROR(HYPERLINK("#Companies!A"&amp;MATCH(E127,Companies!$B:$B,0),"→ View"),"—")</f>
        <v>→ View</v>
      </c>
    </row>
    <row r="128" spans="1:14">
      <c r="A128" s="9">
        <f>IF(tblContacts[[#This Row],[First Name]]&lt;&gt;0,ROW()-1,"")</f>
        <v>127</v>
      </c>
      <c r="B128" s="50" t="s">
        <v>1114</v>
      </c>
      <c r="C128" s="50" t="s">
        <v>1115</v>
      </c>
      <c r="D128" s="10"/>
      <c r="E128" s="10" t="s">
        <v>2257</v>
      </c>
      <c r="F128" s="10" t="s">
        <v>1116</v>
      </c>
      <c r="G128" s="10"/>
      <c r="H128" s="10" t="s">
        <v>2824</v>
      </c>
      <c r="I128" s="10" t="s">
        <v>2171</v>
      </c>
      <c r="J128" s="10"/>
      <c r="K128" s="7" t="str" cm="1">
        <f t="array" ref="K128">IFERROR(LOOKUP(2,1/('Outreach Log'!$C$2:$C$9998=F128),'Outreach Log'!$B$2:$B$9998),"")</f>
        <v/>
      </c>
      <c r="L128" s="5" t="str">
        <f>IFERROR(INDEX('Outreach Log'!$F:$F,MATCH(TEXT(K128,"YYYY-MM-DD")&amp;F128,'Outreach Log'!$L:$L,0)),"")</f>
        <v/>
      </c>
      <c r="M128" s="6" t="str">
        <f>IFERROR(HYPERLINK("#'Outreach Log'!A"&amp;MATCH(TEXT(K128,"YYYY-MM-DD")&amp;F128,'Outreach Log'!$L:$L,0),"→ View"),"—")</f>
        <v>—</v>
      </c>
      <c r="N128" s="6" t="str">
        <f>IFERROR(HYPERLINK("#Companies!A"&amp;MATCH(E128,Companies!$B:$B,0),"→ View"),"—")</f>
        <v>→ View</v>
      </c>
    </row>
    <row r="129" spans="1:14">
      <c r="A129" s="9">
        <f>IF(tblContacts[[#This Row],[First Name]]&lt;&gt;0,ROW()-1,"")</f>
        <v>128</v>
      </c>
      <c r="B129" s="50" t="s">
        <v>1114</v>
      </c>
      <c r="C129" s="50" t="s">
        <v>1117</v>
      </c>
      <c r="D129" s="10" t="s">
        <v>862</v>
      </c>
      <c r="E129" s="10" t="s">
        <v>262</v>
      </c>
      <c r="F129" s="10" t="s">
        <v>1118</v>
      </c>
      <c r="G129" s="10"/>
      <c r="H129" s="10" t="s">
        <v>2824</v>
      </c>
      <c r="I129" s="10" t="s">
        <v>13</v>
      </c>
      <c r="J129" s="10"/>
      <c r="K129" s="7" t="str" cm="1">
        <f t="array" ref="K129">IFERROR(LOOKUP(2,1/('Outreach Log'!$C$2:$C$9998=F129),'Outreach Log'!$B$2:$B$9998),"")</f>
        <v/>
      </c>
      <c r="L129" s="5" t="str">
        <f>IFERROR(INDEX('Outreach Log'!$F:$F,MATCH(TEXT(K129,"YYYY-MM-DD")&amp;F129,'Outreach Log'!$L:$L,0)),"")</f>
        <v/>
      </c>
      <c r="M129" s="6" t="str">
        <f>IFERROR(HYPERLINK("#'Outreach Log'!A"&amp;MATCH(TEXT(K129,"YYYY-MM-DD")&amp;F129,'Outreach Log'!$L:$L,0),"→ View"),"—")</f>
        <v>—</v>
      </c>
      <c r="N129" s="6" t="str">
        <f>IFERROR(HYPERLINK("#Companies!A"&amp;MATCH(E129,Companies!$B:$B,0),"→ View"),"—")</f>
        <v>→ View</v>
      </c>
    </row>
    <row r="130" spans="1:14">
      <c r="A130" s="9">
        <f>IF(tblContacts[[#This Row],[First Name]]&lt;&gt;0,ROW()-1,"")</f>
        <v>129</v>
      </c>
      <c r="B130" s="50" t="s">
        <v>1104</v>
      </c>
      <c r="C130" s="50" t="s">
        <v>1119</v>
      </c>
      <c r="D130" s="10"/>
      <c r="E130" s="10" t="s">
        <v>2204</v>
      </c>
      <c r="F130" s="10" t="s">
        <v>1120</v>
      </c>
      <c r="G130" s="10"/>
      <c r="H130" s="10" t="s">
        <v>2824</v>
      </c>
      <c r="I130" s="10" t="s">
        <v>2171</v>
      </c>
      <c r="J130" s="10"/>
      <c r="K130" s="7" cm="1">
        <f t="array" ref="K130">IFERROR(LOOKUP(2,1/('Outreach Log'!$C$2:$C$9998=F130),'Outreach Log'!$B$2:$B$9998),"")</f>
        <v>46126</v>
      </c>
      <c r="L130" s="5" t="str">
        <f>IFERROR(INDEX('Outreach Log'!$F:$F,MATCH(TEXT(K130,"YYYY-MM-DD")&amp;F130,'Outreach Log'!$L:$L,0)),"")</f>
        <v>Email</v>
      </c>
      <c r="M130" s="6" t="str">
        <f>IFERROR(HYPERLINK("#'Outreach Log'!A"&amp;MATCH(TEXT(K130,"YYYY-MM-DD")&amp;F130,'Outreach Log'!$L:$L,0),"→ View"),"—")</f>
        <v>→ View</v>
      </c>
      <c r="N130" s="6" t="str">
        <f>IFERROR(HYPERLINK("#Companies!A"&amp;MATCH(E130,Companies!$B:$B,0),"→ View"),"—")</f>
        <v>→ View</v>
      </c>
    </row>
    <row r="131" spans="1:14">
      <c r="A131" s="9">
        <f>IF(tblContacts[[#This Row],[First Name]]&lt;&gt;0,ROW()-1,"")</f>
        <v>130</v>
      </c>
      <c r="B131" s="50" t="s">
        <v>1121</v>
      </c>
      <c r="C131" s="50" t="s">
        <v>1122</v>
      </c>
      <c r="D131" s="10"/>
      <c r="E131" s="10" t="s">
        <v>2258</v>
      </c>
      <c r="F131" s="10" t="s">
        <v>1123</v>
      </c>
      <c r="G131" s="10"/>
      <c r="H131" s="10" t="s">
        <v>2824</v>
      </c>
      <c r="I131" s="10" t="s">
        <v>2171</v>
      </c>
      <c r="J131" s="10"/>
      <c r="K131" s="7" t="str" cm="1">
        <f t="array" ref="K131">IFERROR(LOOKUP(2,1/('Outreach Log'!$C$2:$C$9998=F131),'Outreach Log'!$B$2:$B$9998),"")</f>
        <v/>
      </c>
      <c r="L131" s="5" t="str">
        <f>IFERROR(INDEX('Outreach Log'!$F:$F,MATCH(TEXT(K131,"YYYY-MM-DD")&amp;F131,'Outreach Log'!$L:$L,0)),"")</f>
        <v/>
      </c>
      <c r="M131" s="6" t="str">
        <f>IFERROR(HYPERLINK("#'Outreach Log'!A"&amp;MATCH(TEXT(K131,"YYYY-MM-DD")&amp;F131,'Outreach Log'!$L:$L,0),"→ View"),"—")</f>
        <v>—</v>
      </c>
      <c r="N131" s="6" t="str">
        <f>IFERROR(HYPERLINK("#Companies!A"&amp;MATCH(E131,Companies!$B:$B,0),"→ View"),"—")</f>
        <v>→ View</v>
      </c>
    </row>
    <row r="132" spans="1:14">
      <c r="A132" s="9">
        <f>IF(tblContacts[[#This Row],[First Name]]&lt;&gt;0,ROW()-1,"")</f>
        <v>131</v>
      </c>
      <c r="B132" s="50" t="s">
        <v>1124</v>
      </c>
      <c r="C132" s="50" t="s">
        <v>736</v>
      </c>
      <c r="D132" s="10"/>
      <c r="E132" s="10" t="s">
        <v>2259</v>
      </c>
      <c r="F132" s="10" t="s">
        <v>1125</v>
      </c>
      <c r="G132" s="10"/>
      <c r="H132" s="10" t="s">
        <v>2824</v>
      </c>
      <c r="I132" s="10" t="s">
        <v>2171</v>
      </c>
      <c r="J132" s="10"/>
      <c r="K132" s="7" cm="1">
        <f t="array" ref="K132">IFERROR(LOOKUP(2,1/('Outreach Log'!$C$2:$C$9998=F132),'Outreach Log'!$B$2:$B$9998),"")</f>
        <v>46126</v>
      </c>
      <c r="L132" s="5" t="str">
        <f>IFERROR(INDEX('Outreach Log'!$F:$F,MATCH(TEXT(K132,"YYYY-MM-DD")&amp;F132,'Outreach Log'!$L:$L,0)),"")</f>
        <v>Email</v>
      </c>
      <c r="M132" s="6" t="str">
        <f>IFERROR(HYPERLINK("#'Outreach Log'!A"&amp;MATCH(TEXT(K132,"YYYY-MM-DD")&amp;F132,'Outreach Log'!$L:$L,0),"→ View"),"—")</f>
        <v>→ View</v>
      </c>
      <c r="N132" s="6" t="str">
        <f>IFERROR(HYPERLINK("#Companies!A"&amp;MATCH(E132,Companies!$B:$B,0),"→ View"),"—")</f>
        <v>→ View</v>
      </c>
    </row>
    <row r="133" spans="1:14">
      <c r="A133" s="9">
        <f>IF(tblContacts[[#This Row],[First Name]]&lt;&gt;0,ROW()-1,"")</f>
        <v>132</v>
      </c>
      <c r="B133" s="50" t="s">
        <v>1128</v>
      </c>
      <c r="C133" s="50" t="s">
        <v>1129</v>
      </c>
      <c r="D133" s="10"/>
      <c r="E133" s="10" t="s">
        <v>2261</v>
      </c>
      <c r="F133" s="10" t="s">
        <v>1130</v>
      </c>
      <c r="G133" s="10"/>
      <c r="H133" s="10" t="s">
        <v>2824</v>
      </c>
      <c r="I133" s="10" t="s">
        <v>2171</v>
      </c>
      <c r="J133" s="10"/>
      <c r="K133" s="7" cm="1">
        <f t="array" ref="K133">IFERROR(LOOKUP(2,1/('Outreach Log'!$C$2:$C$9998=F133),'Outreach Log'!$B$2:$B$9998),"")</f>
        <v>46126</v>
      </c>
      <c r="L133" s="5" t="str">
        <f>IFERROR(INDEX('Outreach Log'!$F:$F,MATCH(TEXT(K133,"YYYY-MM-DD")&amp;F133,'Outreach Log'!$L:$L,0)),"")</f>
        <v>Email</v>
      </c>
      <c r="M133" s="6" t="str">
        <f>IFERROR(HYPERLINK("#'Outreach Log'!A"&amp;MATCH(TEXT(K133,"YYYY-MM-DD")&amp;F133,'Outreach Log'!$L:$L,0),"→ View"),"—")</f>
        <v>→ View</v>
      </c>
      <c r="N133" s="6" t="str">
        <f>IFERROR(HYPERLINK("#Companies!A"&amp;MATCH(E133,Companies!$B:$B,0),"→ View"),"—")</f>
        <v>→ View</v>
      </c>
    </row>
    <row r="134" spans="1:14">
      <c r="A134" s="9">
        <f>IF(tblContacts[[#This Row],[First Name]]&lt;&gt;0,ROW()-1,"")</f>
        <v>133</v>
      </c>
      <c r="B134" s="50" t="s">
        <v>1134</v>
      </c>
      <c r="C134" s="50" t="s">
        <v>1135</v>
      </c>
      <c r="D134" s="10"/>
      <c r="E134" s="10" t="s">
        <v>2262</v>
      </c>
      <c r="F134" s="10" t="s">
        <v>1136</v>
      </c>
      <c r="G134" s="10"/>
      <c r="H134" s="10" t="s">
        <v>2824</v>
      </c>
      <c r="I134" s="10" t="s">
        <v>2171</v>
      </c>
      <c r="J134" s="10"/>
      <c r="K134" s="7" t="str" cm="1">
        <f t="array" ref="K134">IFERROR(LOOKUP(2,1/('Outreach Log'!$C$2:$C$9998=F134),'Outreach Log'!$B$2:$B$9998),"")</f>
        <v/>
      </c>
      <c r="L134" s="5" t="str">
        <f>IFERROR(INDEX('Outreach Log'!$F:$F,MATCH(TEXT(K134,"YYYY-MM-DD")&amp;F134,'Outreach Log'!$L:$L,0)),"")</f>
        <v/>
      </c>
      <c r="M134" s="6" t="str">
        <f>IFERROR(HYPERLINK("#'Outreach Log'!A"&amp;MATCH(TEXT(K134,"YYYY-MM-DD")&amp;F134,'Outreach Log'!$L:$L,0),"→ View"),"—")</f>
        <v>—</v>
      </c>
      <c r="N134" s="6" t="str">
        <f>IFERROR(HYPERLINK("#Companies!A"&amp;MATCH(E134,Companies!$B:$B,0),"→ View"),"—")</f>
        <v>→ View</v>
      </c>
    </row>
    <row r="135" spans="1:14">
      <c r="A135" s="9">
        <f>IF(tblContacts[[#This Row],[First Name]]&lt;&gt;0,ROW()-1,"")</f>
        <v>134</v>
      </c>
      <c r="B135" s="50" t="s">
        <v>1134</v>
      </c>
      <c r="C135" s="50" t="s">
        <v>1137</v>
      </c>
      <c r="D135" s="10"/>
      <c r="E135" s="10" t="s">
        <v>270</v>
      </c>
      <c r="F135" s="10" t="s">
        <v>1138</v>
      </c>
      <c r="G135" s="10"/>
      <c r="H135" s="10" t="s">
        <v>2824</v>
      </c>
      <c r="I135" s="10" t="s">
        <v>2171</v>
      </c>
      <c r="J135" s="10"/>
      <c r="K135" s="7" t="str" cm="1">
        <f t="array" ref="K135">IFERROR(LOOKUP(2,1/('Outreach Log'!$C$2:$C$9998=F135),'Outreach Log'!$B$2:$B$9998),"")</f>
        <v/>
      </c>
      <c r="L135" s="5" t="str">
        <f>IFERROR(INDEX('Outreach Log'!$F:$F,MATCH(TEXT(K135,"YYYY-MM-DD")&amp;F135,'Outreach Log'!$L:$L,0)),"")</f>
        <v/>
      </c>
      <c r="M135" s="6" t="str">
        <f>IFERROR(HYPERLINK("#'Outreach Log'!A"&amp;MATCH(TEXT(K135,"YYYY-MM-DD")&amp;F135,'Outreach Log'!$L:$L,0),"→ View"),"—")</f>
        <v>—</v>
      </c>
      <c r="N135" s="6" t="str">
        <f>IFERROR(HYPERLINK("#Companies!A"&amp;MATCH(E135,Companies!$B:$B,0),"→ View"),"—")</f>
        <v>→ View</v>
      </c>
    </row>
    <row r="136" spans="1:14">
      <c r="A136" s="9">
        <f>IF(tblContacts[[#This Row],[First Name]]&lt;&gt;0,ROW()-1,"")</f>
        <v>135</v>
      </c>
      <c r="B136" s="50" t="s">
        <v>1134</v>
      </c>
      <c r="C136" s="50" t="s">
        <v>1139</v>
      </c>
      <c r="D136" s="10"/>
      <c r="E136" s="10" t="s">
        <v>2263</v>
      </c>
      <c r="F136" s="10" t="s">
        <v>1140</v>
      </c>
      <c r="G136" s="10"/>
      <c r="H136" s="10" t="s">
        <v>2824</v>
      </c>
      <c r="I136" s="10" t="s">
        <v>2171</v>
      </c>
      <c r="J136" s="10"/>
      <c r="K136" s="7" t="str" cm="1">
        <f t="array" ref="K136">IFERROR(LOOKUP(2,1/('Outreach Log'!$C$2:$C$9998=F136),'Outreach Log'!$B$2:$B$9998),"")</f>
        <v/>
      </c>
      <c r="L136" s="5" t="str">
        <f>IFERROR(INDEX('Outreach Log'!$F:$F,MATCH(TEXT(K136,"YYYY-MM-DD")&amp;F136,'Outreach Log'!$L:$L,0)),"")</f>
        <v/>
      </c>
      <c r="M136" s="6" t="str">
        <f>IFERROR(HYPERLINK("#'Outreach Log'!A"&amp;MATCH(TEXT(K136,"YYYY-MM-DD")&amp;F136,'Outreach Log'!$L:$L,0),"→ View"),"—")</f>
        <v>—</v>
      </c>
      <c r="N136" s="6" t="str">
        <f>IFERROR(HYPERLINK("#Companies!A"&amp;MATCH(E136,Companies!$B:$B,0),"→ View"),"—")</f>
        <v>→ View</v>
      </c>
    </row>
    <row r="137" spans="1:14">
      <c r="A137" s="9">
        <f>IF(tblContacts[[#This Row],[First Name]]&lt;&gt;0,ROW()-1,"")</f>
        <v>136</v>
      </c>
      <c r="B137" s="50" t="s">
        <v>1134</v>
      </c>
      <c r="C137" s="50" t="s">
        <v>1141</v>
      </c>
      <c r="D137" s="10"/>
      <c r="E137" s="10" t="s">
        <v>2264</v>
      </c>
      <c r="F137" s="10" t="s">
        <v>1142</v>
      </c>
      <c r="G137" s="10"/>
      <c r="H137" s="10" t="s">
        <v>2824</v>
      </c>
      <c r="I137" s="10" t="s">
        <v>2171</v>
      </c>
      <c r="J137" s="10"/>
      <c r="K137" s="7" cm="1">
        <f t="array" ref="K137">IFERROR(LOOKUP(2,1/('Outreach Log'!$C$2:$C$9998=F137),'Outreach Log'!$B$2:$B$9998),"")</f>
        <v>46126</v>
      </c>
      <c r="L137" s="5" t="str">
        <f>IFERROR(INDEX('Outreach Log'!$F:$F,MATCH(TEXT(K137,"YYYY-MM-DD")&amp;F137,'Outreach Log'!$L:$L,0)),"")</f>
        <v>Email</v>
      </c>
      <c r="M137" s="6" t="str">
        <f>IFERROR(HYPERLINK("#'Outreach Log'!A"&amp;MATCH(TEXT(K137,"YYYY-MM-DD")&amp;F137,'Outreach Log'!$L:$L,0),"→ View"),"—")</f>
        <v>→ View</v>
      </c>
      <c r="N137" s="6" t="str">
        <f>IFERROR(HYPERLINK("#Companies!A"&amp;MATCH(E137,Companies!$B:$B,0),"→ View"),"—")</f>
        <v>→ View</v>
      </c>
    </row>
    <row r="138" spans="1:14">
      <c r="A138" s="9">
        <f>IF(tblContacts[[#This Row],[First Name]]&lt;&gt;0,ROW()-1,"")</f>
        <v>137</v>
      </c>
      <c r="B138" s="50" t="s">
        <v>1134</v>
      </c>
      <c r="C138" s="50" t="s">
        <v>1146</v>
      </c>
      <c r="D138" s="10"/>
      <c r="E138" s="10" t="s">
        <v>2265</v>
      </c>
      <c r="F138" s="10" t="s">
        <v>1147</v>
      </c>
      <c r="G138" s="10"/>
      <c r="H138" s="10" t="s">
        <v>2824</v>
      </c>
      <c r="I138" s="10" t="s">
        <v>2171</v>
      </c>
      <c r="J138" s="10"/>
      <c r="K138" s="7" t="str" cm="1">
        <f t="array" ref="K138">IFERROR(LOOKUP(2,1/('Outreach Log'!$C$2:$C$9998=F138),'Outreach Log'!$B$2:$B$9998),"")</f>
        <v/>
      </c>
      <c r="L138" s="5" t="str">
        <f>IFERROR(INDEX('Outreach Log'!$F:$F,MATCH(TEXT(K138,"YYYY-MM-DD")&amp;F138,'Outreach Log'!$L:$L,0)),"")</f>
        <v/>
      </c>
      <c r="M138" s="6" t="str">
        <f>IFERROR(HYPERLINK("#'Outreach Log'!A"&amp;MATCH(TEXT(K138,"YYYY-MM-DD")&amp;F138,'Outreach Log'!$L:$L,0),"→ View"),"—")</f>
        <v>—</v>
      </c>
      <c r="N138" s="6" t="str">
        <f>IFERROR(HYPERLINK("#Companies!A"&amp;MATCH(E138,Companies!$B:$B,0),"→ View"),"—")</f>
        <v>→ View</v>
      </c>
    </row>
    <row r="139" spans="1:14">
      <c r="A139" s="9">
        <f>IF(tblContacts[[#This Row],[First Name]]&lt;&gt;0,ROW()-1,"")</f>
        <v>138</v>
      </c>
      <c r="B139" s="50" t="s">
        <v>1148</v>
      </c>
      <c r="C139" s="50" t="s">
        <v>1149</v>
      </c>
      <c r="D139" s="10"/>
      <c r="E139" s="10" t="s">
        <v>2266</v>
      </c>
      <c r="F139" s="10" t="s">
        <v>1150</v>
      </c>
      <c r="G139" s="10"/>
      <c r="H139" s="10" t="s">
        <v>2824</v>
      </c>
      <c r="I139" s="10" t="s">
        <v>2171</v>
      </c>
      <c r="J139" s="10"/>
      <c r="K139" s="7" cm="1">
        <f t="array" ref="K139">IFERROR(LOOKUP(2,1/('Outreach Log'!$C$2:$C$9998=F139),'Outreach Log'!$B$2:$B$9998),"")</f>
        <v>46126</v>
      </c>
      <c r="L139" s="5" t="str">
        <f>IFERROR(INDEX('Outreach Log'!$F:$F,MATCH(TEXT(K139,"YYYY-MM-DD")&amp;F139,'Outreach Log'!$L:$L,0)),"")</f>
        <v>Email</v>
      </c>
      <c r="M139" s="6" t="str">
        <f>IFERROR(HYPERLINK("#'Outreach Log'!A"&amp;MATCH(TEXT(K139,"YYYY-MM-DD")&amp;F139,'Outreach Log'!$L:$L,0),"→ View"),"—")</f>
        <v>→ View</v>
      </c>
      <c r="N139" s="6" t="str">
        <f>IFERROR(HYPERLINK("#Companies!A"&amp;MATCH(E139,Companies!$B:$B,0),"→ View"),"—")</f>
        <v>→ View</v>
      </c>
    </row>
    <row r="140" spans="1:14">
      <c r="A140" s="9">
        <f>IF(tblContacts[[#This Row],[First Name]]&lt;&gt;0,ROW()-1,"")</f>
        <v>139</v>
      </c>
      <c r="B140" s="50" t="s">
        <v>1151</v>
      </c>
      <c r="C140" s="50" t="s">
        <v>1152</v>
      </c>
      <c r="D140" s="10"/>
      <c r="E140" s="10" t="s">
        <v>2267</v>
      </c>
      <c r="F140" s="10" t="s">
        <v>1153</v>
      </c>
      <c r="G140" s="10"/>
      <c r="H140" s="10" t="s">
        <v>2824</v>
      </c>
      <c r="I140" s="10" t="s">
        <v>2171</v>
      </c>
      <c r="J140" s="10"/>
      <c r="K140" s="7" t="str" cm="1">
        <f t="array" ref="K140">IFERROR(LOOKUP(2,1/('Outreach Log'!$C$2:$C$9998=F140),'Outreach Log'!$B$2:$B$9998),"")</f>
        <v/>
      </c>
      <c r="L140" s="5" t="str">
        <f>IFERROR(INDEX('Outreach Log'!$F:$F,MATCH(TEXT(K140,"YYYY-MM-DD")&amp;F140,'Outreach Log'!$L:$L,0)),"")</f>
        <v/>
      </c>
      <c r="M140" s="6" t="str">
        <f>IFERROR(HYPERLINK("#'Outreach Log'!A"&amp;MATCH(TEXT(K140,"YYYY-MM-DD")&amp;F140,'Outreach Log'!$L:$L,0),"→ View"),"—")</f>
        <v>—</v>
      </c>
      <c r="N140" s="6" t="str">
        <f>IFERROR(HYPERLINK("#Companies!A"&amp;MATCH(E140,Companies!$B:$B,0),"→ View"),"—")</f>
        <v>→ View</v>
      </c>
    </row>
    <row r="141" spans="1:14">
      <c r="A141" s="9">
        <f>IF(tblContacts[[#This Row],[First Name]]&lt;&gt;0,ROW()-1,"")</f>
        <v>140</v>
      </c>
      <c r="B141" s="50" t="s">
        <v>1154</v>
      </c>
      <c r="C141" s="50" t="s">
        <v>1155</v>
      </c>
      <c r="D141" s="10" t="s">
        <v>1156</v>
      </c>
      <c r="E141" s="10" t="s">
        <v>279</v>
      </c>
      <c r="F141" s="10" t="s">
        <v>1157</v>
      </c>
      <c r="G141" s="10"/>
      <c r="H141" s="10" t="s">
        <v>2824</v>
      </c>
      <c r="I141" s="10" t="s">
        <v>13</v>
      </c>
      <c r="J141" s="10"/>
      <c r="K141" s="7" t="str" cm="1">
        <f t="array" ref="K141">IFERROR(LOOKUP(2,1/('Outreach Log'!$C$2:$C$9998=F141),'Outreach Log'!$B$2:$B$9998),"")</f>
        <v/>
      </c>
      <c r="L141" s="5" t="str">
        <f>IFERROR(INDEX('Outreach Log'!$F:$F,MATCH(TEXT(K141,"YYYY-MM-DD")&amp;F141,'Outreach Log'!$L:$L,0)),"")</f>
        <v/>
      </c>
      <c r="M141" s="6" t="str">
        <f>IFERROR(HYPERLINK("#'Outreach Log'!A"&amp;MATCH(TEXT(K141,"YYYY-MM-DD")&amp;F141,'Outreach Log'!$L:$L,0),"→ View"),"—")</f>
        <v>—</v>
      </c>
      <c r="N141" s="6" t="str">
        <f>IFERROR(HYPERLINK("#Companies!A"&amp;MATCH(E141,Companies!$B:$B,0),"→ View"),"—")</f>
        <v>→ View</v>
      </c>
    </row>
    <row r="142" spans="1:14">
      <c r="A142" s="9">
        <f>IF(tblContacts[[#This Row],[First Name]]&lt;&gt;0,ROW()-1,"")</f>
        <v>141</v>
      </c>
      <c r="B142" s="55" t="s">
        <v>2843</v>
      </c>
      <c r="C142" s="55" t="s">
        <v>2844</v>
      </c>
      <c r="E142" s="10" t="s">
        <v>2390</v>
      </c>
      <c r="F142" s="10" t="s">
        <v>2845</v>
      </c>
      <c r="H142" s="10" t="s">
        <v>2824</v>
      </c>
      <c r="I142" s="44" t="s">
        <v>2873</v>
      </c>
      <c r="K142" s="7" cm="1">
        <f t="array" ref="K142">IFERROR(LOOKUP(2,1/('Outreach Log'!$C$2:$C$9998=F142),'Outreach Log'!$B$2:$B$9998),"")</f>
        <v>46126</v>
      </c>
      <c r="L142" s="5" t="str">
        <f>IFERROR(INDEX('Outreach Log'!$F:$F,MATCH(TEXT(K142,"YYYY-MM-DD")&amp;F142,'Outreach Log'!$L:$L,0)),"")</f>
        <v>Email</v>
      </c>
      <c r="M142" s="6" t="str">
        <f>IFERROR(HYPERLINK("#'Outreach Log'!A"&amp;MATCH(TEXT(K142,"YYYY-MM-DD")&amp;F142,'Outreach Log'!$L:$L,0),"→ View"),"—")</f>
        <v>→ View</v>
      </c>
      <c r="N142" s="6" t="str">
        <f>IFERROR(HYPERLINK("#Companies!A"&amp;MATCH(E142,Companies!$B:$B,0),"→ View"),"—")</f>
        <v>→ View</v>
      </c>
    </row>
    <row r="143" spans="1:14">
      <c r="A143" s="9">
        <f>IF(tblContacts[[#This Row],[First Name]]&lt;&gt;0,ROW()-1,"")</f>
        <v>142</v>
      </c>
      <c r="B143" s="50" t="s">
        <v>1161</v>
      </c>
      <c r="C143" s="50" t="s">
        <v>1162</v>
      </c>
      <c r="D143" s="10"/>
      <c r="E143" s="10" t="s">
        <v>284</v>
      </c>
      <c r="F143" s="10" t="s">
        <v>1163</v>
      </c>
      <c r="G143" s="10"/>
      <c r="H143" s="10" t="s">
        <v>2824</v>
      </c>
      <c r="I143" s="10" t="s">
        <v>2171</v>
      </c>
      <c r="J143" s="10"/>
      <c r="K143" s="7" cm="1">
        <f t="array" ref="K143">IFERROR(LOOKUP(2,1/('Outreach Log'!$C$2:$C$9998=F143),'Outreach Log'!$B$2:$B$9998),"")</f>
        <v>46126</v>
      </c>
      <c r="L143" s="5" t="str">
        <f>IFERROR(INDEX('Outreach Log'!$F:$F,MATCH(TEXT(K143,"YYYY-MM-DD")&amp;F143,'Outreach Log'!$L:$L,0)),"")</f>
        <v>Email</v>
      </c>
      <c r="M143" s="6" t="str">
        <f>IFERROR(HYPERLINK("#'Outreach Log'!A"&amp;MATCH(TEXT(K143,"YYYY-MM-DD")&amp;F143,'Outreach Log'!$L:$L,0),"→ View"),"—")</f>
        <v>→ View</v>
      </c>
      <c r="N143" s="6" t="str">
        <f>IFERROR(HYPERLINK("#Companies!A"&amp;MATCH(E143,Companies!$B:$B,0),"→ View"),"—")</f>
        <v>→ View</v>
      </c>
    </row>
    <row r="144" spans="1:14">
      <c r="A144" s="9">
        <f>IF(tblContacts[[#This Row],[First Name]]&lt;&gt;0,ROW()-1,"")</f>
        <v>143</v>
      </c>
      <c r="B144" s="50" t="s">
        <v>1164</v>
      </c>
      <c r="C144" s="50" t="s">
        <v>1165</v>
      </c>
      <c r="D144" s="10"/>
      <c r="E144" s="10" t="s">
        <v>2268</v>
      </c>
      <c r="F144" s="10" t="s">
        <v>1166</v>
      </c>
      <c r="G144" s="10"/>
      <c r="H144" s="10" t="s">
        <v>2824</v>
      </c>
      <c r="I144" s="10" t="s">
        <v>2171</v>
      </c>
      <c r="J144" s="10"/>
      <c r="K144" s="7" cm="1">
        <f t="array" ref="K144">IFERROR(LOOKUP(2,1/('Outreach Log'!$C$2:$C$9998=F144),'Outreach Log'!$B$2:$B$9998),"")</f>
        <v>46126</v>
      </c>
      <c r="L144" s="5" t="str">
        <f>IFERROR(INDEX('Outreach Log'!$F:$F,MATCH(TEXT(K144,"YYYY-MM-DD")&amp;F144,'Outreach Log'!$L:$L,0)),"")</f>
        <v>Email</v>
      </c>
      <c r="M144" s="6" t="str">
        <f>IFERROR(HYPERLINK("#'Outreach Log'!A"&amp;MATCH(TEXT(K144,"YYYY-MM-DD")&amp;F144,'Outreach Log'!$L:$L,0),"→ View"),"—")</f>
        <v>→ View</v>
      </c>
      <c r="N144" s="6" t="str">
        <f>IFERROR(HYPERLINK("#Companies!A"&amp;MATCH(E144,Companies!$B:$B,0),"→ View"),"—")</f>
        <v>→ View</v>
      </c>
    </row>
    <row r="145" spans="1:14">
      <c r="A145" s="9">
        <f>IF(tblContacts[[#This Row],[First Name]]&lt;&gt;0,ROW()-1,"")</f>
        <v>144</v>
      </c>
      <c r="B145" s="50" t="s">
        <v>1168</v>
      </c>
      <c r="C145" s="50" t="s">
        <v>1169</v>
      </c>
      <c r="D145" s="10"/>
      <c r="E145" s="10" t="s">
        <v>288</v>
      </c>
      <c r="F145" s="10" t="s">
        <v>1170</v>
      </c>
      <c r="G145" s="10"/>
      <c r="H145" s="10" t="s">
        <v>2824</v>
      </c>
      <c r="I145" s="10" t="s">
        <v>2171</v>
      </c>
      <c r="J145" s="10"/>
      <c r="K145" s="7" t="str" cm="1">
        <f t="array" ref="K145">IFERROR(LOOKUP(2,1/('Outreach Log'!$C$2:$C$9998=F145),'Outreach Log'!$B$2:$B$9998),"")</f>
        <v/>
      </c>
      <c r="L145" s="5" t="str">
        <f>IFERROR(INDEX('Outreach Log'!$F:$F,MATCH(TEXT(K145,"YYYY-MM-DD")&amp;F145,'Outreach Log'!$L:$L,0)),"")</f>
        <v/>
      </c>
      <c r="M145" s="6" t="str">
        <f>IFERROR(HYPERLINK("#'Outreach Log'!A"&amp;MATCH(TEXT(K145,"YYYY-MM-DD")&amp;F145,'Outreach Log'!$L:$L,0),"→ View"),"—")</f>
        <v>—</v>
      </c>
      <c r="N145" s="6" t="str">
        <f>IFERROR(HYPERLINK("#Companies!A"&amp;MATCH(E145,Companies!$B:$B,0),"→ View"),"—")</f>
        <v>→ View</v>
      </c>
    </row>
    <row r="146" spans="1:14">
      <c r="A146" s="9">
        <f>IF(tblContacts[[#This Row],[First Name]]&lt;&gt;0,ROW()-1,"")</f>
        <v>145</v>
      </c>
      <c r="B146" s="50" t="s">
        <v>14</v>
      </c>
      <c r="C146" s="50" t="s">
        <v>1171</v>
      </c>
      <c r="D146" s="10"/>
      <c r="E146" s="10" t="s">
        <v>290</v>
      </c>
      <c r="F146" s="10" t="s">
        <v>1172</v>
      </c>
      <c r="G146" s="10"/>
      <c r="H146" s="10" t="s">
        <v>2824</v>
      </c>
      <c r="I146" s="10" t="s">
        <v>2171</v>
      </c>
      <c r="J146" s="10"/>
      <c r="K146" s="7" t="str" cm="1">
        <f t="array" ref="K146">IFERROR(LOOKUP(2,1/('Outreach Log'!$C$2:$C$9998=F146),'Outreach Log'!$B$2:$B$9998),"")</f>
        <v/>
      </c>
      <c r="L146" s="5" t="str">
        <f>IFERROR(INDEX('Outreach Log'!$F:$F,MATCH(TEXT(K146,"YYYY-MM-DD")&amp;F146,'Outreach Log'!$L:$L,0)),"")</f>
        <v/>
      </c>
      <c r="M146" s="6" t="str">
        <f>IFERROR(HYPERLINK("#'Outreach Log'!A"&amp;MATCH(TEXT(K146,"YYYY-MM-DD")&amp;F146,'Outreach Log'!$L:$L,0),"→ View"),"—")</f>
        <v>—</v>
      </c>
      <c r="N146" s="6" t="str">
        <f>IFERROR(HYPERLINK("#Companies!A"&amp;MATCH(E146,Companies!$B:$B,0),"→ View"),"—")</f>
        <v>→ View</v>
      </c>
    </row>
    <row r="147" spans="1:14">
      <c r="A147" s="9">
        <f>IF(tblContacts[[#This Row],[First Name]]&lt;&gt;0,ROW()-1,"")</f>
        <v>146</v>
      </c>
      <c r="B147" s="50" t="s">
        <v>1176</v>
      </c>
      <c r="C147" s="50" t="s">
        <v>1177</v>
      </c>
      <c r="D147" s="10"/>
      <c r="E147" s="10" t="s">
        <v>2114</v>
      </c>
      <c r="F147" s="10" t="s">
        <v>1178</v>
      </c>
      <c r="G147" s="10"/>
      <c r="H147" s="10" t="s">
        <v>2824</v>
      </c>
      <c r="I147" s="10" t="s">
        <v>2171</v>
      </c>
      <c r="J147" s="10"/>
      <c r="K147" s="7" cm="1">
        <f t="array" ref="K147">IFERROR(LOOKUP(2,1/('Outreach Log'!$C$2:$C$9998=F147),'Outreach Log'!$B$2:$B$9998),"")</f>
        <v>46126</v>
      </c>
      <c r="L147" s="5" t="str">
        <f>IFERROR(INDEX('Outreach Log'!$F:$F,MATCH(TEXT(K147,"YYYY-MM-DD")&amp;F147,'Outreach Log'!$L:$L,0)),"")</f>
        <v>Email</v>
      </c>
      <c r="M147" s="6" t="str">
        <f>IFERROR(HYPERLINK("#'Outreach Log'!A"&amp;MATCH(TEXT(K147,"YYYY-MM-DD")&amp;F147,'Outreach Log'!$L:$L,0),"→ View"),"—")</f>
        <v>→ View</v>
      </c>
      <c r="N147" s="6" t="str">
        <f>IFERROR(HYPERLINK("#Companies!A"&amp;MATCH(E147,Companies!$B:$B,0),"→ View"),"—")</f>
        <v>→ View</v>
      </c>
    </row>
    <row r="148" spans="1:14">
      <c r="A148" s="9">
        <f>IF(tblContacts[[#This Row],[First Name]]&lt;&gt;0,ROW()-1,"")</f>
        <v>147</v>
      </c>
      <c r="B148" s="50" t="s">
        <v>1179</v>
      </c>
      <c r="C148" s="50" t="s">
        <v>994</v>
      </c>
      <c r="D148" s="10"/>
      <c r="E148" s="10" t="s">
        <v>295</v>
      </c>
      <c r="F148" s="10" t="s">
        <v>1180</v>
      </c>
      <c r="G148" s="10"/>
      <c r="H148" s="10" t="s">
        <v>2824</v>
      </c>
      <c r="I148" s="10" t="s">
        <v>2171</v>
      </c>
      <c r="J148" s="10"/>
      <c r="K148" s="7" cm="1">
        <f t="array" ref="K148">IFERROR(LOOKUP(2,1/('Outreach Log'!$C$2:$C$9998=F148),'Outreach Log'!$B$2:$B$9998),"")</f>
        <v>46126</v>
      </c>
      <c r="L148" s="5" t="str">
        <f>IFERROR(INDEX('Outreach Log'!$F:$F,MATCH(TEXT(K148,"YYYY-MM-DD")&amp;F148,'Outreach Log'!$L:$L,0)),"")</f>
        <v>Email</v>
      </c>
      <c r="M148" s="6" t="str">
        <f>IFERROR(HYPERLINK("#'Outreach Log'!A"&amp;MATCH(TEXT(K148,"YYYY-MM-DD")&amp;F148,'Outreach Log'!$L:$L,0),"→ View"),"—")</f>
        <v>→ View</v>
      </c>
      <c r="N148" s="6" t="str">
        <f>IFERROR(HYPERLINK("#Companies!A"&amp;MATCH(E148,Companies!$B:$B,0),"→ View"),"—")</f>
        <v>→ View</v>
      </c>
    </row>
    <row r="149" spans="1:14">
      <c r="A149" s="9">
        <f>IF(tblContacts[[#This Row],[First Name]]&lt;&gt;0,ROW()-1,"")</f>
        <v>148</v>
      </c>
      <c r="B149" s="55" t="s">
        <v>14</v>
      </c>
      <c r="C149" s="55" t="s">
        <v>2855</v>
      </c>
      <c r="E149" s="10" t="s">
        <v>2871</v>
      </c>
      <c r="F149" s="10" t="s">
        <v>2856</v>
      </c>
      <c r="H149" s="10" t="s">
        <v>2824</v>
      </c>
      <c r="I149" s="44" t="s">
        <v>2873</v>
      </c>
      <c r="K149" s="7" t="str" cm="1">
        <f t="array" ref="K149">IFERROR(LOOKUP(2,1/('Outreach Log'!$C$2:$C$9998=F149),'Outreach Log'!$B$2:$B$9998),"")</f>
        <v/>
      </c>
      <c r="L149" s="5" t="str">
        <f>IFERROR(INDEX('Outreach Log'!$F:$F,MATCH(TEXT(K149,"YYYY-MM-DD")&amp;F149,'Outreach Log'!$L:$L,0)),"")</f>
        <v/>
      </c>
      <c r="M149" s="6" t="str">
        <f>IFERROR(HYPERLINK("#'Outreach Log'!A"&amp;MATCH(TEXT(K149,"YYYY-MM-DD")&amp;F149,'Outreach Log'!$L:$L,0),"→ View"),"—")</f>
        <v>—</v>
      </c>
      <c r="N149" s="6" t="str">
        <f>IFERROR(HYPERLINK("#Companies!A"&amp;MATCH(E149,Companies!$B:$B,0),"→ View"),"—")</f>
        <v>—</v>
      </c>
    </row>
    <row r="150" spans="1:14">
      <c r="A150" s="9">
        <f>IF(tblContacts[[#This Row],[First Name]]&lt;&gt;0,ROW()-1,"")</f>
        <v>149</v>
      </c>
      <c r="B150" s="50" t="s">
        <v>1185</v>
      </c>
      <c r="C150" s="50" t="s">
        <v>1186</v>
      </c>
      <c r="D150" s="10"/>
      <c r="E150" s="10" t="s">
        <v>300</v>
      </c>
      <c r="F150" s="10" t="s">
        <v>1187</v>
      </c>
      <c r="G150" s="10"/>
      <c r="H150" s="10" t="s">
        <v>2824</v>
      </c>
      <c r="I150" s="10" t="s">
        <v>2171</v>
      </c>
      <c r="J150" s="10"/>
      <c r="K150" s="7" cm="1">
        <f t="array" ref="K150">IFERROR(LOOKUP(2,1/('Outreach Log'!$C$2:$C$9998=F150),'Outreach Log'!$B$2:$B$9998),"")</f>
        <v>46126</v>
      </c>
      <c r="L150" s="5" t="str">
        <f>IFERROR(INDEX('Outreach Log'!$F:$F,MATCH(TEXT(K150,"YYYY-MM-DD")&amp;F150,'Outreach Log'!$L:$L,0)),"")</f>
        <v>Email</v>
      </c>
      <c r="M150" s="6" t="str">
        <f>IFERROR(HYPERLINK("#'Outreach Log'!A"&amp;MATCH(TEXT(K150,"YYYY-MM-DD")&amp;F150,'Outreach Log'!$L:$L,0),"→ View"),"—")</f>
        <v>→ View</v>
      </c>
      <c r="N150" s="6" t="str">
        <f>IFERROR(HYPERLINK("#Companies!A"&amp;MATCH(E150,Companies!$B:$B,0),"→ View"),"—")</f>
        <v>→ View</v>
      </c>
    </row>
    <row r="151" spans="1:14">
      <c r="A151" s="9">
        <f>IF(tblContacts[[#This Row],[First Name]]&lt;&gt;0,ROW()-1,"")</f>
        <v>150</v>
      </c>
      <c r="B151" s="50" t="s">
        <v>1188</v>
      </c>
      <c r="C151" s="50" t="s">
        <v>1189</v>
      </c>
      <c r="D151" s="10" t="s">
        <v>794</v>
      </c>
      <c r="E151" s="10" t="s">
        <v>303</v>
      </c>
      <c r="F151" s="10" t="s">
        <v>1190</v>
      </c>
      <c r="G151" s="10"/>
      <c r="H151" s="10" t="s">
        <v>2824</v>
      </c>
      <c r="I151" s="10" t="s">
        <v>2171</v>
      </c>
      <c r="J151" s="10"/>
      <c r="K151" s="7" cm="1">
        <f t="array" ref="K151">IFERROR(LOOKUP(2,1/('Outreach Log'!$C$2:$C$9998=F151),'Outreach Log'!$B$2:$B$9998),"")</f>
        <v>46126</v>
      </c>
      <c r="L151" s="5" t="str">
        <f>IFERROR(INDEX('Outreach Log'!$F:$F,MATCH(TEXT(K151,"YYYY-MM-DD")&amp;F151,'Outreach Log'!$L:$L,0)),"")</f>
        <v>Email</v>
      </c>
      <c r="M151" s="6" t="str">
        <f>IFERROR(HYPERLINK("#'Outreach Log'!A"&amp;MATCH(TEXT(K151,"YYYY-MM-DD")&amp;F151,'Outreach Log'!$L:$L,0),"→ View"),"—")</f>
        <v>→ View</v>
      </c>
      <c r="N151" s="6" t="str">
        <f>IFERROR(HYPERLINK("#Companies!A"&amp;MATCH(E151,Companies!$B:$B,0),"→ View"),"—")</f>
        <v>→ View</v>
      </c>
    </row>
    <row r="152" spans="1:14">
      <c r="A152" s="9">
        <f>IF(tblContacts[[#This Row],[First Name]]&lt;&gt;0,ROW()-1,"")</f>
        <v>151</v>
      </c>
      <c r="B152" s="50" t="s">
        <v>1188</v>
      </c>
      <c r="C152" s="50" t="s">
        <v>1191</v>
      </c>
      <c r="D152" s="10"/>
      <c r="E152" s="10" t="s">
        <v>2269</v>
      </c>
      <c r="F152" s="10" t="s">
        <v>1192</v>
      </c>
      <c r="G152" s="10"/>
      <c r="H152" s="10" t="s">
        <v>2824</v>
      </c>
      <c r="I152" s="10" t="s">
        <v>2171</v>
      </c>
      <c r="J152" s="10"/>
      <c r="K152" s="7" t="str" cm="1">
        <f t="array" ref="K152">IFERROR(LOOKUP(2,1/('Outreach Log'!$C$2:$C$9998=F152),'Outreach Log'!$B$2:$B$9998),"")</f>
        <v/>
      </c>
      <c r="L152" s="5" t="str">
        <f>IFERROR(INDEX('Outreach Log'!$F:$F,MATCH(TEXT(K152,"YYYY-MM-DD")&amp;F152,'Outreach Log'!$L:$L,0)),"")</f>
        <v/>
      </c>
      <c r="M152" s="6" t="str">
        <f>IFERROR(HYPERLINK("#'Outreach Log'!A"&amp;MATCH(TEXT(K152,"YYYY-MM-DD")&amp;F152,'Outreach Log'!$L:$L,0),"→ View"),"—")</f>
        <v>—</v>
      </c>
      <c r="N152" s="6" t="str">
        <f>IFERROR(HYPERLINK("#Companies!A"&amp;MATCH(E152,Companies!$B:$B,0),"→ View"),"—")</f>
        <v>→ View</v>
      </c>
    </row>
    <row r="153" spans="1:14">
      <c r="A153" s="9">
        <f>IF(tblContacts[[#This Row],[First Name]]&lt;&gt;0,ROW()-1,"")</f>
        <v>152</v>
      </c>
      <c r="B153" s="50" t="s">
        <v>1193</v>
      </c>
      <c r="C153" s="50" t="s">
        <v>1194</v>
      </c>
      <c r="D153" s="10"/>
      <c r="E153" s="10" t="s">
        <v>307</v>
      </c>
      <c r="F153" s="10" t="s">
        <v>1195</v>
      </c>
      <c r="G153" s="10"/>
      <c r="H153" s="10" t="s">
        <v>2824</v>
      </c>
      <c r="I153" s="10" t="s">
        <v>2171</v>
      </c>
      <c r="J153" s="10"/>
      <c r="K153" s="7" cm="1">
        <f t="array" ref="K153">IFERROR(LOOKUP(2,1/('Outreach Log'!$C$2:$C$9998=F153),'Outreach Log'!$B$2:$B$9998),"")</f>
        <v>46126</v>
      </c>
      <c r="L153" s="5" t="str">
        <f>IFERROR(INDEX('Outreach Log'!$F:$F,MATCH(TEXT(K153,"YYYY-MM-DD")&amp;F153,'Outreach Log'!$L:$L,0)),"")</f>
        <v>Email</v>
      </c>
      <c r="M153" s="6" t="str">
        <f>IFERROR(HYPERLINK("#'Outreach Log'!A"&amp;MATCH(TEXT(K153,"YYYY-MM-DD")&amp;F153,'Outreach Log'!$L:$L,0),"→ View"),"—")</f>
        <v>→ View</v>
      </c>
      <c r="N153" s="6" t="str">
        <f>IFERROR(HYPERLINK("#Companies!A"&amp;MATCH(E153,Companies!$B:$B,0),"→ View"),"—")</f>
        <v>→ View</v>
      </c>
    </row>
    <row r="154" spans="1:14">
      <c r="A154" s="9">
        <f>IF(tblContacts[[#This Row],[First Name]]&lt;&gt;0,ROW()-1,"")</f>
        <v>153</v>
      </c>
      <c r="B154" s="50" t="s">
        <v>812</v>
      </c>
      <c r="C154" s="50" t="s">
        <v>1231</v>
      </c>
      <c r="D154" s="10"/>
      <c r="E154" s="10" t="s">
        <v>2805</v>
      </c>
      <c r="F154" s="10" t="s">
        <v>1232</v>
      </c>
      <c r="G154" s="10"/>
      <c r="H154" s="10" t="s">
        <v>2824</v>
      </c>
      <c r="I154" s="10" t="s">
        <v>14</v>
      </c>
      <c r="J154" s="10"/>
      <c r="K154" s="7" t="str" cm="1">
        <f t="array" ref="K154">IFERROR(LOOKUP(2,1/('Outreach Log'!$C$2:$C$9998=F154),'Outreach Log'!$B$2:$B$9998),"")</f>
        <v/>
      </c>
      <c r="L154" s="5" t="str">
        <f>IFERROR(INDEX('Outreach Log'!$F:$F,MATCH(TEXT(K154,"YYYY-MM-DD")&amp;F154,'Outreach Log'!$L:$L,0)),"")</f>
        <v/>
      </c>
      <c r="M154" s="6" t="str">
        <f>IFERROR(HYPERLINK("#'Outreach Log'!A"&amp;MATCH(TEXT(K154,"YYYY-MM-DD")&amp;F154,'Outreach Log'!$L:$L,0),"→ View"),"—")</f>
        <v>—</v>
      </c>
      <c r="N154" s="6" t="str">
        <f>IFERROR(HYPERLINK("#Companies!A"&amp;MATCH(E154,Companies!$B:$B,0),"→ View"),"—")</f>
        <v>→ View</v>
      </c>
    </row>
    <row r="155" spans="1:14">
      <c r="A155" s="9">
        <f>IF(tblContacts[[#This Row],[First Name]]&lt;&gt;0,ROW()-1,"")</f>
        <v>154</v>
      </c>
      <c r="B155" s="50" t="s">
        <v>1272</v>
      </c>
      <c r="C155" s="50" t="s">
        <v>1273</v>
      </c>
      <c r="D155" s="10"/>
      <c r="E155" s="10" t="s">
        <v>2276</v>
      </c>
      <c r="F155" s="10" t="s">
        <v>1274</v>
      </c>
      <c r="G155" s="10"/>
      <c r="H155" s="10" t="s">
        <v>2824</v>
      </c>
      <c r="I155" s="10" t="s">
        <v>2171</v>
      </c>
      <c r="J155" s="10"/>
      <c r="K155" s="7" cm="1">
        <f t="array" ref="K155">IFERROR(LOOKUP(2,1/('Outreach Log'!$C$2:$C$9998=F155),'Outreach Log'!$B$2:$B$9998),"")</f>
        <v>46126</v>
      </c>
      <c r="L155" s="5" t="str">
        <f>IFERROR(INDEX('Outreach Log'!$F:$F,MATCH(TEXT(K155,"YYYY-MM-DD")&amp;F155,'Outreach Log'!$L:$L,0)),"")</f>
        <v>Email</v>
      </c>
      <c r="M155" s="6" t="str">
        <f>IFERROR(HYPERLINK("#'Outreach Log'!A"&amp;MATCH(TEXT(K155,"YYYY-MM-DD")&amp;F155,'Outreach Log'!$L:$L,0),"→ View"),"—")</f>
        <v>→ View</v>
      </c>
      <c r="N155" s="6" t="str">
        <f>IFERROR(HYPERLINK("#Companies!A"&amp;MATCH(E155,Companies!$B:$B,0),"→ View"),"—")</f>
        <v>→ View</v>
      </c>
    </row>
    <row r="156" spans="1:14">
      <c r="A156" s="9">
        <f>IF(tblContacts[[#This Row],[First Name]]&lt;&gt;0,ROW()-1,"")</f>
        <v>155</v>
      </c>
      <c r="B156" s="50" t="s">
        <v>1222</v>
      </c>
      <c r="C156" s="50" t="s">
        <v>1283</v>
      </c>
      <c r="D156" s="10"/>
      <c r="E156" s="10" t="s">
        <v>2277</v>
      </c>
      <c r="F156" s="10" t="s">
        <v>1284</v>
      </c>
      <c r="G156" s="10"/>
      <c r="H156" s="10" t="s">
        <v>2824</v>
      </c>
      <c r="I156" s="10" t="s">
        <v>2171</v>
      </c>
      <c r="J156" s="10"/>
      <c r="K156" s="7" cm="1">
        <f t="array" ref="K156">IFERROR(LOOKUP(2,1/('Outreach Log'!$C$2:$C$9998=F156),'Outreach Log'!$B$2:$B$9998),"")</f>
        <v>46126</v>
      </c>
      <c r="L156" s="5" t="str">
        <f>IFERROR(INDEX('Outreach Log'!$F:$F,MATCH(TEXT(K156,"YYYY-MM-DD")&amp;F156,'Outreach Log'!$L:$L,0)),"")</f>
        <v>Email</v>
      </c>
      <c r="M156" s="6" t="str">
        <f>IFERROR(HYPERLINK("#'Outreach Log'!A"&amp;MATCH(TEXT(K156,"YYYY-MM-DD")&amp;F156,'Outreach Log'!$L:$L,0),"→ View"),"—")</f>
        <v>→ View</v>
      </c>
      <c r="N156" s="6" t="str">
        <f>IFERROR(HYPERLINK("#Companies!A"&amp;MATCH(E156,Companies!$B:$B,0),"→ View"),"—")</f>
        <v>→ View</v>
      </c>
    </row>
    <row r="157" spans="1:14">
      <c r="A157" s="9">
        <f>IF(tblContacts[[#This Row],[First Name]]&lt;&gt;0,ROW()-1,"")</f>
        <v>156</v>
      </c>
      <c r="B157" s="50" t="s">
        <v>1285</v>
      </c>
      <c r="C157" s="50" t="s">
        <v>1286</v>
      </c>
      <c r="D157" s="10"/>
      <c r="E157" s="10" t="s">
        <v>363</v>
      </c>
      <c r="F157" s="10" t="s">
        <v>1287</v>
      </c>
      <c r="G157" s="10"/>
      <c r="H157" s="10" t="s">
        <v>2824</v>
      </c>
      <c r="I157" s="10" t="s">
        <v>2171</v>
      </c>
      <c r="J157" s="10"/>
      <c r="K157" s="7" t="str" cm="1">
        <f t="array" ref="K157">IFERROR(LOOKUP(2,1/('Outreach Log'!$C$2:$C$9998=F157),'Outreach Log'!$B$2:$B$9998),"")</f>
        <v/>
      </c>
      <c r="L157" s="5" t="str">
        <f>IFERROR(INDEX('Outreach Log'!$F:$F,MATCH(TEXT(K157,"YYYY-MM-DD")&amp;F157,'Outreach Log'!$L:$L,0)),"")</f>
        <v/>
      </c>
      <c r="M157" s="6" t="str">
        <f>IFERROR(HYPERLINK("#'Outreach Log'!A"&amp;MATCH(TEXT(K157,"YYYY-MM-DD")&amp;F157,'Outreach Log'!$L:$L,0),"→ View"),"—")</f>
        <v>—</v>
      </c>
      <c r="N157" s="6" t="str">
        <f>IFERROR(HYPERLINK("#Companies!A"&amp;MATCH(E157,Companies!$B:$B,0),"→ View"),"—")</f>
        <v>→ View</v>
      </c>
    </row>
    <row r="158" spans="1:14">
      <c r="A158" s="9">
        <f>IF(tblContacts[[#This Row],[First Name]]&lt;&gt;0,ROW()-1,"")</f>
        <v>157</v>
      </c>
      <c r="B158" s="50" t="s">
        <v>1073</v>
      </c>
      <c r="C158" s="50"/>
      <c r="D158" s="10" t="s">
        <v>794</v>
      </c>
      <c r="E158" s="10" t="s">
        <v>2198</v>
      </c>
      <c r="F158" s="10" t="s">
        <v>1288</v>
      </c>
      <c r="G158" s="10"/>
      <c r="H158" s="10" t="s">
        <v>2824</v>
      </c>
      <c r="I158" s="10" t="s">
        <v>2171</v>
      </c>
      <c r="J158" s="10"/>
      <c r="K158" s="7" t="str" cm="1">
        <f t="array" ref="K158">IFERROR(LOOKUP(2,1/('Outreach Log'!$C$2:$C$9998=F158),'Outreach Log'!$B$2:$B$9998),"")</f>
        <v/>
      </c>
      <c r="L158" s="5" t="str">
        <f>IFERROR(INDEX('Outreach Log'!$F:$F,MATCH(TEXT(K158,"YYYY-MM-DD")&amp;F158,'Outreach Log'!$L:$L,0)),"")</f>
        <v/>
      </c>
      <c r="M158" s="6" t="str">
        <f>IFERROR(HYPERLINK("#'Outreach Log'!A"&amp;MATCH(TEXT(K158,"YYYY-MM-DD")&amp;F158,'Outreach Log'!$L:$L,0),"→ View"),"—")</f>
        <v>—</v>
      </c>
      <c r="N158" s="6" t="str">
        <f>IFERROR(HYPERLINK("#Companies!A"&amp;MATCH(E158,Companies!$B:$B,0),"→ View"),"—")</f>
        <v>→ View</v>
      </c>
    </row>
    <row r="159" spans="1:14">
      <c r="A159" s="9">
        <f>IF(tblContacts[[#This Row],[First Name]]&lt;&gt;0,ROW()-1,"")</f>
        <v>158</v>
      </c>
      <c r="B159" s="50" t="s">
        <v>1073</v>
      </c>
      <c r="C159" s="50" t="s">
        <v>1256</v>
      </c>
      <c r="D159" s="10"/>
      <c r="E159" s="10" t="s">
        <v>365</v>
      </c>
      <c r="F159" s="10" t="s">
        <v>1289</v>
      </c>
      <c r="G159" s="10"/>
      <c r="H159" s="10" t="s">
        <v>2824</v>
      </c>
      <c r="I159" s="10" t="s">
        <v>2171</v>
      </c>
      <c r="J159" s="10"/>
      <c r="K159" s="7" cm="1">
        <f t="array" ref="K159">IFERROR(LOOKUP(2,1/('Outreach Log'!$C$2:$C$9998=F159),'Outreach Log'!$B$2:$B$9998),"")</f>
        <v>46126</v>
      </c>
      <c r="L159" s="5" t="str">
        <f>IFERROR(INDEX('Outreach Log'!$F:$F,MATCH(TEXT(K159,"YYYY-MM-DD")&amp;F159,'Outreach Log'!$L:$L,0)),"")</f>
        <v>Email</v>
      </c>
      <c r="M159" s="6" t="str">
        <f>IFERROR(HYPERLINK("#'Outreach Log'!A"&amp;MATCH(TEXT(K159,"YYYY-MM-DD")&amp;F159,'Outreach Log'!$L:$L,0),"→ View"),"—")</f>
        <v>→ View</v>
      </c>
      <c r="N159" s="6" t="str">
        <f>IFERROR(HYPERLINK("#Companies!A"&amp;MATCH(E159,Companies!$B:$B,0),"→ View"),"—")</f>
        <v>→ View</v>
      </c>
    </row>
    <row r="160" spans="1:14">
      <c r="A160" s="9">
        <f>IF(tblContacts[[#This Row],[First Name]]&lt;&gt;0,ROW()-1,"")</f>
        <v>159</v>
      </c>
      <c r="B160" s="50" t="s">
        <v>1293</v>
      </c>
      <c r="C160" s="50" t="s">
        <v>1294</v>
      </c>
      <c r="D160" s="10"/>
      <c r="E160" s="10" t="s">
        <v>2278</v>
      </c>
      <c r="F160" s="10" t="s">
        <v>1295</v>
      </c>
      <c r="G160" s="10"/>
      <c r="H160" s="10" t="s">
        <v>2824</v>
      </c>
      <c r="I160" s="10" t="s">
        <v>2171</v>
      </c>
      <c r="J160" s="10"/>
      <c r="K160" s="7" t="str" cm="1">
        <f t="array" ref="K160">IFERROR(LOOKUP(2,1/('Outreach Log'!$C$2:$C$9998=F160),'Outreach Log'!$B$2:$B$9998),"")</f>
        <v/>
      </c>
      <c r="L160" s="5" t="str">
        <f>IFERROR(INDEX('Outreach Log'!$F:$F,MATCH(TEXT(K160,"YYYY-MM-DD")&amp;F160,'Outreach Log'!$L:$L,0)),"")</f>
        <v/>
      </c>
      <c r="M160" s="6" t="str">
        <f>IFERROR(HYPERLINK("#'Outreach Log'!A"&amp;MATCH(TEXT(K160,"YYYY-MM-DD")&amp;F160,'Outreach Log'!$L:$L,0),"→ View"),"—")</f>
        <v>—</v>
      </c>
      <c r="N160" s="6" t="str">
        <f>IFERROR(HYPERLINK("#Companies!A"&amp;MATCH(E160,Companies!$B:$B,0),"→ View"),"—")</f>
        <v>→ View</v>
      </c>
    </row>
    <row r="161" spans="1:14">
      <c r="A161" s="9">
        <f>IF(tblContacts[[#This Row],[First Name]]&lt;&gt;0,ROW()-1,"")</f>
        <v>160</v>
      </c>
      <c r="B161" s="50" t="s">
        <v>1296</v>
      </c>
      <c r="C161" s="50" t="s">
        <v>1297</v>
      </c>
      <c r="D161" s="10"/>
      <c r="E161" s="10" t="s">
        <v>2279</v>
      </c>
      <c r="F161" s="10" t="s">
        <v>1298</v>
      </c>
      <c r="G161" s="10"/>
      <c r="H161" s="10" t="s">
        <v>2824</v>
      </c>
      <c r="I161" s="10" t="s">
        <v>2171</v>
      </c>
      <c r="J161" s="10"/>
      <c r="K161" s="7" t="str" cm="1">
        <f t="array" ref="K161">IFERROR(LOOKUP(2,1/('Outreach Log'!$C$2:$C$9998=F161),'Outreach Log'!$B$2:$B$9998),"")</f>
        <v/>
      </c>
      <c r="L161" s="5" t="str">
        <f>IFERROR(INDEX('Outreach Log'!$F:$F,MATCH(TEXT(K161,"YYYY-MM-DD")&amp;F161,'Outreach Log'!$L:$L,0)),"")</f>
        <v/>
      </c>
      <c r="M161" s="6" t="str">
        <f>IFERROR(HYPERLINK("#'Outreach Log'!A"&amp;MATCH(TEXT(K161,"YYYY-MM-DD")&amp;F161,'Outreach Log'!$L:$L,0),"→ View"),"—")</f>
        <v>—</v>
      </c>
      <c r="N161" s="6" t="str">
        <f>IFERROR(HYPERLINK("#Companies!A"&amp;MATCH(E161,Companies!$B:$B,0),"→ View"),"—")</f>
        <v>→ View</v>
      </c>
    </row>
    <row r="162" spans="1:14">
      <c r="A162" s="9">
        <f>IF(tblContacts[[#This Row],[First Name]]&lt;&gt;0,ROW()-1,"")</f>
        <v>161</v>
      </c>
      <c r="B162" s="50" t="s">
        <v>1296</v>
      </c>
      <c r="C162" s="50" t="s">
        <v>1299</v>
      </c>
      <c r="D162" s="10"/>
      <c r="E162" s="10" t="s">
        <v>2280</v>
      </c>
      <c r="F162" s="10" t="s">
        <v>1300</v>
      </c>
      <c r="G162" s="10"/>
      <c r="H162" s="10" t="s">
        <v>2824</v>
      </c>
      <c r="I162" s="10" t="s">
        <v>2171</v>
      </c>
      <c r="J162" s="10"/>
      <c r="K162" s="7" cm="1">
        <f t="array" ref="K162">IFERROR(LOOKUP(2,1/('Outreach Log'!$C$2:$C$9998=F162),'Outreach Log'!$B$2:$B$9998),"")</f>
        <v>46126</v>
      </c>
      <c r="L162" s="5" t="str">
        <f>IFERROR(INDEX('Outreach Log'!$F:$F,MATCH(TEXT(K162,"YYYY-MM-DD")&amp;F162,'Outreach Log'!$L:$L,0)),"")</f>
        <v>Email</v>
      </c>
      <c r="M162" s="6" t="str">
        <f>IFERROR(HYPERLINK("#'Outreach Log'!A"&amp;MATCH(TEXT(K162,"YYYY-MM-DD")&amp;F162,'Outreach Log'!$L:$L,0),"→ View"),"—")</f>
        <v>→ View</v>
      </c>
      <c r="N162" s="6" t="str">
        <f>IFERROR(HYPERLINK("#Companies!A"&amp;MATCH(E162,Companies!$B:$B,0),"→ View"),"—")</f>
        <v>→ View</v>
      </c>
    </row>
    <row r="163" spans="1:14">
      <c r="A163" s="9">
        <f>IF(tblContacts[[#This Row],[First Name]]&lt;&gt;0,ROW()-1,"")</f>
        <v>162</v>
      </c>
      <c r="B163" s="50" t="s">
        <v>1301</v>
      </c>
      <c r="C163" s="50" t="s">
        <v>1302</v>
      </c>
      <c r="D163" s="10"/>
      <c r="E163" s="10" t="s">
        <v>371</v>
      </c>
      <c r="F163" s="10" t="s">
        <v>1303</v>
      </c>
      <c r="G163" s="35">
        <v>542142606</v>
      </c>
      <c r="H163" s="10" t="s">
        <v>2824</v>
      </c>
      <c r="I163" s="10" t="s">
        <v>13</v>
      </c>
      <c r="J163" s="10"/>
      <c r="K163" s="7" cm="1">
        <f t="array" ref="K163">IFERROR(LOOKUP(2,1/('Outreach Log'!$C$2:$C$9998=F163),'Outreach Log'!$B$2:$B$9998),"")</f>
        <v>46126</v>
      </c>
      <c r="L163" s="5" t="str">
        <f>IFERROR(INDEX('Outreach Log'!$F:$F,MATCH(TEXT(K163,"YYYY-MM-DD")&amp;F163,'Outreach Log'!$L:$L,0)),"")</f>
        <v>Email</v>
      </c>
      <c r="M163" s="6" t="str">
        <f>IFERROR(HYPERLINK("#'Outreach Log'!A"&amp;MATCH(TEXT(K163,"YYYY-MM-DD")&amp;F163,'Outreach Log'!$L:$L,0),"→ View"),"—")</f>
        <v>→ View</v>
      </c>
      <c r="N163" s="6" t="str">
        <f>IFERROR(HYPERLINK("#Companies!A"&amp;MATCH(E163,Companies!$B:$B,0),"→ View"),"—")</f>
        <v>→ View</v>
      </c>
    </row>
    <row r="164" spans="1:14">
      <c r="A164" s="9">
        <f>IF(tblContacts[[#This Row],[First Name]]&lt;&gt;0,ROW()-1,"")</f>
        <v>163</v>
      </c>
      <c r="B164" s="50" t="s">
        <v>2281</v>
      </c>
      <c r="C164" s="50" t="s">
        <v>1304</v>
      </c>
      <c r="D164" s="10"/>
      <c r="E164" s="10" t="s">
        <v>2282</v>
      </c>
      <c r="F164" s="10" t="s">
        <v>1305</v>
      </c>
      <c r="G164" s="10"/>
      <c r="H164" s="10" t="s">
        <v>2824</v>
      </c>
      <c r="I164" s="10" t="s">
        <v>2171</v>
      </c>
      <c r="J164" s="10"/>
      <c r="K164" s="7" cm="1">
        <f t="array" ref="K164">IFERROR(LOOKUP(2,1/('Outreach Log'!$C$2:$C$9998=F164),'Outreach Log'!$B$2:$B$9998),"")</f>
        <v>46126</v>
      </c>
      <c r="L164" s="5" t="str">
        <f>IFERROR(INDEX('Outreach Log'!$F:$F,MATCH(TEXT(K164,"YYYY-MM-DD")&amp;F164,'Outreach Log'!$L:$L,0)),"")</f>
        <v>Email</v>
      </c>
      <c r="M164" s="6" t="str">
        <f>IFERROR(HYPERLINK("#'Outreach Log'!A"&amp;MATCH(TEXT(K164,"YYYY-MM-DD")&amp;F164,'Outreach Log'!$L:$L,0),"→ View"),"—")</f>
        <v>→ View</v>
      </c>
      <c r="N164" s="6" t="str">
        <f>IFERROR(HYPERLINK("#Companies!A"&amp;MATCH(E164,Companies!$B:$B,0),"→ View"),"—")</f>
        <v>→ View</v>
      </c>
    </row>
    <row r="165" spans="1:14">
      <c r="A165" s="9">
        <f>IF(tblContacts[[#This Row],[First Name]]&lt;&gt;0,ROW()-1,"")</f>
        <v>164</v>
      </c>
      <c r="B165" s="50" t="s">
        <v>1306</v>
      </c>
      <c r="C165" s="50" t="s">
        <v>1214</v>
      </c>
      <c r="D165" s="10" t="s">
        <v>1307</v>
      </c>
      <c r="E165" s="10" t="s">
        <v>374</v>
      </c>
      <c r="F165" s="10" t="s">
        <v>1308</v>
      </c>
      <c r="G165" s="10"/>
      <c r="H165" s="10" t="s">
        <v>2824</v>
      </c>
      <c r="I165" s="10" t="s">
        <v>13</v>
      </c>
      <c r="J165" s="10"/>
      <c r="K165" s="7" t="str" cm="1">
        <f t="array" ref="K165">IFERROR(LOOKUP(2,1/('Outreach Log'!$C$2:$C$9998=F165),'Outreach Log'!$B$2:$B$9998),"")</f>
        <v/>
      </c>
      <c r="L165" s="5" t="str">
        <f>IFERROR(INDEX('Outreach Log'!$F:$F,MATCH(TEXT(K165,"YYYY-MM-DD")&amp;F165,'Outreach Log'!$L:$L,0)),"")</f>
        <v/>
      </c>
      <c r="M165" s="6" t="str">
        <f>IFERROR(HYPERLINK("#'Outreach Log'!A"&amp;MATCH(TEXT(K165,"YYYY-MM-DD")&amp;F165,'Outreach Log'!$L:$L,0),"→ View"),"—")</f>
        <v>—</v>
      </c>
      <c r="N165" s="6" t="str">
        <f>IFERROR(HYPERLINK("#Companies!A"&amp;MATCH(E165,Companies!$B:$B,0),"→ View"),"—")</f>
        <v>→ View</v>
      </c>
    </row>
    <row r="166" spans="1:14">
      <c r="A166" s="9">
        <f>IF(tblContacts[[#This Row],[First Name]]&lt;&gt;0,ROW()-1,"")</f>
        <v>165</v>
      </c>
      <c r="B166" s="50" t="s">
        <v>1306</v>
      </c>
      <c r="C166" s="50" t="s">
        <v>1309</v>
      </c>
      <c r="D166" s="10"/>
      <c r="E166" s="10" t="s">
        <v>2283</v>
      </c>
      <c r="F166" s="10" t="s">
        <v>1310</v>
      </c>
      <c r="G166" s="10"/>
      <c r="H166" s="10" t="s">
        <v>2824</v>
      </c>
      <c r="I166" s="10" t="s">
        <v>2171</v>
      </c>
      <c r="J166" s="10"/>
      <c r="K166" s="7" t="str" cm="1">
        <f t="array" ref="K166">IFERROR(LOOKUP(2,1/('Outreach Log'!$C$2:$C$9998=F166),'Outreach Log'!$B$2:$B$9998),"")</f>
        <v/>
      </c>
      <c r="L166" s="5" t="str">
        <f>IFERROR(INDEX('Outreach Log'!$F:$F,MATCH(TEXT(K166,"YYYY-MM-DD")&amp;F166,'Outreach Log'!$L:$L,0)),"")</f>
        <v/>
      </c>
      <c r="M166" s="6" t="str">
        <f>IFERROR(HYPERLINK("#'Outreach Log'!A"&amp;MATCH(TEXT(K166,"YYYY-MM-DD")&amp;F166,'Outreach Log'!$L:$L,0),"→ View"),"—")</f>
        <v>—</v>
      </c>
      <c r="N166" s="6" t="str">
        <f>IFERROR(HYPERLINK("#Companies!A"&amp;MATCH(E166,Companies!$B:$B,0),"→ View"),"—")</f>
        <v>→ View</v>
      </c>
    </row>
    <row r="167" spans="1:14">
      <c r="A167" s="9">
        <f>IF(tblContacts[[#This Row],[First Name]]&lt;&gt;0,ROW()-1,"")</f>
        <v>166</v>
      </c>
      <c r="B167" s="50" t="s">
        <v>1311</v>
      </c>
      <c r="C167" s="50" t="s">
        <v>1143</v>
      </c>
      <c r="D167" s="10"/>
      <c r="E167" s="10" t="s">
        <v>2284</v>
      </c>
      <c r="F167" s="10" t="s">
        <v>1312</v>
      </c>
      <c r="G167" s="10"/>
      <c r="H167" s="10" t="s">
        <v>2824</v>
      </c>
      <c r="I167" s="10" t="s">
        <v>2171</v>
      </c>
      <c r="J167" s="10"/>
      <c r="K167" s="7" t="str" cm="1">
        <f t="array" ref="K167">IFERROR(LOOKUP(2,1/('Outreach Log'!$C$2:$C$9998=F167),'Outreach Log'!$B$2:$B$9998),"")</f>
        <v/>
      </c>
      <c r="L167" s="5" t="str">
        <f>IFERROR(INDEX('Outreach Log'!$F:$F,MATCH(TEXT(K167,"YYYY-MM-DD")&amp;F167,'Outreach Log'!$L:$L,0)),"")</f>
        <v/>
      </c>
      <c r="M167" s="6" t="str">
        <f>IFERROR(HYPERLINK("#'Outreach Log'!A"&amp;MATCH(TEXT(K167,"YYYY-MM-DD")&amp;F167,'Outreach Log'!$L:$L,0),"→ View"),"—")</f>
        <v>—</v>
      </c>
      <c r="N167" s="6" t="str">
        <f>IFERROR(HYPERLINK("#Companies!A"&amp;MATCH(E167,Companies!$B:$B,0),"→ View"),"—")</f>
        <v>→ View</v>
      </c>
    </row>
    <row r="168" spans="1:14">
      <c r="A168" s="9">
        <f>IF(tblContacts[[#This Row],[First Name]]&lt;&gt;0,ROW()-1,"")</f>
        <v>167</v>
      </c>
      <c r="B168" s="50" t="s">
        <v>2285</v>
      </c>
      <c r="C168" s="50" t="s">
        <v>1313</v>
      </c>
      <c r="D168" s="10"/>
      <c r="E168" s="10" t="s">
        <v>2286</v>
      </c>
      <c r="F168" s="10" t="s">
        <v>1314</v>
      </c>
      <c r="G168" s="10"/>
      <c r="H168" s="10" t="s">
        <v>2824</v>
      </c>
      <c r="I168" s="10" t="s">
        <v>2171</v>
      </c>
      <c r="J168" s="10"/>
      <c r="K168" s="7" t="str" cm="1">
        <f t="array" ref="K168">IFERROR(LOOKUP(2,1/('Outreach Log'!$C$2:$C$9998=F168),'Outreach Log'!$B$2:$B$9998),"")</f>
        <v/>
      </c>
      <c r="L168" s="5" t="str">
        <f>IFERROR(INDEX('Outreach Log'!$F:$F,MATCH(TEXT(K168,"YYYY-MM-DD")&amp;F168,'Outreach Log'!$L:$L,0)),"")</f>
        <v/>
      </c>
      <c r="M168" s="6" t="str">
        <f>IFERROR(HYPERLINK("#'Outreach Log'!A"&amp;MATCH(TEXT(K168,"YYYY-MM-DD")&amp;F168,'Outreach Log'!$L:$L,0),"→ View"),"—")</f>
        <v>—</v>
      </c>
      <c r="N168" s="6" t="str">
        <f>IFERROR(HYPERLINK("#Companies!A"&amp;MATCH(E168,Companies!$B:$B,0),"→ View"),"—")</f>
        <v>→ View</v>
      </c>
    </row>
    <row r="169" spans="1:14">
      <c r="A169" s="9">
        <f>IF(tblContacts[[#This Row],[First Name]]&lt;&gt;0,ROW()-1,"")</f>
        <v>168</v>
      </c>
      <c r="B169" s="50" t="s">
        <v>1317</v>
      </c>
      <c r="C169" s="50" t="s">
        <v>1158</v>
      </c>
      <c r="D169" s="10"/>
      <c r="E169" s="10" t="s">
        <v>2287</v>
      </c>
      <c r="F169" s="10" t="s">
        <v>1318</v>
      </c>
      <c r="G169" s="10"/>
      <c r="H169" s="10" t="s">
        <v>2824</v>
      </c>
      <c r="I169" s="10" t="s">
        <v>2171</v>
      </c>
      <c r="J169" s="10"/>
      <c r="K169" s="7" cm="1">
        <f t="array" ref="K169">IFERROR(LOOKUP(2,1/('Outreach Log'!$C$2:$C$9998=F169),'Outreach Log'!$B$2:$B$9998),"")</f>
        <v>46126</v>
      </c>
      <c r="L169" s="5" t="str">
        <f>IFERROR(INDEX('Outreach Log'!$F:$F,MATCH(TEXT(K169,"YYYY-MM-DD")&amp;F169,'Outreach Log'!$L:$L,0)),"")</f>
        <v>Email</v>
      </c>
      <c r="M169" s="6" t="str">
        <f>IFERROR(HYPERLINK("#'Outreach Log'!A"&amp;MATCH(TEXT(K169,"YYYY-MM-DD")&amp;F169,'Outreach Log'!$L:$L,0),"→ View"),"—")</f>
        <v>→ View</v>
      </c>
      <c r="N169" s="6" t="str">
        <f>IFERROR(HYPERLINK("#Companies!A"&amp;MATCH(E169,Companies!$B:$B,0),"→ View"),"—")</f>
        <v>→ View</v>
      </c>
    </row>
    <row r="170" spans="1:14">
      <c r="A170" s="9">
        <f>IF(tblContacts[[#This Row],[First Name]]&lt;&gt;0,ROW()-1,"")</f>
        <v>169</v>
      </c>
      <c r="B170" s="50" t="s">
        <v>1319</v>
      </c>
      <c r="C170" s="50" t="s">
        <v>1320</v>
      </c>
      <c r="D170" s="10" t="s">
        <v>1321</v>
      </c>
      <c r="E170" s="10" t="s">
        <v>382</v>
      </c>
      <c r="F170" s="10" t="s">
        <v>1322</v>
      </c>
      <c r="G170" s="10"/>
      <c r="H170" s="10" t="s">
        <v>2824</v>
      </c>
      <c r="I170" s="10" t="s">
        <v>13</v>
      </c>
      <c r="J170" s="10"/>
      <c r="K170" s="7" t="str" cm="1">
        <f t="array" ref="K170">IFERROR(LOOKUP(2,1/('Outreach Log'!$C$2:$C$9998=F170),'Outreach Log'!$B$2:$B$9998),"")</f>
        <v/>
      </c>
      <c r="L170" s="5" t="str">
        <f>IFERROR(INDEX('Outreach Log'!$F:$F,MATCH(TEXT(K170,"YYYY-MM-DD")&amp;F170,'Outreach Log'!$L:$L,0)),"")</f>
        <v/>
      </c>
      <c r="M170" s="6" t="str">
        <f>IFERROR(HYPERLINK("#'Outreach Log'!A"&amp;MATCH(TEXT(K170,"YYYY-MM-DD")&amp;F170,'Outreach Log'!$L:$L,0),"→ View"),"—")</f>
        <v>—</v>
      </c>
      <c r="N170" s="6" t="str">
        <f>IFERROR(HYPERLINK("#Companies!A"&amp;MATCH(E170,Companies!$B:$B,0),"→ View"),"—")</f>
        <v>→ View</v>
      </c>
    </row>
    <row r="171" spans="1:14">
      <c r="A171" s="9">
        <f>IF(tblContacts[[#This Row],[First Name]]&lt;&gt;0,ROW()-1,"")</f>
        <v>170</v>
      </c>
      <c r="B171" s="50" t="s">
        <v>1253</v>
      </c>
      <c r="C171" s="50" t="s">
        <v>1323</v>
      </c>
      <c r="D171" s="10"/>
      <c r="E171" s="10" t="s">
        <v>383</v>
      </c>
      <c r="F171" s="10" t="s">
        <v>1324</v>
      </c>
      <c r="G171" s="10"/>
      <c r="H171" s="10" t="s">
        <v>2824</v>
      </c>
      <c r="I171" s="10" t="s">
        <v>2171</v>
      </c>
      <c r="J171" s="10"/>
      <c r="K171" s="7" t="str" cm="1">
        <f t="array" ref="K171">IFERROR(LOOKUP(2,1/('Outreach Log'!$C$2:$C$9998=F171),'Outreach Log'!$B$2:$B$9998),"")</f>
        <v/>
      </c>
      <c r="L171" s="5" t="str">
        <f>IFERROR(INDEX('Outreach Log'!$F:$F,MATCH(TEXT(K171,"YYYY-MM-DD")&amp;F171,'Outreach Log'!$L:$L,0)),"")</f>
        <v/>
      </c>
      <c r="M171" s="6" t="str">
        <f>IFERROR(HYPERLINK("#'Outreach Log'!A"&amp;MATCH(TEXT(K171,"YYYY-MM-DD")&amp;F171,'Outreach Log'!$L:$L,0),"→ View"),"—")</f>
        <v>—</v>
      </c>
      <c r="N171" s="6" t="str">
        <f>IFERROR(HYPERLINK("#Companies!A"&amp;MATCH(E171,Companies!$B:$B,0),"→ View"),"—")</f>
        <v>→ View</v>
      </c>
    </row>
    <row r="172" spans="1:14">
      <c r="A172" s="9">
        <f>IF(tblContacts[[#This Row],[First Name]]&lt;&gt;0,ROW()-1,"")</f>
        <v>171</v>
      </c>
      <c r="B172" s="50" t="s">
        <v>1253</v>
      </c>
      <c r="C172" s="50"/>
      <c r="D172" s="10"/>
      <c r="E172" s="10"/>
      <c r="F172" s="10" t="s">
        <v>1325</v>
      </c>
      <c r="G172" s="10"/>
      <c r="H172" s="10" t="s">
        <v>2824</v>
      </c>
      <c r="I172" s="10" t="s">
        <v>14</v>
      </c>
      <c r="J172" s="10"/>
      <c r="K172" s="7" t="str" cm="1">
        <f t="array" ref="K172">IFERROR(LOOKUP(2,1/('Outreach Log'!$C$2:$C$9998=F172),'Outreach Log'!$B$2:$B$9998),"")</f>
        <v/>
      </c>
      <c r="L172" s="5" t="str">
        <f>IFERROR(INDEX('Outreach Log'!$F:$F,MATCH(TEXT(K172,"YYYY-MM-DD")&amp;F172,'Outreach Log'!$L:$L,0)),"")</f>
        <v/>
      </c>
      <c r="M172" s="6" t="str">
        <f>IFERROR(HYPERLINK("#'Outreach Log'!A"&amp;MATCH(TEXT(K172,"YYYY-MM-DD")&amp;F172,'Outreach Log'!$L:$L,0),"→ View"),"—")</f>
        <v>—</v>
      </c>
      <c r="N172" s="6" t="str">
        <f>IFERROR(HYPERLINK("#Companies!A"&amp;MATCH(E172,Companies!$B:$B,0),"→ View"),"—")</f>
        <v>—</v>
      </c>
    </row>
    <row r="173" spans="1:14">
      <c r="A173" s="9">
        <f>IF(tblContacts[[#This Row],[First Name]]&lt;&gt;0,ROW()-1,"")</f>
        <v>172</v>
      </c>
      <c r="B173" s="50" t="s">
        <v>1326</v>
      </c>
      <c r="C173" s="50" t="s">
        <v>1329</v>
      </c>
      <c r="D173" s="10"/>
      <c r="E173" s="10" t="s">
        <v>2288</v>
      </c>
      <c r="F173" s="10" t="s">
        <v>1330</v>
      </c>
      <c r="G173" s="10"/>
      <c r="H173" s="10" t="s">
        <v>2824</v>
      </c>
      <c r="I173" s="10" t="s">
        <v>2171</v>
      </c>
      <c r="J173" s="10"/>
      <c r="K173" s="7" cm="1">
        <f t="array" ref="K173">IFERROR(LOOKUP(2,1/('Outreach Log'!$C$2:$C$9998=F173),'Outreach Log'!$B$2:$B$9998),"")</f>
        <v>46126</v>
      </c>
      <c r="L173" s="5" t="str">
        <f>IFERROR(INDEX('Outreach Log'!$F:$F,MATCH(TEXT(K173,"YYYY-MM-DD")&amp;F173,'Outreach Log'!$L:$L,0)),"")</f>
        <v>Email</v>
      </c>
      <c r="M173" s="6" t="str">
        <f>IFERROR(HYPERLINK("#'Outreach Log'!A"&amp;MATCH(TEXT(K173,"YYYY-MM-DD")&amp;F173,'Outreach Log'!$L:$L,0),"→ View"),"—")</f>
        <v>→ View</v>
      </c>
      <c r="N173" s="6" t="str">
        <f>IFERROR(HYPERLINK("#Companies!A"&amp;MATCH(E173,Companies!$B:$B,0),"→ View"),"—")</f>
        <v>→ View</v>
      </c>
    </row>
    <row r="174" spans="1:14">
      <c r="A174" s="9">
        <f>IF(tblContacts[[#This Row],[First Name]]&lt;&gt;0,ROW()-1,"")</f>
        <v>173</v>
      </c>
      <c r="B174" s="50" t="s">
        <v>1296</v>
      </c>
      <c r="C174" s="50" t="s">
        <v>1334</v>
      </c>
      <c r="D174" s="10"/>
      <c r="E174" s="10" t="s">
        <v>2289</v>
      </c>
      <c r="F174" s="10" t="s">
        <v>1335</v>
      </c>
      <c r="G174" s="10"/>
      <c r="H174" s="10" t="s">
        <v>2824</v>
      </c>
      <c r="I174" s="10" t="s">
        <v>2171</v>
      </c>
      <c r="J174" s="10"/>
      <c r="K174" s="7" t="str" cm="1">
        <f t="array" ref="K174">IFERROR(LOOKUP(2,1/('Outreach Log'!$C$2:$C$9998=F174),'Outreach Log'!$B$2:$B$9998),"")</f>
        <v/>
      </c>
      <c r="L174" s="5" t="str">
        <f>IFERROR(INDEX('Outreach Log'!$F:$F,MATCH(TEXT(K174,"YYYY-MM-DD")&amp;F174,'Outreach Log'!$L:$L,0)),"")</f>
        <v/>
      </c>
      <c r="M174" s="6" t="str">
        <f>IFERROR(HYPERLINK("#'Outreach Log'!A"&amp;MATCH(TEXT(K174,"YYYY-MM-DD")&amp;F174,'Outreach Log'!$L:$L,0),"→ View"),"—")</f>
        <v>—</v>
      </c>
      <c r="N174" s="6" t="str">
        <f>IFERROR(HYPERLINK("#Companies!A"&amp;MATCH(E174,Companies!$B:$B,0),"→ View"),"—")</f>
        <v>→ View</v>
      </c>
    </row>
    <row r="175" spans="1:14">
      <c r="A175" s="9">
        <f>IF(tblContacts[[#This Row],[First Name]]&lt;&gt;0,ROW()-1,"")</f>
        <v>174</v>
      </c>
      <c r="B175" s="50" t="s">
        <v>1296</v>
      </c>
      <c r="C175" s="50" t="s">
        <v>1336</v>
      </c>
      <c r="D175" s="10"/>
      <c r="E175" s="10" t="s">
        <v>388</v>
      </c>
      <c r="F175" s="10" t="s">
        <v>1337</v>
      </c>
      <c r="G175" s="10"/>
      <c r="H175" s="10" t="s">
        <v>2824</v>
      </c>
      <c r="I175" s="10" t="s">
        <v>2171</v>
      </c>
      <c r="J175" s="10"/>
      <c r="K175" s="7" cm="1">
        <f t="array" ref="K175">IFERROR(LOOKUP(2,1/('Outreach Log'!$C$2:$C$9998=F175),'Outreach Log'!$B$2:$B$9998),"")</f>
        <v>46126</v>
      </c>
      <c r="L175" s="5" t="str">
        <f>IFERROR(INDEX('Outreach Log'!$F:$F,MATCH(TEXT(K175,"YYYY-MM-DD")&amp;F175,'Outreach Log'!$L:$L,0)),"")</f>
        <v>Email</v>
      </c>
      <c r="M175" s="6" t="str">
        <f>IFERROR(HYPERLINK("#'Outreach Log'!A"&amp;MATCH(TEXT(K175,"YYYY-MM-DD")&amp;F175,'Outreach Log'!$L:$L,0),"→ View"),"—")</f>
        <v>→ View</v>
      </c>
      <c r="N175" s="6" t="str">
        <f>IFERROR(HYPERLINK("#Companies!A"&amp;MATCH(E175,Companies!$B:$B,0),"→ View"),"—")</f>
        <v>→ View</v>
      </c>
    </row>
    <row r="176" spans="1:14">
      <c r="A176" s="9">
        <f>IF(tblContacts[[#This Row],[First Name]]&lt;&gt;0,ROW()-1,"")</f>
        <v>175</v>
      </c>
      <c r="B176" s="50" t="s">
        <v>1338</v>
      </c>
      <c r="C176" s="50" t="s">
        <v>2290</v>
      </c>
      <c r="D176" s="10" t="s">
        <v>1339</v>
      </c>
      <c r="E176" s="10" t="s">
        <v>390</v>
      </c>
      <c r="F176" s="10" t="s">
        <v>1340</v>
      </c>
      <c r="G176" s="10"/>
      <c r="H176" s="10" t="s">
        <v>2824</v>
      </c>
      <c r="I176" s="10" t="s">
        <v>13</v>
      </c>
      <c r="J176" s="10"/>
      <c r="K176" s="7" t="str" cm="1">
        <f t="array" ref="K176">IFERROR(LOOKUP(2,1/('Outreach Log'!$C$2:$C$9998=F176),'Outreach Log'!$B$2:$B$9998),"")</f>
        <v/>
      </c>
      <c r="L176" s="5" t="str">
        <f>IFERROR(INDEX('Outreach Log'!$F:$F,MATCH(TEXT(K176,"YYYY-MM-DD")&amp;F176,'Outreach Log'!$L:$L,0)),"")</f>
        <v/>
      </c>
      <c r="M176" s="6" t="str">
        <f>IFERROR(HYPERLINK("#'Outreach Log'!A"&amp;MATCH(TEXT(K176,"YYYY-MM-DD")&amp;F176,'Outreach Log'!$L:$L,0),"→ View"),"—")</f>
        <v>—</v>
      </c>
      <c r="N176" s="6" t="str">
        <f>IFERROR(HYPERLINK("#Companies!A"&amp;MATCH(E176,Companies!$B:$B,0),"→ View"),"—")</f>
        <v>→ View</v>
      </c>
    </row>
    <row r="177" spans="1:14">
      <c r="A177" s="9">
        <f>IF(tblContacts[[#This Row],[First Name]]&lt;&gt;0,ROW()-1,"")</f>
        <v>176</v>
      </c>
      <c r="B177" s="50" t="s">
        <v>2291</v>
      </c>
      <c r="C177" s="50" t="s">
        <v>1341</v>
      </c>
      <c r="D177" s="10"/>
      <c r="E177" s="10" t="s">
        <v>2292</v>
      </c>
      <c r="F177" s="10" t="s">
        <v>1342</v>
      </c>
      <c r="G177" s="10"/>
      <c r="H177" s="10" t="s">
        <v>2824</v>
      </c>
      <c r="I177" s="10" t="s">
        <v>2171</v>
      </c>
      <c r="J177" s="10"/>
      <c r="K177" s="7" cm="1">
        <f t="array" ref="K177">IFERROR(LOOKUP(2,1/('Outreach Log'!$C$2:$C$9998=F177),'Outreach Log'!$B$2:$B$9998),"")</f>
        <v>46126</v>
      </c>
      <c r="L177" s="5" t="str">
        <f>IFERROR(INDEX('Outreach Log'!$F:$F,MATCH(TEXT(K177,"YYYY-MM-DD")&amp;F177,'Outreach Log'!$L:$L,0)),"")</f>
        <v>Email</v>
      </c>
      <c r="M177" s="6" t="str">
        <f>IFERROR(HYPERLINK("#'Outreach Log'!A"&amp;MATCH(TEXT(K177,"YYYY-MM-DD")&amp;F177,'Outreach Log'!$L:$L,0),"→ View"),"—")</f>
        <v>→ View</v>
      </c>
      <c r="N177" s="6" t="str">
        <f>IFERROR(HYPERLINK("#Companies!A"&amp;MATCH(E177,Companies!$B:$B,0),"→ View"),"—")</f>
        <v>→ View</v>
      </c>
    </row>
    <row r="178" spans="1:14">
      <c r="A178" s="9">
        <f>IF(tblContacts[[#This Row],[First Name]]&lt;&gt;0,ROW()-1,"")</f>
        <v>177</v>
      </c>
      <c r="B178" s="50" t="s">
        <v>1346</v>
      </c>
      <c r="C178" s="50" t="s">
        <v>728</v>
      </c>
      <c r="D178" s="10"/>
      <c r="E178" s="10" t="s">
        <v>2293</v>
      </c>
      <c r="F178" s="10" t="s">
        <v>1347</v>
      </c>
      <c r="G178" s="10"/>
      <c r="H178" s="10" t="s">
        <v>2824</v>
      </c>
      <c r="I178" s="10" t="s">
        <v>2171</v>
      </c>
      <c r="J178" s="10"/>
      <c r="K178" s="7" t="str" cm="1">
        <f t="array" ref="K178">IFERROR(LOOKUP(2,1/('Outreach Log'!$C$2:$C$9998=F178),'Outreach Log'!$B$2:$B$9998),"")</f>
        <v/>
      </c>
      <c r="L178" s="5" t="str">
        <f>IFERROR(INDEX('Outreach Log'!$F:$F,MATCH(TEXT(K178,"YYYY-MM-DD")&amp;F178,'Outreach Log'!$L:$L,0)),"")</f>
        <v/>
      </c>
      <c r="M178" s="6" t="str">
        <f>IFERROR(HYPERLINK("#'Outreach Log'!A"&amp;MATCH(TEXT(K178,"YYYY-MM-DD")&amp;F178,'Outreach Log'!$L:$L,0),"→ View"),"—")</f>
        <v>—</v>
      </c>
      <c r="N178" s="6" t="str">
        <f>IFERROR(HYPERLINK("#Companies!A"&amp;MATCH(E178,Companies!$B:$B,0),"→ View"),"—")</f>
        <v>→ View</v>
      </c>
    </row>
    <row r="179" spans="1:14">
      <c r="A179" s="9">
        <f>IF(tblContacts[[#This Row],[First Name]]&lt;&gt;0,ROW()-1,"")</f>
        <v>178</v>
      </c>
      <c r="B179" s="55" t="s">
        <v>2851</v>
      </c>
      <c r="C179" s="55" t="s">
        <v>2852</v>
      </c>
      <c r="E179" s="10" t="s">
        <v>2870</v>
      </c>
      <c r="F179" s="10" t="s">
        <v>2853</v>
      </c>
      <c r="H179" s="10" t="s">
        <v>2824</v>
      </c>
      <c r="I179" s="44" t="s">
        <v>2873</v>
      </c>
      <c r="K179" s="7" t="str" cm="1">
        <f t="array" ref="K179">IFERROR(LOOKUP(2,1/('Outreach Log'!$C$2:$C$9998=F179),'Outreach Log'!$B$2:$B$9998),"")</f>
        <v/>
      </c>
      <c r="L179" s="5" t="str">
        <f>IFERROR(INDEX('Outreach Log'!$F:$F,MATCH(TEXT(K179,"YYYY-MM-DD")&amp;F179,'Outreach Log'!$L:$L,0)),"")</f>
        <v/>
      </c>
      <c r="M179" s="6" t="str">
        <f>IFERROR(HYPERLINK("#'Outreach Log'!A"&amp;MATCH(TEXT(K179,"YYYY-MM-DD")&amp;F179,'Outreach Log'!$L:$L,0),"→ View"),"—")</f>
        <v>—</v>
      </c>
      <c r="N179" s="6" t="str">
        <f>IFERROR(HYPERLINK("#Companies!A"&amp;MATCH(E179,Companies!$B:$B,0),"→ View"),"—")</f>
        <v>—</v>
      </c>
    </row>
    <row r="180" spans="1:14">
      <c r="A180" s="9">
        <f>IF(tblContacts[[#This Row],[First Name]]&lt;&gt;0,ROW()-1,"")</f>
        <v>179</v>
      </c>
      <c r="B180" s="50" t="s">
        <v>1348</v>
      </c>
      <c r="C180" s="50" t="s">
        <v>1350</v>
      </c>
      <c r="D180" s="10" t="s">
        <v>1351</v>
      </c>
      <c r="E180" s="10" t="s">
        <v>395</v>
      </c>
      <c r="F180" s="10" t="s">
        <v>1352</v>
      </c>
      <c r="G180" s="10"/>
      <c r="H180" s="10" t="s">
        <v>2824</v>
      </c>
      <c r="I180" s="10" t="s">
        <v>13</v>
      </c>
      <c r="J180" s="10"/>
      <c r="K180" s="7" t="str" cm="1">
        <f t="array" ref="K180">IFERROR(LOOKUP(2,1/('Outreach Log'!$C$2:$C$9998=F180),'Outreach Log'!$B$2:$B$9998),"")</f>
        <v/>
      </c>
      <c r="L180" s="5" t="str">
        <f>IFERROR(INDEX('Outreach Log'!$F:$F,MATCH(TEXT(K180,"YYYY-MM-DD")&amp;F180,'Outreach Log'!$L:$L,0)),"")</f>
        <v/>
      </c>
      <c r="M180" s="6" t="str">
        <f>IFERROR(HYPERLINK("#'Outreach Log'!A"&amp;MATCH(TEXT(K180,"YYYY-MM-DD")&amp;F180,'Outreach Log'!$L:$L,0),"→ View"),"—")</f>
        <v>—</v>
      </c>
      <c r="N180" s="6" t="str">
        <f>IFERROR(HYPERLINK("#Companies!A"&amp;MATCH(E180,Companies!$B:$B,0),"→ View"),"—")</f>
        <v>→ View</v>
      </c>
    </row>
    <row r="181" spans="1:14">
      <c r="A181" s="9">
        <f>IF(tblContacts[[#This Row],[First Name]]&lt;&gt;0,ROW()-1,"")</f>
        <v>180</v>
      </c>
      <c r="B181" s="50" t="s">
        <v>1348</v>
      </c>
      <c r="C181" s="50" t="s">
        <v>1353</v>
      </c>
      <c r="D181" s="10"/>
      <c r="E181" s="10" t="s">
        <v>396</v>
      </c>
      <c r="F181" s="10" t="s">
        <v>1354</v>
      </c>
      <c r="G181" s="10"/>
      <c r="H181" s="10" t="s">
        <v>2824</v>
      </c>
      <c r="I181" s="10" t="s">
        <v>13</v>
      </c>
      <c r="J181" s="10"/>
      <c r="K181" s="7" t="str" cm="1">
        <f t="array" ref="K181">IFERROR(LOOKUP(2,1/('Outreach Log'!$C$2:$C$9998=F181),'Outreach Log'!$B$2:$B$9998),"")</f>
        <v/>
      </c>
      <c r="L181" s="5" t="str">
        <f>IFERROR(INDEX('Outreach Log'!$F:$F,MATCH(TEXT(K181,"YYYY-MM-DD")&amp;F181,'Outreach Log'!$L:$L,0)),"")</f>
        <v/>
      </c>
      <c r="M181" s="6" t="str">
        <f>IFERROR(HYPERLINK("#'Outreach Log'!A"&amp;MATCH(TEXT(K181,"YYYY-MM-DD")&amp;F181,'Outreach Log'!$L:$L,0),"→ View"),"—")</f>
        <v>—</v>
      </c>
      <c r="N181" s="6" t="str">
        <f>IFERROR(HYPERLINK("#Companies!A"&amp;MATCH(E181,Companies!$B:$B,0),"→ View"),"—")</f>
        <v>→ View</v>
      </c>
    </row>
    <row r="182" spans="1:14">
      <c r="A182" s="9">
        <f>IF(tblContacts[[#This Row],[First Name]]&lt;&gt;0,ROW()-1,"")</f>
        <v>181</v>
      </c>
      <c r="B182" s="50" t="s">
        <v>1135</v>
      </c>
      <c r="C182" s="50" t="s">
        <v>1355</v>
      </c>
      <c r="D182" s="10"/>
      <c r="E182" s="10" t="s">
        <v>2294</v>
      </c>
      <c r="F182" s="10" t="s">
        <v>1356</v>
      </c>
      <c r="G182" s="10"/>
      <c r="H182" s="10" t="s">
        <v>2824</v>
      </c>
      <c r="I182" s="10" t="s">
        <v>2171</v>
      </c>
      <c r="J182" s="10"/>
      <c r="K182" s="7" t="str" cm="1">
        <f t="array" ref="K182">IFERROR(LOOKUP(2,1/('Outreach Log'!$C$2:$C$9998=F182),'Outreach Log'!$B$2:$B$9998),"")</f>
        <v/>
      </c>
      <c r="L182" s="5" t="str">
        <f>IFERROR(INDEX('Outreach Log'!$F:$F,MATCH(TEXT(K182,"YYYY-MM-DD")&amp;F182,'Outreach Log'!$L:$L,0)),"")</f>
        <v/>
      </c>
      <c r="M182" s="6" t="str">
        <f>IFERROR(HYPERLINK("#'Outreach Log'!A"&amp;MATCH(TEXT(K182,"YYYY-MM-DD")&amp;F182,'Outreach Log'!$L:$L,0),"→ View"),"—")</f>
        <v>—</v>
      </c>
      <c r="N182" s="6" t="str">
        <f>IFERROR(HYPERLINK("#Companies!A"&amp;MATCH(E182,Companies!$B:$B,0),"→ View"),"—")</f>
        <v>→ View</v>
      </c>
    </row>
    <row r="183" spans="1:14">
      <c r="A183" s="9">
        <f>IF(tblContacts[[#This Row],[First Name]]&lt;&gt;0,ROW()-1,"")</f>
        <v>182</v>
      </c>
      <c r="B183" s="50" t="s">
        <v>1357</v>
      </c>
      <c r="C183" s="50" t="s">
        <v>1358</v>
      </c>
      <c r="D183" s="10"/>
      <c r="E183" s="10" t="s">
        <v>2295</v>
      </c>
      <c r="F183" s="10" t="s">
        <v>1359</v>
      </c>
      <c r="G183" s="10"/>
      <c r="H183" s="10" t="s">
        <v>2824</v>
      </c>
      <c r="I183" s="10" t="s">
        <v>2171</v>
      </c>
      <c r="J183" s="10"/>
      <c r="K183" s="7" t="str" cm="1">
        <f t="array" ref="K183">IFERROR(LOOKUP(2,1/('Outreach Log'!$C$2:$C$9998=F183),'Outreach Log'!$B$2:$B$9998),"")</f>
        <v/>
      </c>
      <c r="L183" s="5" t="str">
        <f>IFERROR(INDEX('Outreach Log'!$F:$F,MATCH(TEXT(K183,"YYYY-MM-DD")&amp;F183,'Outreach Log'!$L:$L,0)),"")</f>
        <v/>
      </c>
      <c r="M183" s="6" t="str">
        <f>IFERROR(HYPERLINK("#'Outreach Log'!A"&amp;MATCH(TEXT(K183,"YYYY-MM-DD")&amp;F183,'Outreach Log'!$L:$L,0),"→ View"),"—")</f>
        <v>—</v>
      </c>
      <c r="N183" s="6" t="str">
        <f>IFERROR(HYPERLINK("#Companies!A"&amp;MATCH(E183,Companies!$B:$B,0),"→ View"),"—")</f>
        <v>→ View</v>
      </c>
    </row>
    <row r="184" spans="1:14">
      <c r="A184" s="9">
        <f>IF(tblContacts[[#This Row],[First Name]]&lt;&gt;0,ROW()-1,"")</f>
        <v>183</v>
      </c>
      <c r="B184" s="50" t="s">
        <v>1357</v>
      </c>
      <c r="C184" s="50" t="s">
        <v>1360</v>
      </c>
      <c r="D184" s="10"/>
      <c r="E184" s="10" t="s">
        <v>400</v>
      </c>
      <c r="F184" s="10" t="s">
        <v>1361</v>
      </c>
      <c r="G184" s="10"/>
      <c r="H184" s="10" t="s">
        <v>2824</v>
      </c>
      <c r="I184" s="10" t="s">
        <v>2171</v>
      </c>
      <c r="J184" s="10"/>
      <c r="K184" s="7" t="str" cm="1">
        <f t="array" ref="K184">IFERROR(LOOKUP(2,1/('Outreach Log'!$C$2:$C$9998=F184),'Outreach Log'!$B$2:$B$9998),"")</f>
        <v/>
      </c>
      <c r="L184" s="5" t="str">
        <f>IFERROR(INDEX('Outreach Log'!$F:$F,MATCH(TEXT(K184,"YYYY-MM-DD")&amp;F184,'Outreach Log'!$L:$L,0)),"")</f>
        <v/>
      </c>
      <c r="M184" s="6" t="str">
        <f>IFERROR(HYPERLINK("#'Outreach Log'!A"&amp;MATCH(TEXT(K184,"YYYY-MM-DD")&amp;F184,'Outreach Log'!$L:$L,0),"→ View"),"—")</f>
        <v>—</v>
      </c>
      <c r="N184" s="6" t="str">
        <f>IFERROR(HYPERLINK("#Companies!A"&amp;MATCH(E184,Companies!$B:$B,0),"→ View"),"—")</f>
        <v>→ View</v>
      </c>
    </row>
    <row r="185" spans="1:14">
      <c r="A185" s="9">
        <f>IF(tblContacts[[#This Row],[First Name]]&lt;&gt;0,ROW()-1,"")</f>
        <v>184</v>
      </c>
      <c r="B185" s="50" t="s">
        <v>1362</v>
      </c>
      <c r="C185" s="50" t="s">
        <v>1363</v>
      </c>
      <c r="D185" s="10"/>
      <c r="E185" s="10" t="s">
        <v>2296</v>
      </c>
      <c r="F185" s="10" t="s">
        <v>1364</v>
      </c>
      <c r="G185" s="10"/>
      <c r="H185" s="10" t="s">
        <v>2824</v>
      </c>
      <c r="I185" s="10" t="s">
        <v>2171</v>
      </c>
      <c r="J185" s="10"/>
      <c r="K185" s="7" t="str" cm="1">
        <f t="array" ref="K185">IFERROR(LOOKUP(2,1/('Outreach Log'!$C$2:$C$9998=F185),'Outreach Log'!$B$2:$B$9998),"")</f>
        <v/>
      </c>
      <c r="L185" s="5" t="str">
        <f>IFERROR(INDEX('Outreach Log'!$F:$F,MATCH(TEXT(K185,"YYYY-MM-DD")&amp;F185,'Outreach Log'!$L:$L,0)),"")</f>
        <v/>
      </c>
      <c r="M185" s="6" t="str">
        <f>IFERROR(HYPERLINK("#'Outreach Log'!A"&amp;MATCH(TEXT(K185,"YYYY-MM-DD")&amp;F185,'Outreach Log'!$L:$L,0),"→ View"),"—")</f>
        <v>—</v>
      </c>
      <c r="N185" s="6" t="str">
        <f>IFERROR(HYPERLINK("#Companies!A"&amp;MATCH(E185,Companies!$B:$B,0),"→ View"),"—")</f>
        <v>→ View</v>
      </c>
    </row>
    <row r="186" spans="1:14">
      <c r="A186" s="9">
        <f>IF(tblContacts[[#This Row],[First Name]]&lt;&gt;0,ROW()-1,"")</f>
        <v>185</v>
      </c>
      <c r="B186" s="50" t="s">
        <v>1362</v>
      </c>
      <c r="C186" s="50" t="s">
        <v>1365</v>
      </c>
      <c r="D186" s="10"/>
      <c r="E186" s="10" t="s">
        <v>2297</v>
      </c>
      <c r="F186" s="10" t="s">
        <v>1366</v>
      </c>
      <c r="G186" s="10"/>
      <c r="H186" s="10" t="s">
        <v>2824</v>
      </c>
      <c r="I186" s="10" t="s">
        <v>2171</v>
      </c>
      <c r="J186" s="10"/>
      <c r="K186" s="7" t="str" cm="1">
        <f t="array" ref="K186">IFERROR(LOOKUP(2,1/('Outreach Log'!$C$2:$C$9998=F186),'Outreach Log'!$B$2:$B$9998),"")</f>
        <v/>
      </c>
      <c r="L186" s="5" t="str">
        <f>IFERROR(INDEX('Outreach Log'!$F:$F,MATCH(TEXT(K186,"YYYY-MM-DD")&amp;F186,'Outreach Log'!$L:$L,0)),"")</f>
        <v/>
      </c>
      <c r="M186" s="6" t="str">
        <f>IFERROR(HYPERLINK("#'Outreach Log'!A"&amp;MATCH(TEXT(K186,"YYYY-MM-DD")&amp;F186,'Outreach Log'!$L:$L,0),"→ View"),"—")</f>
        <v>—</v>
      </c>
      <c r="N186" s="6" t="str">
        <f>IFERROR(HYPERLINK("#Companies!A"&amp;MATCH(E186,Companies!$B:$B,0),"→ View"),"—")</f>
        <v>→ View</v>
      </c>
    </row>
    <row r="187" spans="1:14">
      <c r="A187" s="9">
        <f>IF(tblContacts[[#This Row],[First Name]]&lt;&gt;0,ROW()-1,"")</f>
        <v>186</v>
      </c>
      <c r="B187" s="55" t="s">
        <v>2833</v>
      </c>
      <c r="C187" s="55" t="s">
        <v>2834</v>
      </c>
      <c r="E187" s="10" t="s">
        <v>203</v>
      </c>
      <c r="F187" s="10" t="s">
        <v>2835</v>
      </c>
      <c r="H187" s="10" t="s">
        <v>2824</v>
      </c>
      <c r="I187" s="44" t="s">
        <v>2873</v>
      </c>
      <c r="K187" s="7" t="str" cm="1">
        <f t="array" ref="K187">IFERROR(LOOKUP(2,1/('Outreach Log'!$C$2:$C$9998=F187),'Outreach Log'!$B$2:$B$9998),"")</f>
        <v/>
      </c>
      <c r="L187" s="5" t="str">
        <f>IFERROR(INDEX('Outreach Log'!$F:$F,MATCH(TEXT(K187,"YYYY-MM-DD")&amp;F187,'Outreach Log'!$L:$L,0)),"")</f>
        <v/>
      </c>
      <c r="M187" s="6" t="str">
        <f>IFERROR(HYPERLINK("#'Outreach Log'!A"&amp;MATCH(TEXT(K187,"YYYY-MM-DD")&amp;F187,'Outreach Log'!$L:$L,0),"→ View"),"—")</f>
        <v>—</v>
      </c>
      <c r="N187" s="6" t="str">
        <f>IFERROR(HYPERLINK("#Companies!A"&amp;MATCH(E187,Companies!$B:$B,0),"→ View"),"—")</f>
        <v>→ View</v>
      </c>
    </row>
    <row r="188" spans="1:14">
      <c r="A188" s="9">
        <f>IF(tblContacts[[#This Row],[First Name]]&lt;&gt;0,ROW()-1,"")</f>
        <v>187</v>
      </c>
      <c r="B188" s="50" t="s">
        <v>898</v>
      </c>
      <c r="C188" s="50" t="s">
        <v>2298</v>
      </c>
      <c r="D188" s="10"/>
      <c r="E188" s="10" t="s">
        <v>405</v>
      </c>
      <c r="F188" s="10" t="s">
        <v>1368</v>
      </c>
      <c r="G188" s="10"/>
      <c r="H188" s="10" t="s">
        <v>2824</v>
      </c>
      <c r="I188" s="10" t="s">
        <v>2171</v>
      </c>
      <c r="J188" s="10"/>
      <c r="K188" s="7" cm="1">
        <f t="array" ref="K188">IFERROR(LOOKUP(2,1/('Outreach Log'!$C$2:$C$9998=F188),'Outreach Log'!$B$2:$B$9998),"")</f>
        <v>46126</v>
      </c>
      <c r="L188" s="5" t="str">
        <f>IFERROR(INDEX('Outreach Log'!$F:$F,MATCH(TEXT(K188,"YYYY-MM-DD")&amp;F188,'Outreach Log'!$L:$L,0)),"")</f>
        <v>Email</v>
      </c>
      <c r="M188" s="6" t="str">
        <f>IFERROR(HYPERLINK("#'Outreach Log'!A"&amp;MATCH(TEXT(K188,"YYYY-MM-DD")&amp;F188,'Outreach Log'!$L:$L,0),"→ View"),"—")</f>
        <v>→ View</v>
      </c>
      <c r="N188" s="6" t="str">
        <f>IFERROR(HYPERLINK("#Companies!A"&amp;MATCH(E188,Companies!$B:$B,0),"→ View"),"—")</f>
        <v>→ View</v>
      </c>
    </row>
    <row r="189" spans="1:14">
      <c r="A189" s="9">
        <f>IF(tblContacts[[#This Row],[First Name]]&lt;&gt;0,ROW()-1,"")</f>
        <v>188</v>
      </c>
      <c r="B189" s="50" t="s">
        <v>1370</v>
      </c>
      <c r="C189" s="50" t="s">
        <v>1371</v>
      </c>
      <c r="D189" s="10" t="s">
        <v>1372</v>
      </c>
      <c r="E189" s="10" t="s">
        <v>249</v>
      </c>
      <c r="F189" s="10" t="s">
        <v>1373</v>
      </c>
      <c r="G189" s="10"/>
      <c r="H189" s="10" t="s">
        <v>2824</v>
      </c>
      <c r="I189" s="10" t="s">
        <v>13</v>
      </c>
      <c r="J189" s="10"/>
      <c r="K189" s="7" cm="1">
        <f t="array" ref="K189">IFERROR(LOOKUP(2,1/('Outreach Log'!$C$2:$C$9998=F189),'Outreach Log'!$B$2:$B$9998),"")</f>
        <v>46126</v>
      </c>
      <c r="L189" s="5" t="str">
        <f>IFERROR(INDEX('Outreach Log'!$F:$F,MATCH(TEXT(K189,"YYYY-MM-DD")&amp;F189,'Outreach Log'!$L:$L,0)),"")</f>
        <v>Email</v>
      </c>
      <c r="M189" s="6" t="str">
        <f>IFERROR(HYPERLINK("#'Outreach Log'!A"&amp;MATCH(TEXT(K189,"YYYY-MM-DD")&amp;F189,'Outreach Log'!$L:$L,0),"→ View"),"—")</f>
        <v>→ View</v>
      </c>
      <c r="N189" s="6" t="str">
        <f>IFERROR(HYPERLINK("#Companies!A"&amp;MATCH(E189,Companies!$B:$B,0),"→ View"),"—")</f>
        <v>→ View</v>
      </c>
    </row>
    <row r="190" spans="1:14">
      <c r="A190" s="9">
        <f>IF(tblContacts[[#This Row],[First Name]]&lt;&gt;0,ROW()-1,"")</f>
        <v>189</v>
      </c>
      <c r="B190" s="50" t="s">
        <v>1376</v>
      </c>
      <c r="C190" s="50" t="s">
        <v>1377</v>
      </c>
      <c r="D190" s="10"/>
      <c r="E190" s="10" t="s">
        <v>2299</v>
      </c>
      <c r="F190" s="10" t="s">
        <v>1378</v>
      </c>
      <c r="G190" s="10"/>
      <c r="H190" s="10" t="s">
        <v>2824</v>
      </c>
      <c r="I190" s="10" t="s">
        <v>2171</v>
      </c>
      <c r="J190" s="10"/>
      <c r="K190" s="7" t="str" cm="1">
        <f t="array" ref="K190">IFERROR(LOOKUP(2,1/('Outreach Log'!$C$2:$C$9998=F190),'Outreach Log'!$B$2:$B$9998),"")</f>
        <v/>
      </c>
      <c r="L190" s="5" t="str">
        <f>IFERROR(INDEX('Outreach Log'!$F:$F,MATCH(TEXT(K190,"YYYY-MM-DD")&amp;F190,'Outreach Log'!$L:$L,0)),"")</f>
        <v/>
      </c>
      <c r="M190" s="6" t="str">
        <f>IFERROR(HYPERLINK("#'Outreach Log'!A"&amp;MATCH(TEXT(K190,"YYYY-MM-DD")&amp;F190,'Outreach Log'!$L:$L,0),"→ View"),"—")</f>
        <v>—</v>
      </c>
      <c r="N190" s="6" t="str">
        <f>IFERROR(HYPERLINK("#Companies!A"&amp;MATCH(E190,Companies!$B:$B,0),"→ View"),"—")</f>
        <v>→ View</v>
      </c>
    </row>
    <row r="191" spans="1:14">
      <c r="A191" s="9">
        <f>IF(tblContacts[[#This Row],[First Name]]&lt;&gt;0,ROW()-1,"")</f>
        <v>190</v>
      </c>
      <c r="B191" s="50" t="s">
        <v>1384</v>
      </c>
      <c r="C191" s="50" t="s">
        <v>1385</v>
      </c>
      <c r="D191" s="10"/>
      <c r="E191" s="10" t="s">
        <v>409</v>
      </c>
      <c r="F191" s="10" t="s">
        <v>1386</v>
      </c>
      <c r="G191" s="10"/>
      <c r="H191" s="10" t="s">
        <v>2824</v>
      </c>
      <c r="I191" s="10" t="s">
        <v>2171</v>
      </c>
      <c r="J191" s="10"/>
      <c r="K191" s="7" t="str" cm="1">
        <f t="array" ref="K191">IFERROR(LOOKUP(2,1/('Outreach Log'!$C$2:$C$9998=F191),'Outreach Log'!$B$2:$B$9998),"")</f>
        <v/>
      </c>
      <c r="L191" s="5" t="str">
        <f>IFERROR(INDEX('Outreach Log'!$F:$F,MATCH(TEXT(K191,"YYYY-MM-DD")&amp;F191,'Outreach Log'!$L:$L,0)),"")</f>
        <v/>
      </c>
      <c r="M191" s="6" t="str">
        <f>IFERROR(HYPERLINK("#'Outreach Log'!A"&amp;MATCH(TEXT(K191,"YYYY-MM-DD")&amp;F191,'Outreach Log'!$L:$L,0),"→ View"),"—")</f>
        <v>—</v>
      </c>
      <c r="N191" s="6" t="str">
        <f>IFERROR(HYPERLINK("#Companies!A"&amp;MATCH(E191,Companies!$B:$B,0),"→ View"),"—")</f>
        <v>→ View</v>
      </c>
    </row>
    <row r="192" spans="1:14">
      <c r="A192" s="9">
        <f>IF(tblContacts[[#This Row],[First Name]]&lt;&gt;0,ROW()-1,"")</f>
        <v>191</v>
      </c>
      <c r="B192" s="50" t="s">
        <v>767</v>
      </c>
      <c r="C192" s="50" t="s">
        <v>1387</v>
      </c>
      <c r="D192" s="10"/>
      <c r="E192" s="10" t="s">
        <v>2300</v>
      </c>
      <c r="F192" s="10" t="s">
        <v>1388</v>
      </c>
      <c r="G192" s="10"/>
      <c r="H192" s="10" t="s">
        <v>2824</v>
      </c>
      <c r="I192" s="10" t="s">
        <v>2171</v>
      </c>
      <c r="J192" s="10"/>
      <c r="K192" s="7" cm="1">
        <f t="array" ref="K192">IFERROR(LOOKUP(2,1/('Outreach Log'!$C$2:$C$9998=F192),'Outreach Log'!$B$2:$B$9998),"")</f>
        <v>46126</v>
      </c>
      <c r="L192" s="5" t="str">
        <f>IFERROR(INDEX('Outreach Log'!$F:$F,MATCH(TEXT(K192,"YYYY-MM-DD")&amp;F192,'Outreach Log'!$L:$L,0)),"")</f>
        <v>Email</v>
      </c>
      <c r="M192" s="6" t="str">
        <f>IFERROR(HYPERLINK("#'Outreach Log'!A"&amp;MATCH(TEXT(K192,"YYYY-MM-DD")&amp;F192,'Outreach Log'!$L:$L,0),"→ View"),"—")</f>
        <v>→ View</v>
      </c>
      <c r="N192" s="6" t="str">
        <f>IFERROR(HYPERLINK("#Companies!A"&amp;MATCH(E192,Companies!$B:$B,0),"→ View"),"—")</f>
        <v>→ View</v>
      </c>
    </row>
    <row r="193" spans="1:14">
      <c r="A193" s="9">
        <f>IF(tblContacts[[#This Row],[First Name]]&lt;&gt;0,ROW()-1,"")</f>
        <v>192</v>
      </c>
      <c r="B193" s="50" t="s">
        <v>1389</v>
      </c>
      <c r="C193" s="50" t="s">
        <v>1186</v>
      </c>
      <c r="D193" s="10"/>
      <c r="E193" s="10" t="s">
        <v>412</v>
      </c>
      <c r="F193" s="10" t="s">
        <v>1390</v>
      </c>
      <c r="G193" s="10"/>
      <c r="H193" s="10" t="s">
        <v>2824</v>
      </c>
      <c r="I193" s="10" t="s">
        <v>13</v>
      </c>
      <c r="J193" s="10"/>
      <c r="K193" s="7" t="str" cm="1">
        <f t="array" ref="K193">IFERROR(LOOKUP(2,1/('Outreach Log'!$C$2:$C$9998=F193),'Outreach Log'!$B$2:$B$9998),"")</f>
        <v/>
      </c>
      <c r="L193" s="5" t="str">
        <f>IFERROR(INDEX('Outreach Log'!$F:$F,MATCH(TEXT(K193,"YYYY-MM-DD")&amp;F193,'Outreach Log'!$L:$L,0)),"")</f>
        <v/>
      </c>
      <c r="M193" s="6" t="str">
        <f>IFERROR(HYPERLINK("#'Outreach Log'!A"&amp;MATCH(TEXT(K193,"YYYY-MM-DD")&amp;F193,'Outreach Log'!$L:$L,0),"→ View"),"—")</f>
        <v>—</v>
      </c>
      <c r="N193" s="6" t="str">
        <f>IFERROR(HYPERLINK("#Companies!A"&amp;MATCH(E193,Companies!$B:$B,0),"→ View"),"—")</f>
        <v>→ View</v>
      </c>
    </row>
    <row r="194" spans="1:14">
      <c r="A194" s="9">
        <f>IF(tblContacts[[#This Row],[First Name]]&lt;&gt;0,ROW()-1,"")</f>
        <v>193</v>
      </c>
      <c r="B194" s="50" t="s">
        <v>1394</v>
      </c>
      <c r="C194" s="50" t="s">
        <v>1395</v>
      </c>
      <c r="D194" s="10"/>
      <c r="E194" s="10" t="s">
        <v>416</v>
      </c>
      <c r="F194" s="10" t="s">
        <v>1396</v>
      </c>
      <c r="G194" s="10"/>
      <c r="H194" s="10" t="s">
        <v>2824</v>
      </c>
      <c r="I194" s="10" t="s">
        <v>2171</v>
      </c>
      <c r="J194" s="10"/>
      <c r="K194" s="7" t="str" cm="1">
        <f t="array" ref="K194">IFERROR(LOOKUP(2,1/('Outreach Log'!$C$2:$C$9998=F194),'Outreach Log'!$B$2:$B$9998),"")</f>
        <v/>
      </c>
      <c r="L194" s="5" t="str">
        <f>IFERROR(INDEX('Outreach Log'!$F:$F,MATCH(TEXT(K194,"YYYY-MM-DD")&amp;F194,'Outreach Log'!$L:$L,0)),"")</f>
        <v/>
      </c>
      <c r="M194" s="6" t="str">
        <f>IFERROR(HYPERLINK("#'Outreach Log'!A"&amp;MATCH(TEXT(K194,"YYYY-MM-DD")&amp;F194,'Outreach Log'!$L:$L,0),"→ View"),"—")</f>
        <v>—</v>
      </c>
      <c r="N194" s="6" t="str">
        <f>IFERROR(HYPERLINK("#Companies!A"&amp;MATCH(E194,Companies!$B:$B,0),"→ View"),"—")</f>
        <v>→ View</v>
      </c>
    </row>
    <row r="195" spans="1:14">
      <c r="A195" s="9">
        <f>IF(tblContacts[[#This Row],[First Name]]&lt;&gt;0,ROW()-1,"")</f>
        <v>194</v>
      </c>
      <c r="B195" s="50" t="s">
        <v>1397</v>
      </c>
      <c r="C195" s="50" t="s">
        <v>1398</v>
      </c>
      <c r="D195" s="10"/>
      <c r="E195" s="10" t="s">
        <v>2301</v>
      </c>
      <c r="F195" s="10" t="s">
        <v>1399</v>
      </c>
      <c r="G195" s="10"/>
      <c r="H195" s="10" t="s">
        <v>2824</v>
      </c>
      <c r="I195" s="10" t="s">
        <v>2171</v>
      </c>
      <c r="J195" s="10"/>
      <c r="K195" s="7" cm="1">
        <f t="array" ref="K195">IFERROR(LOOKUP(2,1/('Outreach Log'!$C$2:$C$9998=F195),'Outreach Log'!$B$2:$B$9998),"")</f>
        <v>46126</v>
      </c>
      <c r="L195" s="5" t="str">
        <f>IFERROR(INDEX('Outreach Log'!$F:$F,MATCH(TEXT(K195,"YYYY-MM-DD")&amp;F195,'Outreach Log'!$L:$L,0)),"")</f>
        <v>Email</v>
      </c>
      <c r="M195" s="6" t="str">
        <f>IFERROR(HYPERLINK("#'Outreach Log'!A"&amp;MATCH(TEXT(K195,"YYYY-MM-DD")&amp;F195,'Outreach Log'!$L:$L,0),"→ View"),"—")</f>
        <v>→ View</v>
      </c>
      <c r="N195" s="6" t="str">
        <f>IFERROR(HYPERLINK("#Companies!A"&amp;MATCH(E195,Companies!$B:$B,0),"→ View"),"—")</f>
        <v>→ View</v>
      </c>
    </row>
    <row r="196" spans="1:14">
      <c r="A196" s="9">
        <f>IF(tblContacts[[#This Row],[First Name]]&lt;&gt;0,ROW()-1,"")</f>
        <v>195</v>
      </c>
      <c r="B196" s="50" t="s">
        <v>1408</v>
      </c>
      <c r="C196" s="50" t="s">
        <v>1409</v>
      </c>
      <c r="D196" s="10"/>
      <c r="E196" s="10" t="s">
        <v>2303</v>
      </c>
      <c r="F196" s="10" t="s">
        <v>1410</v>
      </c>
      <c r="G196" s="10"/>
      <c r="H196" s="10" t="s">
        <v>2824</v>
      </c>
      <c r="I196" s="10" t="s">
        <v>2171</v>
      </c>
      <c r="J196" s="10"/>
      <c r="K196" s="7" t="str" cm="1">
        <f t="array" ref="K196">IFERROR(LOOKUP(2,1/('Outreach Log'!$C$2:$C$9998=F196),'Outreach Log'!$B$2:$B$9998),"")</f>
        <v/>
      </c>
      <c r="L196" s="5" t="str">
        <f>IFERROR(INDEX('Outreach Log'!$F:$F,MATCH(TEXT(K196,"YYYY-MM-DD")&amp;F196,'Outreach Log'!$L:$L,0)),"")</f>
        <v/>
      </c>
      <c r="M196" s="6" t="str">
        <f>IFERROR(HYPERLINK("#'Outreach Log'!A"&amp;MATCH(TEXT(K196,"YYYY-MM-DD")&amp;F196,'Outreach Log'!$L:$L,0),"→ View"),"—")</f>
        <v>—</v>
      </c>
      <c r="N196" s="6" t="str">
        <f>IFERROR(HYPERLINK("#Companies!A"&amp;MATCH(E196,Companies!$B:$B,0),"→ View"),"—")</f>
        <v>→ View</v>
      </c>
    </row>
    <row r="197" spans="1:14">
      <c r="A197" s="9">
        <f>IF(tblContacts[[#This Row],[First Name]]&lt;&gt;0,ROW()-1,"")</f>
        <v>196</v>
      </c>
      <c r="B197" s="50" t="s">
        <v>1411</v>
      </c>
      <c r="C197" s="50" t="s">
        <v>2304</v>
      </c>
      <c r="D197" s="10"/>
      <c r="E197" s="10" t="s">
        <v>2305</v>
      </c>
      <c r="F197" s="10" t="s">
        <v>1413</v>
      </c>
      <c r="G197" s="10"/>
      <c r="H197" s="10" t="s">
        <v>2824</v>
      </c>
      <c r="I197" s="10" t="s">
        <v>2171</v>
      </c>
      <c r="J197" s="10"/>
      <c r="K197" s="7" t="str" cm="1">
        <f t="array" ref="K197">IFERROR(LOOKUP(2,1/('Outreach Log'!$C$2:$C$9998=F197),'Outreach Log'!$B$2:$B$9998),"")</f>
        <v/>
      </c>
      <c r="L197" s="5" t="str">
        <f>IFERROR(INDEX('Outreach Log'!$F:$F,MATCH(TEXT(K197,"YYYY-MM-DD")&amp;F197,'Outreach Log'!$L:$L,0)),"")</f>
        <v/>
      </c>
      <c r="M197" s="6" t="str">
        <f>IFERROR(HYPERLINK("#'Outreach Log'!A"&amp;MATCH(TEXT(K197,"YYYY-MM-DD")&amp;F197,'Outreach Log'!$L:$L,0),"→ View"),"—")</f>
        <v>—</v>
      </c>
      <c r="N197" s="6" t="str">
        <f>IFERROR(HYPERLINK("#Companies!A"&amp;MATCH(E197,Companies!$B:$B,0),"→ View"),"—")</f>
        <v>→ View</v>
      </c>
    </row>
    <row r="198" spans="1:14">
      <c r="A198" s="9">
        <f>IF(tblContacts[[#This Row],[First Name]]&lt;&gt;0,ROW()-1,"")</f>
        <v>197</v>
      </c>
      <c r="B198" s="50" t="s">
        <v>1414</v>
      </c>
      <c r="C198" s="50" t="s">
        <v>1415</v>
      </c>
      <c r="D198" s="10"/>
      <c r="E198" s="10" t="s">
        <v>2306</v>
      </c>
      <c r="F198" s="10" t="s">
        <v>1416</v>
      </c>
      <c r="G198" s="10"/>
      <c r="H198" s="10" t="s">
        <v>2824</v>
      </c>
      <c r="I198" s="10" t="s">
        <v>2171</v>
      </c>
      <c r="J198" s="10"/>
      <c r="K198" s="7" cm="1">
        <f t="array" ref="K198">IFERROR(LOOKUP(2,1/('Outreach Log'!$C$2:$C$9998=F198),'Outreach Log'!$B$2:$B$9998),"")</f>
        <v>46126</v>
      </c>
      <c r="L198" s="5" t="str">
        <f>IFERROR(INDEX('Outreach Log'!$F:$F,MATCH(TEXT(K198,"YYYY-MM-DD")&amp;F198,'Outreach Log'!$L:$L,0)),"")</f>
        <v>Email</v>
      </c>
      <c r="M198" s="6" t="str">
        <f>IFERROR(HYPERLINK("#'Outreach Log'!A"&amp;MATCH(TEXT(K198,"YYYY-MM-DD")&amp;F198,'Outreach Log'!$L:$L,0),"→ View"),"—")</f>
        <v>→ View</v>
      </c>
      <c r="N198" s="6" t="str">
        <f>IFERROR(HYPERLINK("#Companies!A"&amp;MATCH(E198,Companies!$B:$B,0),"→ View"),"—")</f>
        <v>→ View</v>
      </c>
    </row>
    <row r="199" spans="1:14">
      <c r="A199" s="9">
        <f>IF(tblContacts[[#This Row],[First Name]]&lt;&gt;0,ROW()-1,"")</f>
        <v>198</v>
      </c>
      <c r="B199" s="50" t="s">
        <v>1417</v>
      </c>
      <c r="C199" s="50" t="s">
        <v>1418</v>
      </c>
      <c r="D199" s="10"/>
      <c r="E199" s="10" t="s">
        <v>2307</v>
      </c>
      <c r="F199" s="10" t="s">
        <v>1419</v>
      </c>
      <c r="G199" s="10"/>
      <c r="H199" s="10" t="s">
        <v>2824</v>
      </c>
      <c r="I199" s="10" t="s">
        <v>2171</v>
      </c>
      <c r="J199" s="10"/>
      <c r="K199" s="7" t="str" cm="1">
        <f t="array" ref="K199">IFERROR(LOOKUP(2,1/('Outreach Log'!$C$2:$C$9998=F199),'Outreach Log'!$B$2:$B$9998),"")</f>
        <v/>
      </c>
      <c r="L199" s="5" t="str">
        <f>IFERROR(INDEX('Outreach Log'!$F:$F,MATCH(TEXT(K199,"YYYY-MM-DD")&amp;F199,'Outreach Log'!$L:$L,0)),"")</f>
        <v/>
      </c>
      <c r="M199" s="6" t="str">
        <f>IFERROR(HYPERLINK("#'Outreach Log'!A"&amp;MATCH(TEXT(K199,"YYYY-MM-DD")&amp;F199,'Outreach Log'!$L:$L,0),"→ View"),"—")</f>
        <v>—</v>
      </c>
      <c r="N199" s="6" t="str">
        <f>IFERROR(HYPERLINK("#Companies!A"&amp;MATCH(E199,Companies!$B:$B,0),"→ View"),"—")</f>
        <v>→ View</v>
      </c>
    </row>
    <row r="200" spans="1:14">
      <c r="A200" s="9">
        <f>IF(tblContacts[[#This Row],[First Name]]&lt;&gt;0,ROW()-1,"")</f>
        <v>199</v>
      </c>
      <c r="B200" s="50" t="s">
        <v>1420</v>
      </c>
      <c r="C200" s="50" t="s">
        <v>1421</v>
      </c>
      <c r="D200" s="10"/>
      <c r="E200" s="10" t="s">
        <v>2135</v>
      </c>
      <c r="F200" s="10" t="s">
        <v>1422</v>
      </c>
      <c r="G200" s="10"/>
      <c r="H200" s="10" t="s">
        <v>2824</v>
      </c>
      <c r="I200" s="10" t="s">
        <v>2171</v>
      </c>
      <c r="J200" s="10"/>
      <c r="K200" s="7" cm="1">
        <f t="array" ref="K200">IFERROR(LOOKUP(2,1/('Outreach Log'!$C$2:$C$9998=F200),'Outreach Log'!$B$2:$B$9998),"")</f>
        <v>46126</v>
      </c>
      <c r="L200" s="5" t="str">
        <f>IFERROR(INDEX('Outreach Log'!$F:$F,MATCH(TEXT(K200,"YYYY-MM-DD")&amp;F200,'Outreach Log'!$L:$L,0)),"")</f>
        <v>Email</v>
      </c>
      <c r="M200" s="6" t="str">
        <f>IFERROR(HYPERLINK("#'Outreach Log'!A"&amp;MATCH(TEXT(K200,"YYYY-MM-DD")&amp;F200,'Outreach Log'!$L:$L,0),"→ View"),"—")</f>
        <v>→ View</v>
      </c>
      <c r="N200" s="6" t="str">
        <f>IFERROR(HYPERLINK("#Companies!A"&amp;MATCH(E200,Companies!$B:$B,0),"→ View"),"—")</f>
        <v>→ View</v>
      </c>
    </row>
    <row r="201" spans="1:14">
      <c r="A201" s="9">
        <f>IF(tblContacts[[#This Row],[First Name]]&lt;&gt;0,ROW()-1,"")</f>
        <v>200</v>
      </c>
      <c r="B201" s="50" t="s">
        <v>1278</v>
      </c>
      <c r="C201" s="50" t="s">
        <v>1177</v>
      </c>
      <c r="D201" s="10"/>
      <c r="E201" s="10" t="s">
        <v>2308</v>
      </c>
      <c r="F201" s="10" t="s">
        <v>1423</v>
      </c>
      <c r="G201" s="10"/>
      <c r="H201" s="10" t="s">
        <v>2824</v>
      </c>
      <c r="I201" s="10" t="s">
        <v>2171</v>
      </c>
      <c r="J201" s="10"/>
      <c r="K201" s="7" cm="1">
        <f t="array" ref="K201">IFERROR(LOOKUP(2,1/('Outreach Log'!$C$2:$C$9998=F201),'Outreach Log'!$B$2:$B$9998),"")</f>
        <v>46126</v>
      </c>
      <c r="L201" s="5" t="str">
        <f>IFERROR(INDEX('Outreach Log'!$F:$F,MATCH(TEXT(K201,"YYYY-MM-DD")&amp;F201,'Outreach Log'!$L:$L,0)),"")</f>
        <v>Email</v>
      </c>
      <c r="M201" s="6" t="str">
        <f>IFERROR(HYPERLINK("#'Outreach Log'!A"&amp;MATCH(TEXT(K201,"YYYY-MM-DD")&amp;F201,'Outreach Log'!$L:$L,0),"→ View"),"—")</f>
        <v>→ View</v>
      </c>
      <c r="N201" s="6" t="str">
        <f>IFERROR(HYPERLINK("#Companies!A"&amp;MATCH(E201,Companies!$B:$B,0),"→ View"),"—")</f>
        <v>→ View</v>
      </c>
    </row>
    <row r="202" spans="1:14">
      <c r="A202" s="9">
        <f>IF(tblContacts[[#This Row],[First Name]]&lt;&gt;0,ROW()-1,"")</f>
        <v>201</v>
      </c>
      <c r="B202" s="50" t="s">
        <v>1004</v>
      </c>
      <c r="C202" s="50" t="s">
        <v>1424</v>
      </c>
      <c r="D202" s="10"/>
      <c r="E202" s="10" t="s">
        <v>2309</v>
      </c>
      <c r="F202" s="10" t="s">
        <v>1425</v>
      </c>
      <c r="G202" s="10"/>
      <c r="H202" s="10" t="s">
        <v>2824</v>
      </c>
      <c r="I202" s="10" t="s">
        <v>2171</v>
      </c>
      <c r="J202" s="10"/>
      <c r="K202" s="7" cm="1">
        <f t="array" ref="K202">IFERROR(LOOKUP(2,1/('Outreach Log'!$C$2:$C$9998=F202),'Outreach Log'!$B$2:$B$9998),"")</f>
        <v>46126</v>
      </c>
      <c r="L202" s="5" t="str">
        <f>IFERROR(INDEX('Outreach Log'!$F:$F,MATCH(TEXT(K202,"YYYY-MM-DD")&amp;F202,'Outreach Log'!$L:$L,0)),"")</f>
        <v>Email</v>
      </c>
      <c r="M202" s="6" t="str">
        <f>IFERROR(HYPERLINK("#'Outreach Log'!A"&amp;MATCH(TEXT(K202,"YYYY-MM-DD")&amp;F202,'Outreach Log'!$L:$L,0),"→ View"),"—")</f>
        <v>→ View</v>
      </c>
      <c r="N202" s="6" t="str">
        <f>IFERROR(HYPERLINK("#Companies!A"&amp;MATCH(E202,Companies!$B:$B,0),"→ View"),"—")</f>
        <v>→ View</v>
      </c>
    </row>
    <row r="203" spans="1:14">
      <c r="A203" s="9">
        <f>IF(tblContacts[[#This Row],[First Name]]&lt;&gt;0,ROW()-1,"")</f>
        <v>202</v>
      </c>
      <c r="B203" s="50" t="s">
        <v>1426</v>
      </c>
      <c r="C203" s="50" t="s">
        <v>1427</v>
      </c>
      <c r="D203" s="10"/>
      <c r="E203" s="10" t="s">
        <v>2310</v>
      </c>
      <c r="F203" s="10" t="s">
        <v>1428</v>
      </c>
      <c r="G203" s="10"/>
      <c r="H203" s="10" t="s">
        <v>2824</v>
      </c>
      <c r="I203" s="10" t="s">
        <v>2171</v>
      </c>
      <c r="J203" s="10"/>
      <c r="K203" s="7" cm="1">
        <f t="array" ref="K203">IFERROR(LOOKUP(2,1/('Outreach Log'!$C$2:$C$9998=F203),'Outreach Log'!$B$2:$B$9998),"")</f>
        <v>46126</v>
      </c>
      <c r="L203" s="5" t="str">
        <f>IFERROR(INDEX('Outreach Log'!$F:$F,MATCH(TEXT(K203,"YYYY-MM-DD")&amp;F203,'Outreach Log'!$L:$L,0)),"")</f>
        <v>Email</v>
      </c>
      <c r="M203" s="6" t="str">
        <f>IFERROR(HYPERLINK("#'Outreach Log'!A"&amp;MATCH(TEXT(K203,"YYYY-MM-DD")&amp;F203,'Outreach Log'!$L:$L,0),"→ View"),"—")</f>
        <v>→ View</v>
      </c>
      <c r="N203" s="6" t="str">
        <f>IFERROR(HYPERLINK("#Companies!A"&amp;MATCH(E203,Companies!$B:$B,0),"→ View"),"—")</f>
        <v>→ View</v>
      </c>
    </row>
    <row r="204" spans="1:14">
      <c r="A204" s="9">
        <f>IF(tblContacts[[#This Row],[First Name]]&lt;&gt;0,ROW()-1,"")</f>
        <v>203</v>
      </c>
      <c r="B204" s="50" t="s">
        <v>1429</v>
      </c>
      <c r="C204" s="50" t="s">
        <v>1430</v>
      </c>
      <c r="D204" s="10"/>
      <c r="E204" s="10" t="s">
        <v>2311</v>
      </c>
      <c r="F204" s="10" t="s">
        <v>1431</v>
      </c>
      <c r="G204" s="10"/>
      <c r="H204" s="10" t="s">
        <v>2824</v>
      </c>
      <c r="I204" s="10" t="s">
        <v>2171</v>
      </c>
      <c r="J204" s="10"/>
      <c r="K204" s="7" t="str" cm="1">
        <f t="array" ref="K204">IFERROR(LOOKUP(2,1/('Outreach Log'!$C$2:$C$9998=F204),'Outreach Log'!$B$2:$B$9998),"")</f>
        <v/>
      </c>
      <c r="L204" s="5" t="str">
        <f>IFERROR(INDEX('Outreach Log'!$F:$F,MATCH(TEXT(K204,"YYYY-MM-DD")&amp;F204,'Outreach Log'!$L:$L,0)),"")</f>
        <v/>
      </c>
      <c r="M204" s="6" t="str">
        <f>IFERROR(HYPERLINK("#'Outreach Log'!A"&amp;MATCH(TEXT(K204,"YYYY-MM-DD")&amp;F204,'Outreach Log'!$L:$L,0),"→ View"),"—")</f>
        <v>—</v>
      </c>
      <c r="N204" s="6" t="str">
        <f>IFERROR(HYPERLINK("#Companies!A"&amp;MATCH(E204,Companies!$B:$B,0),"→ View"),"—")</f>
        <v>→ View</v>
      </c>
    </row>
    <row r="205" spans="1:14">
      <c r="A205" s="9">
        <f>IF(tblContacts[[#This Row],[First Name]]&lt;&gt;0,ROW()-1,"")</f>
        <v>204</v>
      </c>
      <c r="B205" s="50" t="s">
        <v>784</v>
      </c>
      <c r="C205" s="50" t="s">
        <v>1438</v>
      </c>
      <c r="D205" s="10"/>
      <c r="E205" s="10" t="s">
        <v>2312</v>
      </c>
      <c r="F205" s="10" t="s">
        <v>1439</v>
      </c>
      <c r="G205" s="10"/>
      <c r="H205" s="10" t="s">
        <v>2824</v>
      </c>
      <c r="I205" s="10" t="s">
        <v>2171</v>
      </c>
      <c r="J205" s="10"/>
      <c r="K205" s="7" t="str" cm="1">
        <f t="array" ref="K205">IFERROR(LOOKUP(2,1/('Outreach Log'!$C$2:$C$9998=F205),'Outreach Log'!$B$2:$B$9998),"")</f>
        <v/>
      </c>
      <c r="L205" s="5" t="str">
        <f>IFERROR(INDEX('Outreach Log'!$F:$F,MATCH(TEXT(K205,"YYYY-MM-DD")&amp;F205,'Outreach Log'!$L:$L,0)),"")</f>
        <v/>
      </c>
      <c r="M205" s="6" t="str">
        <f>IFERROR(HYPERLINK("#'Outreach Log'!A"&amp;MATCH(TEXT(K205,"YYYY-MM-DD")&amp;F205,'Outreach Log'!$L:$L,0),"→ View"),"—")</f>
        <v>—</v>
      </c>
      <c r="N205" s="6" t="str">
        <f>IFERROR(HYPERLINK("#Companies!A"&amp;MATCH(E205,Companies!$B:$B,0),"→ View"),"—")</f>
        <v>→ View</v>
      </c>
    </row>
    <row r="206" spans="1:14">
      <c r="A206" s="9">
        <f>IF(tblContacts[[#This Row],[First Name]]&lt;&gt;0,ROW()-1,"")</f>
        <v>205</v>
      </c>
      <c r="B206" s="50" t="s">
        <v>784</v>
      </c>
      <c r="C206" s="50" t="s">
        <v>848</v>
      </c>
      <c r="D206" s="10"/>
      <c r="E206" s="10" t="s">
        <v>434</v>
      </c>
      <c r="F206" s="10" t="s">
        <v>1440</v>
      </c>
      <c r="G206" s="10"/>
      <c r="H206" s="10" t="s">
        <v>2824</v>
      </c>
      <c r="I206" s="10" t="s">
        <v>2171</v>
      </c>
      <c r="J206" s="10"/>
      <c r="K206" s="7" cm="1">
        <f t="array" ref="K206">IFERROR(LOOKUP(2,1/('Outreach Log'!$C$2:$C$9998=F206),'Outreach Log'!$B$2:$B$9998),"")</f>
        <v>46126</v>
      </c>
      <c r="L206" s="5" t="str">
        <f>IFERROR(INDEX('Outreach Log'!$F:$F,MATCH(TEXT(K206,"YYYY-MM-DD")&amp;F206,'Outreach Log'!$L:$L,0)),"")</f>
        <v>Email</v>
      </c>
      <c r="M206" s="6" t="str">
        <f>IFERROR(HYPERLINK("#'Outreach Log'!A"&amp;MATCH(TEXT(K206,"YYYY-MM-DD")&amp;F206,'Outreach Log'!$L:$L,0),"→ View"),"—")</f>
        <v>→ View</v>
      </c>
      <c r="N206" s="6" t="str">
        <f>IFERROR(HYPERLINK("#Companies!A"&amp;MATCH(E206,Companies!$B:$B,0),"→ View"),"—")</f>
        <v>→ View</v>
      </c>
    </row>
    <row r="207" spans="1:14">
      <c r="A207" s="9">
        <f>IF(tblContacts[[#This Row],[First Name]]&lt;&gt;0,ROW()-1,"")</f>
        <v>206</v>
      </c>
      <c r="B207" s="56" t="s">
        <v>784</v>
      </c>
      <c r="C207" s="56" t="s">
        <v>3236</v>
      </c>
      <c r="D207" s="10" t="s">
        <v>3300</v>
      </c>
      <c r="E207" s="10" t="s">
        <v>3114</v>
      </c>
      <c r="F207" s="10" t="s">
        <v>3301</v>
      </c>
      <c r="G207" s="10"/>
      <c r="H207" s="10" t="s">
        <v>2824</v>
      </c>
      <c r="I207" s="44" t="s">
        <v>3363</v>
      </c>
      <c r="K207" s="7" t="str" cm="1">
        <f t="array" ref="K207">IFERROR(LOOKUP(2,1/('Outreach Log'!$C$2:$C$9998=F207),'Outreach Log'!$B$2:$B$9998),"")</f>
        <v/>
      </c>
      <c r="L207" s="5" t="str">
        <f>IFERROR(INDEX('Outreach Log'!$F:$F,MATCH(TEXT(K207,"YYYY-MM-DD")&amp;F207,'Outreach Log'!$L:$L,0)),"")</f>
        <v/>
      </c>
      <c r="M207" s="6" t="str">
        <f>IFERROR(HYPERLINK("#'Outreach Log'!A"&amp;MATCH(TEXT(K207,"YYYY-MM-DD")&amp;F207,'Outreach Log'!$L:$L,0),"→ View"),"—")</f>
        <v>—</v>
      </c>
      <c r="N207" s="6" t="str">
        <f>IFERROR(HYPERLINK("#Companies!A"&amp;MATCH(E207,Companies!$B:$B,0),"→ View"),"—")</f>
        <v>→ View</v>
      </c>
    </row>
    <row r="208" spans="1:14">
      <c r="A208" s="9">
        <f>IF(tblContacts[[#This Row],[First Name]]&lt;&gt;0,ROW()-1,"")</f>
        <v>207</v>
      </c>
      <c r="B208" s="50" t="s">
        <v>784</v>
      </c>
      <c r="C208" s="50" t="s">
        <v>1441</v>
      </c>
      <c r="D208" s="10"/>
      <c r="E208" s="10" t="s">
        <v>2313</v>
      </c>
      <c r="F208" s="10" t="s">
        <v>1442</v>
      </c>
      <c r="G208" s="10"/>
      <c r="H208" s="10" t="s">
        <v>2824</v>
      </c>
      <c r="I208" s="10" t="s">
        <v>2171</v>
      </c>
      <c r="J208" s="10"/>
      <c r="K208" s="7" cm="1">
        <f t="array" ref="K208">IFERROR(LOOKUP(2,1/('Outreach Log'!$C$2:$C$9998=F208),'Outreach Log'!$B$2:$B$9998),"")</f>
        <v>46126</v>
      </c>
      <c r="L208" s="5" t="str">
        <f>IFERROR(INDEX('Outreach Log'!$F:$F,MATCH(TEXT(K208,"YYYY-MM-DD")&amp;F208,'Outreach Log'!$L:$L,0)),"")</f>
        <v>Email</v>
      </c>
      <c r="M208" s="6" t="str">
        <f>IFERROR(HYPERLINK("#'Outreach Log'!A"&amp;MATCH(TEXT(K208,"YYYY-MM-DD")&amp;F208,'Outreach Log'!$L:$L,0),"→ View"),"—")</f>
        <v>→ View</v>
      </c>
      <c r="N208" s="6" t="str">
        <f>IFERROR(HYPERLINK("#Companies!A"&amp;MATCH(E208,Companies!$B:$B,0),"→ View"),"—")</f>
        <v>→ View</v>
      </c>
    </row>
    <row r="209" spans="1:14">
      <c r="A209" s="9">
        <f>IF(tblContacts[[#This Row],[First Name]]&lt;&gt;0,ROW()-1,"")</f>
        <v>208</v>
      </c>
      <c r="B209" s="50" t="s">
        <v>784</v>
      </c>
      <c r="C209" s="50" t="s">
        <v>1443</v>
      </c>
      <c r="D209" s="10"/>
      <c r="E209" s="10" t="s">
        <v>2314</v>
      </c>
      <c r="F209" s="10" t="s">
        <v>1444</v>
      </c>
      <c r="G209" s="10"/>
      <c r="H209" s="10" t="s">
        <v>2824</v>
      </c>
      <c r="I209" s="10" t="s">
        <v>2171</v>
      </c>
      <c r="J209" s="10"/>
      <c r="K209" s="7" t="str" cm="1">
        <f t="array" ref="K209">IFERROR(LOOKUP(2,1/('Outreach Log'!$C$2:$C$9998=F209),'Outreach Log'!$B$2:$B$9998),"")</f>
        <v/>
      </c>
      <c r="L209" s="5" t="str">
        <f>IFERROR(INDEX('Outreach Log'!$F:$F,MATCH(TEXT(K209,"YYYY-MM-DD")&amp;F209,'Outreach Log'!$L:$L,0)),"")</f>
        <v/>
      </c>
      <c r="M209" s="6" t="str">
        <f>IFERROR(HYPERLINK("#'Outreach Log'!A"&amp;MATCH(TEXT(K209,"YYYY-MM-DD")&amp;F209,'Outreach Log'!$L:$L,0),"→ View"),"—")</f>
        <v>—</v>
      </c>
      <c r="N209" s="6" t="str">
        <f>IFERROR(HYPERLINK("#Companies!A"&amp;MATCH(E209,Companies!$B:$B,0),"→ View"),"—")</f>
        <v>→ View</v>
      </c>
    </row>
    <row r="210" spans="1:14">
      <c r="A210" s="9">
        <f>IF(tblContacts[[#This Row],[First Name]]&lt;&gt;0,ROW()-1,"")</f>
        <v>209</v>
      </c>
      <c r="B210" s="50" t="s">
        <v>1445</v>
      </c>
      <c r="C210" s="50" t="s">
        <v>1446</v>
      </c>
      <c r="D210" s="10"/>
      <c r="E210" s="10" t="s">
        <v>2315</v>
      </c>
      <c r="F210" s="10" t="s">
        <v>1447</v>
      </c>
      <c r="G210" s="10"/>
      <c r="H210" s="10" t="s">
        <v>2824</v>
      </c>
      <c r="I210" s="10" t="s">
        <v>2171</v>
      </c>
      <c r="J210" s="10"/>
      <c r="K210" s="7" cm="1">
        <f t="array" ref="K210">IFERROR(LOOKUP(2,1/('Outreach Log'!$C$2:$C$9998=F210),'Outreach Log'!$B$2:$B$9998),"")</f>
        <v>46126</v>
      </c>
      <c r="L210" s="5" t="str">
        <f>IFERROR(INDEX('Outreach Log'!$F:$F,MATCH(TEXT(K210,"YYYY-MM-DD")&amp;F210,'Outreach Log'!$L:$L,0)),"")</f>
        <v>Email</v>
      </c>
      <c r="M210" s="6" t="str">
        <f>IFERROR(HYPERLINK("#'Outreach Log'!A"&amp;MATCH(TEXT(K210,"YYYY-MM-DD")&amp;F210,'Outreach Log'!$L:$L,0),"→ View"),"—")</f>
        <v>→ View</v>
      </c>
      <c r="N210" s="6" t="str">
        <f>IFERROR(HYPERLINK("#Companies!A"&amp;MATCH(E210,Companies!$B:$B,0),"→ View"),"—")</f>
        <v>→ View</v>
      </c>
    </row>
    <row r="211" spans="1:14">
      <c r="A211" s="9">
        <f>IF(tblContacts[[#This Row],[First Name]]&lt;&gt;0,ROW()-1,"")</f>
        <v>210</v>
      </c>
      <c r="B211" s="50" t="s">
        <v>1449</v>
      </c>
      <c r="C211" s="50" t="s">
        <v>1450</v>
      </c>
      <c r="D211" s="10"/>
      <c r="E211" s="10" t="s">
        <v>2316</v>
      </c>
      <c r="F211" s="10" t="s">
        <v>1451</v>
      </c>
      <c r="G211" s="10"/>
      <c r="H211" s="10" t="s">
        <v>2824</v>
      </c>
      <c r="I211" s="10" t="s">
        <v>2171</v>
      </c>
      <c r="J211" s="10"/>
      <c r="K211" s="7" t="str" cm="1">
        <f t="array" ref="K211">IFERROR(LOOKUP(2,1/('Outreach Log'!$C$2:$C$9998=F211),'Outreach Log'!$B$2:$B$9998),"")</f>
        <v/>
      </c>
      <c r="L211" s="5" t="str">
        <f>IFERROR(INDEX('Outreach Log'!$F:$F,MATCH(TEXT(K211,"YYYY-MM-DD")&amp;F211,'Outreach Log'!$L:$L,0)),"")</f>
        <v/>
      </c>
      <c r="M211" s="6" t="str">
        <f>IFERROR(HYPERLINK("#'Outreach Log'!A"&amp;MATCH(TEXT(K211,"YYYY-MM-DD")&amp;F211,'Outreach Log'!$L:$L,0),"→ View"),"—")</f>
        <v>—</v>
      </c>
      <c r="N211" s="6" t="str">
        <f>IFERROR(HYPERLINK("#Companies!A"&amp;MATCH(E211,Companies!$B:$B,0),"→ View"),"—")</f>
        <v>→ View</v>
      </c>
    </row>
    <row r="212" spans="1:14">
      <c r="A212" s="9">
        <f>IF(tblContacts[[#This Row],[First Name]]&lt;&gt;0,ROW()-1,"")</f>
        <v>211</v>
      </c>
      <c r="B212" s="50" t="s">
        <v>784</v>
      </c>
      <c r="C212" s="50" t="s">
        <v>3198</v>
      </c>
      <c r="D212" s="10" t="s">
        <v>3190</v>
      </c>
      <c r="E212" s="10" t="s">
        <v>3005</v>
      </c>
      <c r="F212" s="10" t="s">
        <v>3199</v>
      </c>
      <c r="G212" s="10" t="s">
        <v>3200</v>
      </c>
      <c r="H212" s="10" t="s">
        <v>2824</v>
      </c>
      <c r="I212" s="44" t="s">
        <v>3363</v>
      </c>
      <c r="K212" s="7" t="str" cm="1">
        <f t="array" ref="K212">IFERROR(LOOKUP(2,1/('Outreach Log'!$C$2:$C$9998=F212),'Outreach Log'!$B$2:$B$9998),"")</f>
        <v/>
      </c>
      <c r="L212" s="5" t="str">
        <f>IFERROR(INDEX('Outreach Log'!$F:$F,MATCH(TEXT(K212,"YYYY-MM-DD")&amp;F212,'Outreach Log'!$L:$L,0)),"")</f>
        <v/>
      </c>
      <c r="M212" s="6" t="str">
        <f>IFERROR(HYPERLINK("#'Outreach Log'!A"&amp;MATCH(TEXT(K212,"YYYY-MM-DD")&amp;F212,'Outreach Log'!$L:$L,0),"→ View"),"—")</f>
        <v>—</v>
      </c>
      <c r="N212" s="6" t="str">
        <f>IFERROR(HYPERLINK("#Companies!A"&amp;MATCH(E212,Companies!$B:$B,0),"→ View"),"—")</f>
        <v>→ View</v>
      </c>
    </row>
    <row r="213" spans="1:14">
      <c r="A213" s="9">
        <f>IF(tblContacts[[#This Row],[First Name]]&lt;&gt;0,ROW()-1,"")</f>
        <v>212</v>
      </c>
      <c r="B213" s="50" t="s">
        <v>1452</v>
      </c>
      <c r="C213" s="50" t="s">
        <v>1453</v>
      </c>
      <c r="D213" s="10"/>
      <c r="E213" s="10" t="s">
        <v>2317</v>
      </c>
      <c r="F213" s="10" t="s">
        <v>1454</v>
      </c>
      <c r="G213" s="10"/>
      <c r="H213" s="10" t="s">
        <v>2824</v>
      </c>
      <c r="I213" s="10" t="s">
        <v>2171</v>
      </c>
      <c r="J213" s="10"/>
      <c r="K213" s="7" t="str" cm="1">
        <f t="array" ref="K213">IFERROR(LOOKUP(2,1/('Outreach Log'!$C$2:$C$9998=F213),'Outreach Log'!$B$2:$B$9998),"")</f>
        <v/>
      </c>
      <c r="L213" s="5" t="str">
        <f>IFERROR(INDEX('Outreach Log'!$F:$F,MATCH(TEXT(K213,"YYYY-MM-DD")&amp;F213,'Outreach Log'!$L:$L,0)),"")</f>
        <v/>
      </c>
      <c r="M213" s="6" t="str">
        <f>IFERROR(HYPERLINK("#'Outreach Log'!A"&amp;MATCH(TEXT(K213,"YYYY-MM-DD")&amp;F213,'Outreach Log'!$L:$L,0),"→ View"),"—")</f>
        <v>—</v>
      </c>
      <c r="N213" s="6" t="str">
        <f>IFERROR(HYPERLINK("#Companies!A"&amp;MATCH(E213,Companies!$B:$B,0),"→ View"),"—")</f>
        <v>→ View</v>
      </c>
    </row>
    <row r="214" spans="1:14">
      <c r="A214" s="9">
        <f>IF(tblContacts[[#This Row],[First Name]]&lt;&gt;0,ROW()-1,"")</f>
        <v>213</v>
      </c>
      <c r="B214" s="50" t="s">
        <v>1426</v>
      </c>
      <c r="C214" s="50" t="s">
        <v>1455</v>
      </c>
      <c r="D214" s="10"/>
      <c r="E214" s="10" t="s">
        <v>2318</v>
      </c>
      <c r="F214" s="10" t="s">
        <v>1456</v>
      </c>
      <c r="G214" s="10"/>
      <c r="H214" s="10" t="s">
        <v>2824</v>
      </c>
      <c r="I214" s="10" t="s">
        <v>2171</v>
      </c>
      <c r="J214" s="10"/>
      <c r="K214" s="7" t="str" cm="1">
        <f t="array" ref="K214">IFERROR(LOOKUP(2,1/('Outreach Log'!$C$2:$C$9998=F214),'Outreach Log'!$B$2:$B$9998),"")</f>
        <v/>
      </c>
      <c r="L214" s="5" t="str">
        <f>IFERROR(INDEX('Outreach Log'!$F:$F,MATCH(TEXT(K214,"YYYY-MM-DD")&amp;F214,'Outreach Log'!$L:$L,0)),"")</f>
        <v/>
      </c>
      <c r="M214" s="6" t="str">
        <f>IFERROR(HYPERLINK("#'Outreach Log'!A"&amp;MATCH(TEXT(K214,"YYYY-MM-DD")&amp;F214,'Outreach Log'!$L:$L,0),"→ View"),"—")</f>
        <v>—</v>
      </c>
      <c r="N214" s="6" t="str">
        <f>IFERROR(HYPERLINK("#Companies!A"&amp;MATCH(E214,Companies!$B:$B,0),"→ View"),"—")</f>
        <v>→ View</v>
      </c>
    </row>
    <row r="215" spans="1:14">
      <c r="A215" s="9">
        <f>IF(tblContacts[[#This Row],[First Name]]&lt;&gt;0,ROW()-1,"")</f>
        <v>214</v>
      </c>
      <c r="B215" s="50" t="s">
        <v>1457</v>
      </c>
      <c r="C215" s="50" t="s">
        <v>806</v>
      </c>
      <c r="D215" s="10"/>
      <c r="E215" s="10" t="s">
        <v>2319</v>
      </c>
      <c r="F215" s="10" t="s">
        <v>1458</v>
      </c>
      <c r="G215" s="10"/>
      <c r="H215" s="10" t="s">
        <v>2824</v>
      </c>
      <c r="I215" s="10" t="s">
        <v>2171</v>
      </c>
      <c r="J215" s="10"/>
      <c r="K215" s="7" t="str" cm="1">
        <f t="array" ref="K215">IFERROR(LOOKUP(2,1/('Outreach Log'!$C$2:$C$9998=F215),'Outreach Log'!$B$2:$B$9998),"")</f>
        <v/>
      </c>
      <c r="L215" s="5" t="str">
        <f>IFERROR(INDEX('Outreach Log'!$F:$F,MATCH(TEXT(K215,"YYYY-MM-DD")&amp;F215,'Outreach Log'!$L:$L,0)),"")</f>
        <v/>
      </c>
      <c r="M215" s="6" t="str">
        <f>IFERROR(HYPERLINK("#'Outreach Log'!A"&amp;MATCH(TEXT(K215,"YYYY-MM-DD")&amp;F215,'Outreach Log'!$L:$L,0),"→ View"),"—")</f>
        <v>—</v>
      </c>
      <c r="N215" s="6" t="str">
        <f>IFERROR(HYPERLINK("#Companies!A"&amp;MATCH(E215,Companies!$B:$B,0),"→ View"),"—")</f>
        <v>→ View</v>
      </c>
    </row>
    <row r="216" spans="1:14">
      <c r="A216" s="9">
        <f>IF(tblContacts[[#This Row],[First Name]]&lt;&gt;0,ROW()-1,"")</f>
        <v>215</v>
      </c>
      <c r="B216" s="50" t="s">
        <v>1459</v>
      </c>
      <c r="C216" s="50" t="s">
        <v>1217</v>
      </c>
      <c r="D216" s="10"/>
      <c r="E216" s="10" t="s">
        <v>443</v>
      </c>
      <c r="F216" s="10" t="s">
        <v>1460</v>
      </c>
      <c r="G216" s="10"/>
      <c r="H216" s="10" t="s">
        <v>2824</v>
      </c>
      <c r="I216" s="10" t="s">
        <v>2171</v>
      </c>
      <c r="J216" s="10"/>
      <c r="K216" s="7" cm="1">
        <f t="array" ref="K216">IFERROR(LOOKUP(2,1/('Outreach Log'!$C$2:$C$9998=F216),'Outreach Log'!$B$2:$B$9998),"")</f>
        <v>46126</v>
      </c>
      <c r="L216" s="5" t="str">
        <f>IFERROR(INDEX('Outreach Log'!$F:$F,MATCH(TEXT(K216,"YYYY-MM-DD")&amp;F216,'Outreach Log'!$L:$L,0)),"")</f>
        <v>Email</v>
      </c>
      <c r="M216" s="6" t="str">
        <f>IFERROR(HYPERLINK("#'Outreach Log'!A"&amp;MATCH(TEXT(K216,"YYYY-MM-DD")&amp;F216,'Outreach Log'!$L:$L,0),"→ View"),"—")</f>
        <v>→ View</v>
      </c>
      <c r="N216" s="6" t="str">
        <f>IFERROR(HYPERLINK("#Companies!A"&amp;MATCH(E216,Companies!$B:$B,0),"→ View"),"—")</f>
        <v>→ View</v>
      </c>
    </row>
    <row r="217" spans="1:14">
      <c r="A217" s="9">
        <f>IF(tblContacts[[#This Row],[First Name]]&lt;&gt;0,ROW()-1,"")</f>
        <v>216</v>
      </c>
      <c r="B217" s="50" t="s">
        <v>1461</v>
      </c>
      <c r="C217" s="50" t="s">
        <v>1462</v>
      </c>
      <c r="D217" s="10"/>
      <c r="E217" s="10" t="s">
        <v>2320</v>
      </c>
      <c r="F217" s="10" t="s">
        <v>1463</v>
      </c>
      <c r="G217" s="10"/>
      <c r="H217" s="10" t="s">
        <v>2824</v>
      </c>
      <c r="I217" s="10" t="s">
        <v>2171</v>
      </c>
      <c r="J217" s="10"/>
      <c r="K217" s="7" cm="1">
        <f t="array" ref="K217">IFERROR(LOOKUP(2,1/('Outreach Log'!$C$2:$C$9998=F217),'Outreach Log'!$B$2:$B$9998),"")</f>
        <v>46126</v>
      </c>
      <c r="L217" s="5" t="str">
        <f>IFERROR(INDEX('Outreach Log'!$F:$F,MATCH(TEXT(K217,"YYYY-MM-DD")&amp;F217,'Outreach Log'!$L:$L,0)),"")</f>
        <v>Email</v>
      </c>
      <c r="M217" s="6" t="str">
        <f>IFERROR(HYPERLINK("#'Outreach Log'!A"&amp;MATCH(TEXT(K217,"YYYY-MM-DD")&amp;F217,'Outreach Log'!$L:$L,0),"→ View"),"—")</f>
        <v>→ View</v>
      </c>
      <c r="N217" s="6" t="str">
        <f>IFERROR(HYPERLINK("#Companies!A"&amp;MATCH(E217,Companies!$B:$B,0),"→ View"),"—")</f>
        <v>→ View</v>
      </c>
    </row>
    <row r="218" spans="1:14">
      <c r="A218" s="9">
        <f>IF(tblContacts[[#This Row],[First Name]]&lt;&gt;0,ROW()-1,"")</f>
        <v>217</v>
      </c>
      <c r="B218" s="50" t="s">
        <v>1466</v>
      </c>
      <c r="C218" s="50" t="s">
        <v>1467</v>
      </c>
      <c r="D218" s="10"/>
      <c r="E218" s="10" t="s">
        <v>2321</v>
      </c>
      <c r="F218" s="10" t="s">
        <v>1468</v>
      </c>
      <c r="G218" s="10"/>
      <c r="H218" s="10" t="s">
        <v>2824</v>
      </c>
      <c r="I218" s="10" t="s">
        <v>2171</v>
      </c>
      <c r="J218" s="10"/>
      <c r="K218" s="7" cm="1">
        <f t="array" ref="K218">IFERROR(LOOKUP(2,1/('Outreach Log'!$C$2:$C$9998=F218),'Outreach Log'!$B$2:$B$9998),"")</f>
        <v>46126</v>
      </c>
      <c r="L218" s="5" t="str">
        <f>IFERROR(INDEX('Outreach Log'!$F:$F,MATCH(TEXT(K218,"YYYY-MM-DD")&amp;F218,'Outreach Log'!$L:$L,0)),"")</f>
        <v>Email</v>
      </c>
      <c r="M218" s="6" t="str">
        <f>IFERROR(HYPERLINK("#'Outreach Log'!A"&amp;MATCH(TEXT(K218,"YYYY-MM-DD")&amp;F218,'Outreach Log'!$L:$L,0),"→ View"),"—")</f>
        <v>→ View</v>
      </c>
      <c r="N218" s="6" t="str">
        <f>IFERROR(HYPERLINK("#Companies!A"&amp;MATCH(E218,Companies!$B:$B,0),"→ View"),"—")</f>
        <v>→ View</v>
      </c>
    </row>
    <row r="219" spans="1:14">
      <c r="A219" s="9">
        <f>IF(tblContacts[[#This Row],[First Name]]&lt;&gt;0,ROW()-1,"")</f>
        <v>218</v>
      </c>
      <c r="B219" s="50" t="s">
        <v>1426</v>
      </c>
      <c r="C219" s="50" t="s">
        <v>1469</v>
      </c>
      <c r="D219" s="10"/>
      <c r="E219" s="10" t="s">
        <v>2322</v>
      </c>
      <c r="F219" s="10" t="s">
        <v>1470</v>
      </c>
      <c r="G219" s="10"/>
      <c r="H219" s="10" t="s">
        <v>2824</v>
      </c>
      <c r="I219" s="10" t="s">
        <v>2171</v>
      </c>
      <c r="J219" s="10"/>
      <c r="K219" s="7" t="str" cm="1">
        <f t="array" ref="K219">IFERROR(LOOKUP(2,1/('Outreach Log'!$C$2:$C$9998=F219),'Outreach Log'!$B$2:$B$9998),"")</f>
        <v/>
      </c>
      <c r="L219" s="5" t="str">
        <f>IFERROR(INDEX('Outreach Log'!$F:$F,MATCH(TEXT(K219,"YYYY-MM-DD")&amp;F219,'Outreach Log'!$L:$L,0)),"")</f>
        <v/>
      </c>
      <c r="M219" s="6" t="str">
        <f>IFERROR(HYPERLINK("#'Outreach Log'!A"&amp;MATCH(TEXT(K219,"YYYY-MM-DD")&amp;F219,'Outreach Log'!$L:$L,0),"→ View"),"—")</f>
        <v>—</v>
      </c>
      <c r="N219" s="6" t="str">
        <f>IFERROR(HYPERLINK("#Companies!A"&amp;MATCH(E219,Companies!$B:$B,0),"→ View"),"—")</f>
        <v>→ View</v>
      </c>
    </row>
    <row r="220" spans="1:14">
      <c r="A220" s="9">
        <f>IF(tblContacts[[#This Row],[First Name]]&lt;&gt;0,ROW()-1,"")</f>
        <v>219</v>
      </c>
      <c r="B220" s="50" t="s">
        <v>3280</v>
      </c>
      <c r="C220" s="50" t="s">
        <v>3281</v>
      </c>
      <c r="D220" s="10" t="s">
        <v>3282</v>
      </c>
      <c r="E220" s="10" t="s">
        <v>3076</v>
      </c>
      <c r="F220" s="10"/>
      <c r="G220" s="10" t="s">
        <v>3279</v>
      </c>
      <c r="H220" s="10" t="s">
        <v>2824</v>
      </c>
      <c r="I220" s="44" t="s">
        <v>3363</v>
      </c>
      <c r="K220" s="7" cm="1">
        <f t="array" ref="K220">IFERROR(LOOKUP(2,1/('Outreach Log'!$C$2:$C$9998=F220),'Outreach Log'!$B$2:$B$9998),"")</f>
        <v>0</v>
      </c>
      <c r="L220" s="5" t="str">
        <f>IFERROR(INDEX('Outreach Log'!$F:$F,MATCH(TEXT(K220,"YYYY-MM-DD")&amp;F220,'Outreach Log'!$L:$L,0)),"")</f>
        <v/>
      </c>
      <c r="M220" s="6" t="str">
        <f>IFERROR(HYPERLINK("#'Outreach Log'!A"&amp;MATCH(TEXT(K220,"YYYY-MM-DD")&amp;F220,'Outreach Log'!$L:$L,0),"→ View"),"—")</f>
        <v>—</v>
      </c>
      <c r="N220" s="6" t="str">
        <f>IFERROR(HYPERLINK("#Companies!A"&amp;MATCH(E220,Companies!$B:$B,0),"→ View"),"—")</f>
        <v>→ View</v>
      </c>
    </row>
    <row r="221" spans="1:14">
      <c r="A221" s="9">
        <f>IF(tblContacts[[#This Row],[First Name]]&lt;&gt;0,ROW()-1,"")</f>
        <v>220</v>
      </c>
      <c r="B221" s="50" t="s">
        <v>1471</v>
      </c>
      <c r="C221" s="50" t="s">
        <v>1472</v>
      </c>
      <c r="D221" s="10" t="s">
        <v>1473</v>
      </c>
      <c r="E221" s="10" t="s">
        <v>449</v>
      </c>
      <c r="F221" s="10" t="s">
        <v>1474</v>
      </c>
      <c r="G221" s="10"/>
      <c r="H221" s="10" t="s">
        <v>2824</v>
      </c>
      <c r="I221" s="10" t="s">
        <v>13</v>
      </c>
      <c r="J221" s="10"/>
      <c r="K221" s="7" t="str" cm="1">
        <f t="array" ref="K221">IFERROR(LOOKUP(2,1/('Outreach Log'!$C$2:$C$9998=F221),'Outreach Log'!$B$2:$B$9998),"")</f>
        <v/>
      </c>
      <c r="L221" s="5" t="str">
        <f>IFERROR(INDEX('Outreach Log'!$F:$F,MATCH(TEXT(K221,"YYYY-MM-DD")&amp;F221,'Outreach Log'!$L:$L,0)),"")</f>
        <v/>
      </c>
      <c r="M221" s="6" t="str">
        <f>IFERROR(HYPERLINK("#'Outreach Log'!A"&amp;MATCH(TEXT(K221,"YYYY-MM-DD")&amp;F221,'Outreach Log'!$L:$L,0),"→ View"),"—")</f>
        <v>—</v>
      </c>
      <c r="N221" s="6" t="str">
        <f>IFERROR(HYPERLINK("#Companies!A"&amp;MATCH(E221,Companies!$B:$B,0),"→ View"),"—")</f>
        <v>→ View</v>
      </c>
    </row>
    <row r="222" spans="1:14">
      <c r="A222" s="9">
        <f>IF(tblContacts[[#This Row],[First Name]]&lt;&gt;0,ROW()-1,"")</f>
        <v>221</v>
      </c>
      <c r="B222" s="50" t="s">
        <v>1471</v>
      </c>
      <c r="C222" s="50" t="s">
        <v>1475</v>
      </c>
      <c r="D222" s="10"/>
      <c r="E222" s="10" t="s">
        <v>2323</v>
      </c>
      <c r="F222" s="10" t="s">
        <v>1476</v>
      </c>
      <c r="G222" s="10"/>
      <c r="H222" s="10" t="s">
        <v>2824</v>
      </c>
      <c r="I222" s="10" t="s">
        <v>2171</v>
      </c>
      <c r="J222" s="10"/>
      <c r="K222" s="7" t="str" cm="1">
        <f t="array" ref="K222">IFERROR(LOOKUP(2,1/('Outreach Log'!$C$2:$C$9998=F222),'Outreach Log'!$B$2:$B$9998),"")</f>
        <v/>
      </c>
      <c r="L222" s="5" t="str">
        <f>IFERROR(INDEX('Outreach Log'!$F:$F,MATCH(TEXT(K222,"YYYY-MM-DD")&amp;F222,'Outreach Log'!$L:$L,0)),"")</f>
        <v/>
      </c>
      <c r="M222" s="6" t="str">
        <f>IFERROR(HYPERLINK("#'Outreach Log'!A"&amp;MATCH(TEXT(K222,"YYYY-MM-DD")&amp;F222,'Outreach Log'!$L:$L,0),"→ View"),"—")</f>
        <v>—</v>
      </c>
      <c r="N222" s="6" t="str">
        <f>IFERROR(HYPERLINK("#Companies!A"&amp;MATCH(E222,Companies!$B:$B,0),"→ View"),"—")</f>
        <v>→ View</v>
      </c>
    </row>
    <row r="223" spans="1:14">
      <c r="A223" s="9">
        <f>IF(tblContacts[[#This Row],[First Name]]&lt;&gt;0,ROW()-1,"")</f>
        <v>222</v>
      </c>
      <c r="B223" s="50" t="s">
        <v>1471</v>
      </c>
      <c r="C223" s="50" t="s">
        <v>1477</v>
      </c>
      <c r="D223" s="10" t="s">
        <v>1478</v>
      </c>
      <c r="E223" s="10" t="s">
        <v>453</v>
      </c>
      <c r="F223" s="10" t="s">
        <v>1479</v>
      </c>
      <c r="G223" s="10"/>
      <c r="H223" s="10" t="s">
        <v>2824</v>
      </c>
      <c r="I223" s="10" t="s">
        <v>13</v>
      </c>
      <c r="J223" s="10"/>
      <c r="K223" s="7" t="str" cm="1">
        <f t="array" ref="K223">IFERROR(LOOKUP(2,1/('Outreach Log'!$C$2:$C$9998=F223),'Outreach Log'!$B$2:$B$9998),"")</f>
        <v/>
      </c>
      <c r="L223" s="5" t="str">
        <f>IFERROR(INDEX('Outreach Log'!$F:$F,MATCH(TEXT(K223,"YYYY-MM-DD")&amp;F223,'Outreach Log'!$L:$L,0)),"")</f>
        <v/>
      </c>
      <c r="M223" s="6" t="str">
        <f>IFERROR(HYPERLINK("#'Outreach Log'!A"&amp;MATCH(TEXT(K223,"YYYY-MM-DD")&amp;F223,'Outreach Log'!$L:$L,0),"→ View"),"—")</f>
        <v>—</v>
      </c>
      <c r="N223" s="6" t="str">
        <f>IFERROR(HYPERLINK("#Companies!A"&amp;MATCH(E223,Companies!$B:$B,0),"→ View"),"—")</f>
        <v>→ View</v>
      </c>
    </row>
    <row r="224" spans="1:14">
      <c r="A224" s="9">
        <f>IF(tblContacts[[#This Row],[First Name]]&lt;&gt;0,ROW()-1,"")</f>
        <v>223</v>
      </c>
      <c r="B224" s="50" t="s">
        <v>1480</v>
      </c>
      <c r="C224" s="50" t="s">
        <v>1481</v>
      </c>
      <c r="D224" s="10"/>
      <c r="E224" s="10" t="s">
        <v>456</v>
      </c>
      <c r="F224" s="10" t="s">
        <v>1482</v>
      </c>
      <c r="G224" s="10"/>
      <c r="H224" s="10" t="s">
        <v>2824</v>
      </c>
      <c r="I224" s="10" t="s">
        <v>2171</v>
      </c>
      <c r="J224" s="10"/>
      <c r="K224" s="7" t="str" cm="1">
        <f t="array" ref="K224">IFERROR(LOOKUP(2,1/('Outreach Log'!$C$2:$C$9998=F224),'Outreach Log'!$B$2:$B$9998),"")</f>
        <v/>
      </c>
      <c r="L224" s="5" t="str">
        <f>IFERROR(INDEX('Outreach Log'!$F:$F,MATCH(TEXT(K224,"YYYY-MM-DD")&amp;F224,'Outreach Log'!$L:$L,0)),"")</f>
        <v/>
      </c>
      <c r="M224" s="6" t="str">
        <f>IFERROR(HYPERLINK("#'Outreach Log'!A"&amp;MATCH(TEXT(K224,"YYYY-MM-DD")&amp;F224,'Outreach Log'!$L:$L,0),"→ View"),"—")</f>
        <v>—</v>
      </c>
      <c r="N224" s="6" t="str">
        <f>IFERROR(HYPERLINK("#Companies!A"&amp;MATCH(E224,Companies!$B:$B,0),"→ View"),"—")</f>
        <v>→ View</v>
      </c>
    </row>
    <row r="225" spans="1:14">
      <c r="A225" s="9">
        <f>IF(tblContacts[[#This Row],[First Name]]&lt;&gt;0,ROW()-1,"")</f>
        <v>224</v>
      </c>
      <c r="B225" s="50" t="s">
        <v>1483</v>
      </c>
      <c r="C225" s="50" t="s">
        <v>1484</v>
      </c>
      <c r="D225" s="10"/>
      <c r="E225" s="10" t="s">
        <v>2324</v>
      </c>
      <c r="F225" s="10" t="s">
        <v>1485</v>
      </c>
      <c r="G225" s="10"/>
      <c r="H225" s="10" t="s">
        <v>2824</v>
      </c>
      <c r="I225" s="10" t="s">
        <v>2171</v>
      </c>
      <c r="J225" s="10"/>
      <c r="K225" s="7" cm="1">
        <f t="array" ref="K225">IFERROR(LOOKUP(2,1/('Outreach Log'!$C$2:$C$9998=F225),'Outreach Log'!$B$2:$B$9998),"")</f>
        <v>46126</v>
      </c>
      <c r="L225" s="5" t="str">
        <f>IFERROR(INDEX('Outreach Log'!$F:$F,MATCH(TEXT(K225,"YYYY-MM-DD")&amp;F225,'Outreach Log'!$L:$L,0)),"")</f>
        <v>Email</v>
      </c>
      <c r="M225" s="6" t="str">
        <f>IFERROR(HYPERLINK("#'Outreach Log'!A"&amp;MATCH(TEXT(K225,"YYYY-MM-DD")&amp;F225,'Outreach Log'!$L:$L,0),"→ View"),"—")</f>
        <v>→ View</v>
      </c>
      <c r="N225" s="6" t="str">
        <f>IFERROR(HYPERLINK("#Companies!A"&amp;MATCH(E225,Companies!$B:$B,0),"→ View"),"—")</f>
        <v>→ View</v>
      </c>
    </row>
    <row r="226" spans="1:14">
      <c r="A226" s="9">
        <f>IF(tblContacts[[#This Row],[First Name]]&lt;&gt;0,ROW()-1,"")</f>
        <v>225</v>
      </c>
      <c r="B226" s="50" t="s">
        <v>1486</v>
      </c>
      <c r="C226" s="50" t="s">
        <v>1487</v>
      </c>
      <c r="D226" s="10"/>
      <c r="E226" s="10" t="s">
        <v>460</v>
      </c>
      <c r="F226" s="10" t="s">
        <v>1488</v>
      </c>
      <c r="G226" s="10"/>
      <c r="H226" s="10" t="s">
        <v>2824</v>
      </c>
      <c r="I226" s="10" t="s">
        <v>2171</v>
      </c>
      <c r="J226" s="10"/>
      <c r="K226" s="7" cm="1">
        <f t="array" ref="K226">IFERROR(LOOKUP(2,1/('Outreach Log'!$C$2:$C$9998=F226),'Outreach Log'!$B$2:$B$9998),"")</f>
        <v>46126</v>
      </c>
      <c r="L226" s="5" t="str">
        <f>IFERROR(INDEX('Outreach Log'!$F:$F,MATCH(TEXT(K226,"YYYY-MM-DD")&amp;F226,'Outreach Log'!$L:$L,0)),"")</f>
        <v>Email</v>
      </c>
      <c r="M226" s="6" t="str">
        <f>IFERROR(HYPERLINK("#'Outreach Log'!A"&amp;MATCH(TEXT(K226,"YYYY-MM-DD")&amp;F226,'Outreach Log'!$L:$L,0),"→ View"),"—")</f>
        <v>→ View</v>
      </c>
      <c r="N226" s="6" t="str">
        <f>IFERROR(HYPERLINK("#Companies!A"&amp;MATCH(E226,Companies!$B:$B,0),"→ View"),"—")</f>
        <v>→ View</v>
      </c>
    </row>
    <row r="227" spans="1:14">
      <c r="A227" s="9">
        <f>IF(tblContacts[[#This Row],[First Name]]&lt;&gt;0,ROW()-1,"")</f>
        <v>226</v>
      </c>
      <c r="B227" s="50" t="s">
        <v>1489</v>
      </c>
      <c r="C227" s="50" t="s">
        <v>1490</v>
      </c>
      <c r="D227" s="10"/>
      <c r="E227" s="10" t="s">
        <v>2325</v>
      </c>
      <c r="F227" s="10" t="s">
        <v>1491</v>
      </c>
      <c r="G227" s="10"/>
      <c r="H227" s="10" t="s">
        <v>2824</v>
      </c>
      <c r="I227" s="10" t="s">
        <v>2171</v>
      </c>
      <c r="J227" s="10"/>
      <c r="K227" s="7" cm="1">
        <f t="array" ref="K227">IFERROR(LOOKUP(2,1/('Outreach Log'!$C$2:$C$9998=F227),'Outreach Log'!$B$2:$B$9998),"")</f>
        <v>46126</v>
      </c>
      <c r="L227" s="5" t="str">
        <f>IFERROR(INDEX('Outreach Log'!$F:$F,MATCH(TEXT(K227,"YYYY-MM-DD")&amp;F227,'Outreach Log'!$L:$L,0)),"")</f>
        <v>Email</v>
      </c>
      <c r="M227" s="6" t="str">
        <f>IFERROR(HYPERLINK("#'Outreach Log'!A"&amp;MATCH(TEXT(K227,"YYYY-MM-DD")&amp;F227,'Outreach Log'!$L:$L,0),"→ View"),"—")</f>
        <v>→ View</v>
      </c>
      <c r="N227" s="6" t="str">
        <f>IFERROR(HYPERLINK("#Companies!A"&amp;MATCH(E227,Companies!$B:$B,0),"→ View"),"—")</f>
        <v>→ View</v>
      </c>
    </row>
    <row r="228" spans="1:14">
      <c r="A228" s="9">
        <f>IF(tblContacts[[#This Row],[First Name]]&lt;&gt;0,ROW()-1,"")</f>
        <v>227</v>
      </c>
      <c r="B228" s="50" t="s">
        <v>889</v>
      </c>
      <c r="C228" s="50" t="s">
        <v>1492</v>
      </c>
      <c r="D228" s="10"/>
      <c r="E228" s="10" t="s">
        <v>465</v>
      </c>
      <c r="F228" s="10" t="s">
        <v>1493</v>
      </c>
      <c r="G228" s="10"/>
      <c r="H228" s="10" t="s">
        <v>2824</v>
      </c>
      <c r="I228" s="10" t="s">
        <v>2171</v>
      </c>
      <c r="J228" s="10"/>
      <c r="K228" s="7" t="str" cm="1">
        <f t="array" ref="K228">IFERROR(LOOKUP(2,1/('Outreach Log'!$C$2:$C$9998=F228),'Outreach Log'!$B$2:$B$9998),"")</f>
        <v/>
      </c>
      <c r="L228" s="5" t="str">
        <f>IFERROR(INDEX('Outreach Log'!$F:$F,MATCH(TEXT(K228,"YYYY-MM-DD")&amp;F228,'Outreach Log'!$L:$L,0)),"")</f>
        <v/>
      </c>
      <c r="M228" s="6" t="str">
        <f>IFERROR(HYPERLINK("#'Outreach Log'!A"&amp;MATCH(TEXT(K228,"YYYY-MM-DD")&amp;F228,'Outreach Log'!$L:$L,0),"→ View"),"—")</f>
        <v>—</v>
      </c>
      <c r="N228" s="6" t="str">
        <f>IFERROR(HYPERLINK("#Companies!A"&amp;MATCH(E228,Companies!$B:$B,0),"→ View"),"—")</f>
        <v>→ View</v>
      </c>
    </row>
    <row r="229" spans="1:14">
      <c r="A229" s="9">
        <f>IF(tblContacts[[#This Row],[First Name]]&lt;&gt;0,ROW()-1,"")</f>
        <v>228</v>
      </c>
      <c r="B229" s="50" t="s">
        <v>1211</v>
      </c>
      <c r="C229" s="50" t="s">
        <v>1494</v>
      </c>
      <c r="D229" s="10"/>
      <c r="E229" s="10" t="s">
        <v>2326</v>
      </c>
      <c r="F229" s="10" t="s">
        <v>1495</v>
      </c>
      <c r="G229" s="10"/>
      <c r="H229" s="10" t="s">
        <v>2824</v>
      </c>
      <c r="I229" s="10" t="s">
        <v>2171</v>
      </c>
      <c r="J229" s="10"/>
      <c r="K229" s="7" t="str" cm="1">
        <f t="array" ref="K229">IFERROR(LOOKUP(2,1/('Outreach Log'!$C$2:$C$9998=F229),'Outreach Log'!$B$2:$B$9998),"")</f>
        <v/>
      </c>
      <c r="L229" s="5" t="str">
        <f>IFERROR(INDEX('Outreach Log'!$F:$F,MATCH(TEXT(K229,"YYYY-MM-DD")&amp;F229,'Outreach Log'!$L:$L,0)),"")</f>
        <v/>
      </c>
      <c r="M229" s="6" t="str">
        <f>IFERROR(HYPERLINK("#'Outreach Log'!A"&amp;MATCH(TEXT(K229,"YYYY-MM-DD")&amp;F229,'Outreach Log'!$L:$L,0),"→ View"),"—")</f>
        <v>—</v>
      </c>
      <c r="N229" s="6" t="str">
        <f>IFERROR(HYPERLINK("#Companies!A"&amp;MATCH(E229,Companies!$B:$B,0),"→ View"),"—")</f>
        <v>→ View</v>
      </c>
    </row>
    <row r="230" spans="1:14">
      <c r="A230" s="9">
        <f>IF(tblContacts[[#This Row],[First Name]]&lt;&gt;0,ROW()-1,"")</f>
        <v>229</v>
      </c>
      <c r="B230" s="50" t="s">
        <v>1498</v>
      </c>
      <c r="C230" s="50" t="s">
        <v>1499</v>
      </c>
      <c r="D230" s="10"/>
      <c r="E230" s="10" t="s">
        <v>2327</v>
      </c>
      <c r="F230" s="10" t="s">
        <v>1500</v>
      </c>
      <c r="G230" s="10"/>
      <c r="H230" s="10" t="s">
        <v>2824</v>
      </c>
      <c r="I230" s="10" t="s">
        <v>2171</v>
      </c>
      <c r="J230" s="10"/>
      <c r="K230" s="7" t="str" cm="1">
        <f t="array" ref="K230">IFERROR(LOOKUP(2,1/('Outreach Log'!$C$2:$C$9998=F230),'Outreach Log'!$B$2:$B$9998),"")</f>
        <v/>
      </c>
      <c r="L230" s="5" t="str">
        <f>IFERROR(INDEX('Outreach Log'!$F:$F,MATCH(TEXT(K230,"YYYY-MM-DD")&amp;F230,'Outreach Log'!$L:$L,0)),"")</f>
        <v/>
      </c>
      <c r="M230" s="6" t="str">
        <f>IFERROR(HYPERLINK("#'Outreach Log'!A"&amp;MATCH(TEXT(K230,"YYYY-MM-DD")&amp;F230,'Outreach Log'!$L:$L,0),"→ View"),"—")</f>
        <v>—</v>
      </c>
      <c r="N230" s="6" t="str">
        <f>IFERROR(HYPERLINK("#Companies!A"&amp;MATCH(E230,Companies!$B:$B,0),"→ View"),"—")</f>
        <v>→ View</v>
      </c>
    </row>
    <row r="231" spans="1:14">
      <c r="A231" s="9">
        <f>IF(tblContacts[[#This Row],[First Name]]&lt;&gt;0,ROW()-1,"")</f>
        <v>230</v>
      </c>
      <c r="B231" s="50" t="s">
        <v>1272</v>
      </c>
      <c r="C231" s="50" t="s">
        <v>1501</v>
      </c>
      <c r="D231" s="10"/>
      <c r="E231" s="10" t="s">
        <v>2328</v>
      </c>
      <c r="F231" s="10" t="s">
        <v>1502</v>
      </c>
      <c r="G231" s="10"/>
      <c r="H231" s="10" t="s">
        <v>2824</v>
      </c>
      <c r="I231" s="10" t="s">
        <v>2171</v>
      </c>
      <c r="J231" s="10"/>
      <c r="K231" s="7" cm="1">
        <f t="array" ref="K231">IFERROR(LOOKUP(2,1/('Outreach Log'!$C$2:$C$9998=F231),'Outreach Log'!$B$2:$B$9998),"")</f>
        <v>46126</v>
      </c>
      <c r="L231" s="5" t="str">
        <f>IFERROR(INDEX('Outreach Log'!$F:$F,MATCH(TEXT(K231,"YYYY-MM-DD")&amp;F231,'Outreach Log'!$L:$L,0)),"")</f>
        <v>Email</v>
      </c>
      <c r="M231" s="6" t="str">
        <f>IFERROR(HYPERLINK("#'Outreach Log'!A"&amp;MATCH(TEXT(K231,"YYYY-MM-DD")&amp;F231,'Outreach Log'!$L:$L,0),"→ View"),"—")</f>
        <v>→ View</v>
      </c>
      <c r="N231" s="6" t="str">
        <f>IFERROR(HYPERLINK("#Companies!A"&amp;MATCH(E231,Companies!$B:$B,0),"→ View"),"—")</f>
        <v>→ View</v>
      </c>
    </row>
    <row r="232" spans="1:14">
      <c r="A232" s="9">
        <f>IF(tblContacts[[#This Row],[First Name]]&lt;&gt;0,ROW()-1,"")</f>
        <v>231</v>
      </c>
      <c r="B232" s="50" t="s">
        <v>1272</v>
      </c>
      <c r="C232" s="50" t="s">
        <v>1505</v>
      </c>
      <c r="D232" s="10"/>
      <c r="E232" s="10" t="s">
        <v>2128</v>
      </c>
      <c r="F232" s="10" t="s">
        <v>1506</v>
      </c>
      <c r="G232" s="10"/>
      <c r="H232" s="10" t="s">
        <v>2824</v>
      </c>
      <c r="I232" s="10" t="s">
        <v>2171</v>
      </c>
      <c r="J232" s="10"/>
      <c r="K232" s="7" t="str" cm="1">
        <f t="array" ref="K232">IFERROR(LOOKUP(2,1/('Outreach Log'!$C$2:$C$9998=F232),'Outreach Log'!$B$2:$B$9998),"")</f>
        <v/>
      </c>
      <c r="L232" s="5" t="str">
        <f>IFERROR(INDEX('Outreach Log'!$F:$F,MATCH(TEXT(K232,"YYYY-MM-DD")&amp;F232,'Outreach Log'!$L:$L,0)),"")</f>
        <v/>
      </c>
      <c r="M232" s="6" t="str">
        <f>IFERROR(HYPERLINK("#'Outreach Log'!A"&amp;MATCH(TEXT(K232,"YYYY-MM-DD")&amp;F232,'Outreach Log'!$L:$L,0),"→ View"),"—")</f>
        <v>—</v>
      </c>
      <c r="N232" s="6" t="str">
        <f>IFERROR(HYPERLINK("#Companies!A"&amp;MATCH(E232,Companies!$B:$B,0),"→ View"),"—")</f>
        <v>→ View</v>
      </c>
    </row>
    <row r="233" spans="1:14">
      <c r="A233" s="9">
        <f>IF(tblContacts[[#This Row],[First Name]]&lt;&gt;0,ROW()-1,"")</f>
        <v>232</v>
      </c>
      <c r="B233" s="50" t="s">
        <v>1507</v>
      </c>
      <c r="C233" s="50" t="s">
        <v>1508</v>
      </c>
      <c r="D233" s="10"/>
      <c r="E233" s="10" t="s">
        <v>2329</v>
      </c>
      <c r="F233" s="10" t="s">
        <v>1509</v>
      </c>
      <c r="G233" s="10"/>
      <c r="H233" s="10" t="s">
        <v>2824</v>
      </c>
      <c r="I233" s="10" t="s">
        <v>2171</v>
      </c>
      <c r="J233" s="10"/>
      <c r="K233" s="7" cm="1">
        <f t="array" ref="K233">IFERROR(LOOKUP(2,1/('Outreach Log'!$C$2:$C$9998=F233),'Outreach Log'!$B$2:$B$9998),"")</f>
        <v>46126</v>
      </c>
      <c r="L233" s="5" t="str">
        <f>IFERROR(INDEX('Outreach Log'!$F:$F,MATCH(TEXT(K233,"YYYY-MM-DD")&amp;F233,'Outreach Log'!$L:$L,0)),"")</f>
        <v>Email</v>
      </c>
      <c r="M233" s="6" t="str">
        <f>IFERROR(HYPERLINK("#'Outreach Log'!A"&amp;MATCH(TEXT(K233,"YYYY-MM-DD")&amp;F233,'Outreach Log'!$L:$L,0),"→ View"),"—")</f>
        <v>→ View</v>
      </c>
      <c r="N233" s="6" t="str">
        <f>IFERROR(HYPERLINK("#Companies!A"&amp;MATCH(E233,Companies!$B:$B,0),"→ View"),"—")</f>
        <v>→ View</v>
      </c>
    </row>
    <row r="234" spans="1:14">
      <c r="A234" s="9">
        <f>IF(tblContacts[[#This Row],[First Name]]&lt;&gt;0,ROW()-1,"")</f>
        <v>233</v>
      </c>
      <c r="B234" s="50" t="s">
        <v>1080</v>
      </c>
      <c r="C234" s="50" t="s">
        <v>1510</v>
      </c>
      <c r="D234" s="10"/>
      <c r="E234" s="10" t="s">
        <v>2330</v>
      </c>
      <c r="F234" s="10" t="s">
        <v>1511</v>
      </c>
      <c r="G234" s="10"/>
      <c r="H234" s="10" t="s">
        <v>2824</v>
      </c>
      <c r="I234" s="10" t="s">
        <v>2171</v>
      </c>
      <c r="J234" s="10"/>
      <c r="K234" s="7" t="str" cm="1">
        <f t="array" ref="K234">IFERROR(LOOKUP(2,1/('Outreach Log'!$C$2:$C$9998=F234),'Outreach Log'!$B$2:$B$9998),"")</f>
        <v/>
      </c>
      <c r="L234" s="5" t="str">
        <f>IFERROR(INDEX('Outreach Log'!$F:$F,MATCH(TEXT(K234,"YYYY-MM-DD")&amp;F234,'Outreach Log'!$L:$L,0)),"")</f>
        <v/>
      </c>
      <c r="M234" s="6" t="str">
        <f>IFERROR(HYPERLINK("#'Outreach Log'!A"&amp;MATCH(TEXT(K234,"YYYY-MM-DD")&amp;F234,'Outreach Log'!$L:$L,0),"→ View"),"—")</f>
        <v>—</v>
      </c>
      <c r="N234" s="6" t="str">
        <f>IFERROR(HYPERLINK("#Companies!A"&amp;MATCH(E234,Companies!$B:$B,0),"→ View"),"—")</f>
        <v>→ View</v>
      </c>
    </row>
    <row r="235" spans="1:14">
      <c r="A235" s="9">
        <f>IF(tblContacts[[#This Row],[First Name]]&lt;&gt;0,ROW()-1,"")</f>
        <v>234</v>
      </c>
      <c r="B235" s="50" t="s">
        <v>1080</v>
      </c>
      <c r="C235" s="50" t="s">
        <v>1514</v>
      </c>
      <c r="D235" s="10"/>
      <c r="E235" s="10" t="s">
        <v>475</v>
      </c>
      <c r="F235" s="10" t="s">
        <v>1515</v>
      </c>
      <c r="G235" s="10"/>
      <c r="H235" s="10" t="s">
        <v>2824</v>
      </c>
      <c r="I235" s="10" t="s">
        <v>2171</v>
      </c>
      <c r="J235" s="10"/>
      <c r="K235" s="7" t="str" cm="1">
        <f t="array" ref="K235">IFERROR(LOOKUP(2,1/('Outreach Log'!$C$2:$C$9998=F235),'Outreach Log'!$B$2:$B$9998),"")</f>
        <v/>
      </c>
      <c r="L235" s="5" t="str">
        <f>IFERROR(INDEX('Outreach Log'!$F:$F,MATCH(TEXT(K235,"YYYY-MM-DD")&amp;F235,'Outreach Log'!$L:$L,0)),"")</f>
        <v/>
      </c>
      <c r="M235" s="6" t="str">
        <f>IFERROR(HYPERLINK("#'Outreach Log'!A"&amp;MATCH(TEXT(K235,"YYYY-MM-DD")&amp;F235,'Outreach Log'!$L:$L,0),"→ View"),"—")</f>
        <v>—</v>
      </c>
      <c r="N235" s="6" t="str">
        <f>IFERROR(HYPERLINK("#Companies!A"&amp;MATCH(E235,Companies!$B:$B,0),"→ View"),"—")</f>
        <v>→ View</v>
      </c>
    </row>
    <row r="236" spans="1:14">
      <c r="A236" s="9">
        <f>IF(tblContacts[[#This Row],[First Name]]&lt;&gt;0,ROW()-1,"")</f>
        <v>235</v>
      </c>
      <c r="B236" s="50" t="s">
        <v>1080</v>
      </c>
      <c r="C236" s="50" t="s">
        <v>3284</v>
      </c>
      <c r="D236" s="10" t="s">
        <v>768</v>
      </c>
      <c r="E236" s="10" t="s">
        <v>3076</v>
      </c>
      <c r="F236" s="10"/>
      <c r="G236" s="10" t="s">
        <v>3279</v>
      </c>
      <c r="H236" s="10" t="s">
        <v>2824</v>
      </c>
      <c r="I236" s="44" t="s">
        <v>3363</v>
      </c>
      <c r="K236" s="7" cm="1">
        <f t="array" ref="K236">IFERROR(LOOKUP(2,1/('Outreach Log'!$C$2:$C$9998=F236),'Outreach Log'!$B$2:$B$9998),"")</f>
        <v>0</v>
      </c>
      <c r="L236" s="5" t="str">
        <f>IFERROR(INDEX('Outreach Log'!$F:$F,MATCH(TEXT(K236,"YYYY-MM-DD")&amp;F236,'Outreach Log'!$L:$L,0)),"")</f>
        <v/>
      </c>
      <c r="M236" s="6" t="str">
        <f>IFERROR(HYPERLINK("#'Outreach Log'!A"&amp;MATCH(TEXT(K236,"YYYY-MM-DD")&amp;F236,'Outreach Log'!$L:$L,0),"→ View"),"—")</f>
        <v>—</v>
      </c>
      <c r="N236" s="6" t="str">
        <f>IFERROR(HYPERLINK("#Companies!A"&amp;MATCH(E236,Companies!$B:$B,0),"→ View"),"—")</f>
        <v>→ View</v>
      </c>
    </row>
    <row r="237" spans="1:14">
      <c r="A237" s="9">
        <f>IF(tblContacts[[#This Row],[First Name]]&lt;&gt;0,ROW()-1,"")</f>
        <v>236</v>
      </c>
      <c r="B237" s="50" t="s">
        <v>1080</v>
      </c>
      <c r="C237" s="50" t="s">
        <v>2331</v>
      </c>
      <c r="D237" s="10"/>
      <c r="E237" s="10" t="s">
        <v>479</v>
      </c>
      <c r="F237" s="10" t="s">
        <v>1517</v>
      </c>
      <c r="G237" s="10"/>
      <c r="H237" s="10" t="s">
        <v>2824</v>
      </c>
      <c r="I237" s="10" t="s">
        <v>2171</v>
      </c>
      <c r="J237" s="10"/>
      <c r="K237" s="7" cm="1">
        <f t="array" ref="K237">IFERROR(LOOKUP(2,1/('Outreach Log'!$C$2:$C$9998=F237),'Outreach Log'!$B$2:$B$9998),"")</f>
        <v>46126</v>
      </c>
      <c r="L237" s="5" t="str">
        <f>IFERROR(INDEX('Outreach Log'!$F:$F,MATCH(TEXT(K237,"YYYY-MM-DD")&amp;F237,'Outreach Log'!$L:$L,0)),"")</f>
        <v>Email</v>
      </c>
      <c r="M237" s="6" t="str">
        <f>IFERROR(HYPERLINK("#'Outreach Log'!A"&amp;MATCH(TEXT(K237,"YYYY-MM-DD")&amp;F237,'Outreach Log'!$L:$L,0),"→ View"),"—")</f>
        <v>→ View</v>
      </c>
      <c r="N237" s="6" t="str">
        <f>IFERROR(HYPERLINK("#Companies!A"&amp;MATCH(E237,Companies!$B:$B,0),"→ View"),"—")</f>
        <v>→ View</v>
      </c>
    </row>
    <row r="238" spans="1:14">
      <c r="A238" s="9">
        <f>IF(tblContacts[[#This Row],[First Name]]&lt;&gt;0,ROW()-1,"")</f>
        <v>237</v>
      </c>
      <c r="B238" s="50" t="s">
        <v>1080</v>
      </c>
      <c r="C238" s="50" t="s">
        <v>1518</v>
      </c>
      <c r="D238" s="10"/>
      <c r="E238" s="10" t="s">
        <v>2332</v>
      </c>
      <c r="F238" s="10" t="s">
        <v>1519</v>
      </c>
      <c r="G238" s="10"/>
      <c r="H238" s="10" t="s">
        <v>2824</v>
      </c>
      <c r="I238" s="10" t="s">
        <v>2171</v>
      </c>
      <c r="J238" s="10"/>
      <c r="K238" s="7" t="str" cm="1">
        <f t="array" ref="K238">IFERROR(LOOKUP(2,1/('Outreach Log'!$C$2:$C$9998=F238),'Outreach Log'!$B$2:$B$9998),"")</f>
        <v/>
      </c>
      <c r="L238" s="5" t="str">
        <f>IFERROR(INDEX('Outreach Log'!$F:$F,MATCH(TEXT(K238,"YYYY-MM-DD")&amp;F238,'Outreach Log'!$L:$L,0)),"")</f>
        <v/>
      </c>
      <c r="M238" s="6" t="str">
        <f>IFERROR(HYPERLINK("#'Outreach Log'!A"&amp;MATCH(TEXT(K238,"YYYY-MM-DD")&amp;F238,'Outreach Log'!$L:$L,0),"→ View"),"—")</f>
        <v>—</v>
      </c>
      <c r="N238" s="6" t="str">
        <f>IFERROR(HYPERLINK("#Companies!A"&amp;MATCH(E238,Companies!$B:$B,0),"→ View"),"—")</f>
        <v>→ View</v>
      </c>
    </row>
    <row r="239" spans="1:14">
      <c r="A239" s="9">
        <f>IF(tblContacts[[#This Row],[First Name]]&lt;&gt;0,ROW()-1,"")</f>
        <v>238</v>
      </c>
      <c r="B239" s="50" t="s">
        <v>1080</v>
      </c>
      <c r="C239" s="50" t="s">
        <v>1520</v>
      </c>
      <c r="D239" s="10"/>
      <c r="E239" s="10" t="s">
        <v>2333</v>
      </c>
      <c r="F239" s="10" t="s">
        <v>1521</v>
      </c>
      <c r="G239" s="10"/>
      <c r="H239" s="10" t="s">
        <v>2824</v>
      </c>
      <c r="I239" s="10" t="s">
        <v>2171</v>
      </c>
      <c r="J239" s="10"/>
      <c r="K239" s="7" t="str" cm="1">
        <f t="array" ref="K239">IFERROR(LOOKUP(2,1/('Outreach Log'!$C$2:$C$9998=F239),'Outreach Log'!$B$2:$B$9998),"")</f>
        <v/>
      </c>
      <c r="L239" s="5" t="str">
        <f>IFERROR(INDEX('Outreach Log'!$F:$F,MATCH(TEXT(K239,"YYYY-MM-DD")&amp;F239,'Outreach Log'!$L:$L,0)),"")</f>
        <v/>
      </c>
      <c r="M239" s="6" t="str">
        <f>IFERROR(HYPERLINK("#'Outreach Log'!A"&amp;MATCH(TEXT(K239,"YYYY-MM-DD")&amp;F239,'Outreach Log'!$L:$L,0),"→ View"),"—")</f>
        <v>—</v>
      </c>
      <c r="N239" s="6" t="str">
        <f>IFERROR(HYPERLINK("#Companies!A"&amp;MATCH(E239,Companies!$B:$B,0),"→ View"),"—")</f>
        <v>→ View</v>
      </c>
    </row>
    <row r="240" spans="1:14">
      <c r="A240" s="9">
        <f>IF(tblContacts[[#This Row],[First Name]]&lt;&gt;0,ROW()-1,"")</f>
        <v>239</v>
      </c>
      <c r="B240" s="50" t="s">
        <v>771</v>
      </c>
      <c r="C240" s="50" t="s">
        <v>1256</v>
      </c>
      <c r="D240" s="10"/>
      <c r="E240" s="10" t="s">
        <v>2334</v>
      </c>
      <c r="F240" s="10" t="s">
        <v>1523</v>
      </c>
      <c r="G240" s="10"/>
      <c r="H240" s="10" t="s">
        <v>2824</v>
      </c>
      <c r="I240" s="10" t="s">
        <v>2171</v>
      </c>
      <c r="J240" s="10"/>
      <c r="K240" s="7" t="str" cm="1">
        <f t="array" ref="K240">IFERROR(LOOKUP(2,1/('Outreach Log'!$C$2:$C$9998=F240),'Outreach Log'!$B$2:$B$9998),"")</f>
        <v/>
      </c>
      <c r="L240" s="5" t="str">
        <f>IFERROR(INDEX('Outreach Log'!$F:$F,MATCH(TEXT(K240,"YYYY-MM-DD")&amp;F240,'Outreach Log'!$L:$L,0)),"")</f>
        <v/>
      </c>
      <c r="M240" s="6" t="str">
        <f>IFERROR(HYPERLINK("#'Outreach Log'!A"&amp;MATCH(TEXT(K240,"YYYY-MM-DD")&amp;F240,'Outreach Log'!$L:$L,0),"→ View"),"—")</f>
        <v>—</v>
      </c>
      <c r="N240" s="6" t="str">
        <f>IFERROR(HYPERLINK("#Companies!A"&amp;MATCH(E240,Companies!$B:$B,0),"→ View"),"—")</f>
        <v>→ View</v>
      </c>
    </row>
    <row r="241" spans="1:14">
      <c r="A241" s="9">
        <f>IF(tblContacts[[#This Row],[First Name]]&lt;&gt;0,ROW()-1,"")</f>
        <v>240</v>
      </c>
      <c r="B241" s="50" t="s">
        <v>771</v>
      </c>
      <c r="C241" s="50" t="s">
        <v>1524</v>
      </c>
      <c r="D241" s="10"/>
      <c r="E241" s="10" t="s">
        <v>2335</v>
      </c>
      <c r="F241" s="10" t="s">
        <v>1525</v>
      </c>
      <c r="G241" s="10"/>
      <c r="H241" s="10" t="s">
        <v>2824</v>
      </c>
      <c r="I241" s="10" t="s">
        <v>2171</v>
      </c>
      <c r="J241" s="10"/>
      <c r="K241" s="7" t="str" cm="1">
        <f t="array" ref="K241">IFERROR(LOOKUP(2,1/('Outreach Log'!$C$2:$C$9998=F241),'Outreach Log'!$B$2:$B$9998),"")</f>
        <v/>
      </c>
      <c r="L241" s="5" t="str">
        <f>IFERROR(INDEX('Outreach Log'!$F:$F,MATCH(TEXT(K241,"YYYY-MM-DD")&amp;F241,'Outreach Log'!$L:$L,0)),"")</f>
        <v/>
      </c>
      <c r="M241" s="6" t="str">
        <f>IFERROR(HYPERLINK("#'Outreach Log'!A"&amp;MATCH(TEXT(K241,"YYYY-MM-DD")&amp;F241,'Outreach Log'!$L:$L,0),"→ View"),"—")</f>
        <v>—</v>
      </c>
      <c r="N241" s="6" t="str">
        <f>IFERROR(HYPERLINK("#Companies!A"&amp;MATCH(E241,Companies!$B:$B,0),"→ View"),"—")</f>
        <v>→ View</v>
      </c>
    </row>
    <row r="242" spans="1:14">
      <c r="A242" s="9">
        <f>IF(tblContacts[[#This Row],[First Name]]&lt;&gt;0,ROW()-1,"")</f>
        <v>241</v>
      </c>
      <c r="B242" s="50" t="s">
        <v>771</v>
      </c>
      <c r="C242" s="50" t="s">
        <v>1528</v>
      </c>
      <c r="D242" s="10"/>
      <c r="E242" s="10" t="s">
        <v>489</v>
      </c>
      <c r="F242" s="10" t="s">
        <v>1529</v>
      </c>
      <c r="G242" s="10"/>
      <c r="H242" s="10" t="s">
        <v>2824</v>
      </c>
      <c r="I242" s="10" t="s">
        <v>13</v>
      </c>
      <c r="J242" s="10"/>
      <c r="K242" s="7" t="str" cm="1">
        <f t="array" ref="K242">IFERROR(LOOKUP(2,1/('Outreach Log'!$C$2:$C$9998=F242),'Outreach Log'!$B$2:$B$9998),"")</f>
        <v/>
      </c>
      <c r="L242" s="5" t="str">
        <f>IFERROR(INDEX('Outreach Log'!$F:$F,MATCH(TEXT(K242,"YYYY-MM-DD")&amp;F242,'Outreach Log'!$L:$L,0)),"")</f>
        <v/>
      </c>
      <c r="M242" s="6" t="str">
        <f>IFERROR(HYPERLINK("#'Outreach Log'!A"&amp;MATCH(TEXT(K242,"YYYY-MM-DD")&amp;F242,'Outreach Log'!$L:$L,0),"→ View"),"—")</f>
        <v>—</v>
      </c>
      <c r="N242" s="6" t="str">
        <f>IFERROR(HYPERLINK("#Companies!A"&amp;MATCH(E242,Companies!$B:$B,0),"→ View"),"—")</f>
        <v>→ View</v>
      </c>
    </row>
    <row r="243" spans="1:14">
      <c r="A243" s="9">
        <f>IF(tblContacts[[#This Row],[First Name]]&lt;&gt;0,ROW()-1,"")</f>
        <v>242</v>
      </c>
      <c r="B243" s="50" t="s">
        <v>1135</v>
      </c>
      <c r="C243" s="50" t="s">
        <v>1530</v>
      </c>
      <c r="D243" s="10"/>
      <c r="E243" s="10" t="s">
        <v>2336</v>
      </c>
      <c r="F243" s="10" t="s">
        <v>1531</v>
      </c>
      <c r="G243" s="10"/>
      <c r="H243" s="10" t="s">
        <v>2824</v>
      </c>
      <c r="I243" s="10" t="s">
        <v>2171</v>
      </c>
      <c r="J243" s="10"/>
      <c r="K243" s="7" t="str" cm="1">
        <f t="array" ref="K243">IFERROR(LOOKUP(2,1/('Outreach Log'!$C$2:$C$9998=F243),'Outreach Log'!$B$2:$B$9998),"")</f>
        <v/>
      </c>
      <c r="L243" s="5" t="str">
        <f>IFERROR(INDEX('Outreach Log'!$F:$F,MATCH(TEXT(K243,"YYYY-MM-DD")&amp;F243,'Outreach Log'!$L:$L,0)),"")</f>
        <v/>
      </c>
      <c r="M243" s="6" t="str">
        <f>IFERROR(HYPERLINK("#'Outreach Log'!A"&amp;MATCH(TEXT(K243,"YYYY-MM-DD")&amp;F243,'Outreach Log'!$L:$L,0),"→ View"),"—")</f>
        <v>—</v>
      </c>
      <c r="N243" s="6" t="str">
        <f>IFERROR(HYPERLINK("#Companies!A"&amp;MATCH(E243,Companies!$B:$B,0),"→ View"),"—")</f>
        <v>→ View</v>
      </c>
    </row>
    <row r="244" spans="1:14">
      <c r="A244" s="9">
        <f>IF(tblContacts[[#This Row],[First Name]]&lt;&gt;0,ROW()-1,"")</f>
        <v>243</v>
      </c>
      <c r="B244" s="50" t="s">
        <v>1532</v>
      </c>
      <c r="C244" s="50" t="s">
        <v>2337</v>
      </c>
      <c r="D244" s="10" t="s">
        <v>1533</v>
      </c>
      <c r="E244" s="10" t="s">
        <v>492</v>
      </c>
      <c r="F244" s="10" t="s">
        <v>1534</v>
      </c>
      <c r="G244" s="10"/>
      <c r="H244" s="10" t="s">
        <v>2824</v>
      </c>
      <c r="I244" s="10" t="s">
        <v>13</v>
      </c>
      <c r="J244" s="10"/>
      <c r="K244" s="7" t="str" cm="1">
        <f t="array" ref="K244">IFERROR(LOOKUP(2,1/('Outreach Log'!$C$2:$C$9998=F244),'Outreach Log'!$B$2:$B$9998),"")</f>
        <v/>
      </c>
      <c r="L244" s="5" t="str">
        <f>IFERROR(INDEX('Outreach Log'!$F:$F,MATCH(TEXT(K244,"YYYY-MM-DD")&amp;F244,'Outreach Log'!$L:$L,0)),"")</f>
        <v/>
      </c>
      <c r="M244" s="6" t="str">
        <f>IFERROR(HYPERLINK("#'Outreach Log'!A"&amp;MATCH(TEXT(K244,"YYYY-MM-DD")&amp;F244,'Outreach Log'!$L:$L,0),"→ View"),"—")</f>
        <v>—</v>
      </c>
      <c r="N244" s="6" t="str">
        <f>IFERROR(HYPERLINK("#Companies!A"&amp;MATCH(E244,Companies!$B:$B,0),"→ View"),"—")</f>
        <v>→ View</v>
      </c>
    </row>
    <row r="245" spans="1:14">
      <c r="A245" s="9">
        <f>IF(tblContacts[[#This Row],[First Name]]&lt;&gt;0,ROW()-1,"")</f>
        <v>244</v>
      </c>
      <c r="B245" s="50" t="s">
        <v>1535</v>
      </c>
      <c r="C245" s="50" t="s">
        <v>1536</v>
      </c>
      <c r="D245" s="10"/>
      <c r="E245" s="10" t="s">
        <v>494</v>
      </c>
      <c r="F245" s="10" t="s">
        <v>1537</v>
      </c>
      <c r="G245" s="10"/>
      <c r="H245" s="10" t="s">
        <v>2824</v>
      </c>
      <c r="I245" s="10" t="s">
        <v>2171</v>
      </c>
      <c r="J245" s="10"/>
      <c r="K245" s="7" t="str" cm="1">
        <f t="array" ref="K245">IFERROR(LOOKUP(2,1/('Outreach Log'!$C$2:$C$9998=F245),'Outreach Log'!$B$2:$B$9998),"")</f>
        <v/>
      </c>
      <c r="L245" s="5" t="str">
        <f>IFERROR(INDEX('Outreach Log'!$F:$F,MATCH(TEXT(K245,"YYYY-MM-DD")&amp;F245,'Outreach Log'!$L:$L,0)),"")</f>
        <v/>
      </c>
      <c r="M245" s="6" t="str">
        <f>IFERROR(HYPERLINK("#'Outreach Log'!A"&amp;MATCH(TEXT(K245,"YYYY-MM-DD")&amp;F245,'Outreach Log'!$L:$L,0),"→ View"),"—")</f>
        <v>—</v>
      </c>
      <c r="N245" s="6" t="str">
        <f>IFERROR(HYPERLINK("#Companies!A"&amp;MATCH(E245,Companies!$B:$B,0),"→ View"),"—")</f>
        <v>→ View</v>
      </c>
    </row>
    <row r="246" spans="1:14">
      <c r="A246" s="9">
        <f>IF(tblContacts[[#This Row],[First Name]]&lt;&gt;0,ROW()-1,"")</f>
        <v>245</v>
      </c>
      <c r="B246" s="50" t="s">
        <v>1214</v>
      </c>
      <c r="C246" s="50" t="s">
        <v>1541</v>
      </c>
      <c r="D246" s="10"/>
      <c r="E246" s="10" t="s">
        <v>2339</v>
      </c>
      <c r="F246" s="10" t="s">
        <v>1542</v>
      </c>
      <c r="G246" s="10"/>
      <c r="H246" s="10" t="s">
        <v>2824</v>
      </c>
      <c r="I246" s="10" t="s">
        <v>2171</v>
      </c>
      <c r="J246" s="10"/>
      <c r="K246" s="7" cm="1">
        <f t="array" ref="K246">IFERROR(LOOKUP(2,1/('Outreach Log'!$C$2:$C$9998=F246),'Outreach Log'!$B$2:$B$9998),"")</f>
        <v>46126</v>
      </c>
      <c r="L246" s="5" t="str">
        <f>IFERROR(INDEX('Outreach Log'!$F:$F,MATCH(TEXT(K246,"YYYY-MM-DD")&amp;F246,'Outreach Log'!$L:$L,0)),"")</f>
        <v>Email</v>
      </c>
      <c r="M246" s="6" t="str">
        <f>IFERROR(HYPERLINK("#'Outreach Log'!A"&amp;MATCH(TEXT(K246,"YYYY-MM-DD")&amp;F246,'Outreach Log'!$L:$L,0),"→ View"),"—")</f>
        <v>→ View</v>
      </c>
      <c r="N246" s="6" t="str">
        <f>IFERROR(HYPERLINK("#Companies!A"&amp;MATCH(E246,Companies!$B:$B,0),"→ View"),"—")</f>
        <v>→ View</v>
      </c>
    </row>
    <row r="247" spans="1:14">
      <c r="A247" s="9">
        <f>IF(tblContacts[[#This Row],[First Name]]&lt;&gt;0,ROW()-1,"")</f>
        <v>246</v>
      </c>
      <c r="B247" s="50" t="s">
        <v>1214</v>
      </c>
      <c r="C247" s="50" t="s">
        <v>1543</v>
      </c>
      <c r="D247" s="10"/>
      <c r="E247" s="10" t="s">
        <v>2340</v>
      </c>
      <c r="F247" s="10" t="s">
        <v>1544</v>
      </c>
      <c r="G247" s="10"/>
      <c r="H247" s="10" t="s">
        <v>2824</v>
      </c>
      <c r="I247" s="10" t="s">
        <v>2171</v>
      </c>
      <c r="J247" s="10"/>
      <c r="K247" s="7" cm="1">
        <f t="array" ref="K247">IFERROR(LOOKUP(2,1/('Outreach Log'!$C$2:$C$9998=F247),'Outreach Log'!$B$2:$B$9998),"")</f>
        <v>46126</v>
      </c>
      <c r="L247" s="5" t="str">
        <f>IFERROR(INDEX('Outreach Log'!$F:$F,MATCH(TEXT(K247,"YYYY-MM-DD")&amp;F247,'Outreach Log'!$L:$L,0)),"")</f>
        <v>Email</v>
      </c>
      <c r="M247" s="6" t="str">
        <f>IFERROR(HYPERLINK("#'Outreach Log'!A"&amp;MATCH(TEXT(K247,"YYYY-MM-DD")&amp;F247,'Outreach Log'!$L:$L,0),"→ View"),"—")</f>
        <v>→ View</v>
      </c>
      <c r="N247" s="6" t="str">
        <f>IFERROR(HYPERLINK("#Companies!A"&amp;MATCH(E247,Companies!$B:$B,0),"→ View"),"—")</f>
        <v>→ View</v>
      </c>
    </row>
    <row r="248" spans="1:14">
      <c r="A248" s="9">
        <f>IF(tblContacts[[#This Row],[First Name]]&lt;&gt;0,ROW()-1,"")</f>
        <v>247</v>
      </c>
      <c r="B248" s="50" t="s">
        <v>1214</v>
      </c>
      <c r="C248" s="50" t="s">
        <v>1545</v>
      </c>
      <c r="D248" s="10"/>
      <c r="E248" s="10" t="s">
        <v>2341</v>
      </c>
      <c r="F248" s="10" t="s">
        <v>1546</v>
      </c>
      <c r="G248" s="10"/>
      <c r="H248" s="10" t="s">
        <v>2824</v>
      </c>
      <c r="I248" s="10" t="s">
        <v>2171</v>
      </c>
      <c r="J248" s="10"/>
      <c r="K248" s="7" cm="1">
        <f t="array" ref="K248">IFERROR(LOOKUP(2,1/('Outreach Log'!$C$2:$C$9998=F248),'Outreach Log'!$B$2:$B$9998),"")</f>
        <v>46126</v>
      </c>
      <c r="L248" s="5" t="str">
        <f>IFERROR(INDEX('Outreach Log'!$F:$F,MATCH(TEXT(K248,"YYYY-MM-DD")&amp;F248,'Outreach Log'!$L:$L,0)),"")</f>
        <v>Email</v>
      </c>
      <c r="M248" s="6" t="str">
        <f>IFERROR(HYPERLINK("#'Outreach Log'!A"&amp;MATCH(TEXT(K248,"YYYY-MM-DD")&amp;F248,'Outreach Log'!$L:$L,0),"→ View"),"—")</f>
        <v>→ View</v>
      </c>
      <c r="N248" s="6" t="str">
        <f>IFERROR(HYPERLINK("#Companies!A"&amp;MATCH(E248,Companies!$B:$B,0),"→ View"),"—")</f>
        <v>→ View</v>
      </c>
    </row>
    <row r="249" spans="1:14">
      <c r="A249" s="9">
        <f>IF(tblContacts[[#This Row],[First Name]]&lt;&gt;0,ROW()-1,"")</f>
        <v>248</v>
      </c>
      <c r="B249" s="50" t="s">
        <v>1552</v>
      </c>
      <c r="C249" s="50" t="s">
        <v>1553</v>
      </c>
      <c r="D249" s="10"/>
      <c r="E249" s="10" t="s">
        <v>2343</v>
      </c>
      <c r="F249" s="10" t="s">
        <v>1554</v>
      </c>
      <c r="G249" s="10"/>
      <c r="H249" s="10" t="s">
        <v>2824</v>
      </c>
      <c r="I249" s="10" t="s">
        <v>2171</v>
      </c>
      <c r="J249" s="10"/>
      <c r="K249" s="7" t="str" cm="1">
        <f t="array" ref="K249">IFERROR(LOOKUP(2,1/('Outreach Log'!$C$2:$C$9998=F249),'Outreach Log'!$B$2:$B$9998),"")</f>
        <v/>
      </c>
      <c r="L249" s="5" t="str">
        <f>IFERROR(INDEX('Outreach Log'!$F:$F,MATCH(TEXT(K249,"YYYY-MM-DD")&amp;F249,'Outreach Log'!$L:$L,0)),"")</f>
        <v/>
      </c>
      <c r="M249" s="6" t="str">
        <f>IFERROR(HYPERLINK("#'Outreach Log'!A"&amp;MATCH(TEXT(K249,"YYYY-MM-DD")&amp;F249,'Outreach Log'!$L:$L,0),"→ View"),"—")</f>
        <v>—</v>
      </c>
      <c r="N249" s="6" t="str">
        <f>IFERROR(HYPERLINK("#Companies!A"&amp;MATCH(E249,Companies!$B:$B,0),"→ View"),"—")</f>
        <v>→ View</v>
      </c>
    </row>
    <row r="250" spans="1:14">
      <c r="A250" s="9">
        <f>IF(tblContacts[[#This Row],[First Name]]&lt;&gt;0,ROW()-1,"")</f>
        <v>249</v>
      </c>
      <c r="B250" s="50" t="s">
        <v>1555</v>
      </c>
      <c r="C250" s="50" t="s">
        <v>1057</v>
      </c>
      <c r="D250" s="10"/>
      <c r="E250" s="10" t="s">
        <v>2344</v>
      </c>
      <c r="F250" s="10" t="s">
        <v>1556</v>
      </c>
      <c r="G250" s="10"/>
      <c r="H250" s="10" t="s">
        <v>2824</v>
      </c>
      <c r="I250" s="10" t="s">
        <v>2171</v>
      </c>
      <c r="J250" s="10"/>
      <c r="K250" s="7" t="str" cm="1">
        <f t="array" ref="K250">IFERROR(LOOKUP(2,1/('Outreach Log'!$C$2:$C$9998=F250),'Outreach Log'!$B$2:$B$9998),"")</f>
        <v/>
      </c>
      <c r="L250" s="5" t="str">
        <f>IFERROR(INDEX('Outreach Log'!$F:$F,MATCH(TEXT(K250,"YYYY-MM-DD")&amp;F250,'Outreach Log'!$L:$L,0)),"")</f>
        <v/>
      </c>
      <c r="M250" s="6" t="str">
        <f>IFERROR(HYPERLINK("#'Outreach Log'!A"&amp;MATCH(TEXT(K250,"YYYY-MM-DD")&amp;F250,'Outreach Log'!$L:$L,0),"→ View"),"—")</f>
        <v>—</v>
      </c>
      <c r="N250" s="6" t="str">
        <f>IFERROR(HYPERLINK("#Companies!A"&amp;MATCH(E250,Companies!$B:$B,0),"→ View"),"—")</f>
        <v>→ View</v>
      </c>
    </row>
    <row r="251" spans="1:14">
      <c r="A251" s="9">
        <f>IF(tblContacts[[#This Row],[First Name]]&lt;&gt;0,ROW()-1,"")</f>
        <v>250</v>
      </c>
      <c r="B251" s="50" t="s">
        <v>993</v>
      </c>
      <c r="C251" s="50" t="s">
        <v>1557</v>
      </c>
      <c r="D251" s="10"/>
      <c r="E251" s="10" t="s">
        <v>506</v>
      </c>
      <c r="F251" s="10" t="s">
        <v>1558</v>
      </c>
      <c r="G251" s="10"/>
      <c r="H251" s="10" t="s">
        <v>2824</v>
      </c>
      <c r="I251" s="10" t="s">
        <v>2171</v>
      </c>
      <c r="J251" s="10"/>
      <c r="K251" s="7" cm="1">
        <f t="array" ref="K251">IFERROR(LOOKUP(2,1/('Outreach Log'!$C$2:$C$9998=F251),'Outreach Log'!$B$2:$B$9998),"")</f>
        <v>46126</v>
      </c>
      <c r="L251" s="5" t="str">
        <f>IFERROR(INDEX('Outreach Log'!$F:$F,MATCH(TEXT(K251,"YYYY-MM-DD")&amp;F251,'Outreach Log'!$L:$L,0)),"")</f>
        <v>Email</v>
      </c>
      <c r="M251" s="6" t="str">
        <f>IFERROR(HYPERLINK("#'Outreach Log'!A"&amp;MATCH(TEXT(K251,"YYYY-MM-DD")&amp;F251,'Outreach Log'!$L:$L,0),"→ View"),"—")</f>
        <v>→ View</v>
      </c>
      <c r="N251" s="6" t="str">
        <f>IFERROR(HYPERLINK("#Companies!A"&amp;MATCH(E251,Companies!$B:$B,0),"→ View"),"—")</f>
        <v>→ View</v>
      </c>
    </row>
    <row r="252" spans="1:14">
      <c r="A252" s="9">
        <f>IF(tblContacts[[#This Row],[First Name]]&lt;&gt;0,ROW()-1,"")</f>
        <v>251</v>
      </c>
      <c r="B252" s="50" t="s">
        <v>993</v>
      </c>
      <c r="C252" s="50" t="s">
        <v>1559</v>
      </c>
      <c r="D252" s="10"/>
      <c r="E252" s="10" t="s">
        <v>508</v>
      </c>
      <c r="F252" s="10" t="s">
        <v>1560</v>
      </c>
      <c r="G252" s="10"/>
      <c r="H252" s="10" t="s">
        <v>2824</v>
      </c>
      <c r="I252" s="10" t="s">
        <v>2171</v>
      </c>
      <c r="J252" s="10"/>
      <c r="K252" s="7" t="str" cm="1">
        <f t="array" ref="K252">IFERROR(LOOKUP(2,1/('Outreach Log'!$C$2:$C$9998=F252),'Outreach Log'!$B$2:$B$9998),"")</f>
        <v/>
      </c>
      <c r="L252" s="5" t="str">
        <f>IFERROR(INDEX('Outreach Log'!$F:$F,MATCH(TEXT(K252,"YYYY-MM-DD")&amp;F252,'Outreach Log'!$L:$L,0)),"")</f>
        <v/>
      </c>
      <c r="M252" s="6" t="str">
        <f>IFERROR(HYPERLINK("#'Outreach Log'!A"&amp;MATCH(TEXT(K252,"YYYY-MM-DD")&amp;F252,'Outreach Log'!$L:$L,0),"→ View"),"—")</f>
        <v>—</v>
      </c>
      <c r="N252" s="6" t="str">
        <f>IFERROR(HYPERLINK("#Companies!A"&amp;MATCH(E252,Companies!$B:$B,0),"→ View"),"—")</f>
        <v>→ View</v>
      </c>
    </row>
    <row r="253" spans="1:14">
      <c r="A253" s="9">
        <f>IF(tblContacts[[#This Row],[First Name]]&lt;&gt;0,ROW()-1,"")</f>
        <v>252</v>
      </c>
      <c r="B253" s="50" t="s">
        <v>993</v>
      </c>
      <c r="C253" s="50" t="s">
        <v>1561</v>
      </c>
      <c r="D253" s="10"/>
      <c r="E253" s="10" t="s">
        <v>2345</v>
      </c>
      <c r="F253" s="10" t="s">
        <v>1562</v>
      </c>
      <c r="G253" s="10"/>
      <c r="H253" s="10" t="s">
        <v>2824</v>
      </c>
      <c r="I253" s="10" t="s">
        <v>2171</v>
      </c>
      <c r="J253" s="10"/>
      <c r="K253" s="7" t="str" cm="1">
        <f t="array" ref="K253">IFERROR(LOOKUP(2,1/('Outreach Log'!$C$2:$C$9998=F253),'Outreach Log'!$B$2:$B$9998),"")</f>
        <v/>
      </c>
      <c r="L253" s="5" t="str">
        <f>IFERROR(INDEX('Outreach Log'!$F:$F,MATCH(TEXT(K253,"YYYY-MM-DD")&amp;F253,'Outreach Log'!$L:$L,0)),"")</f>
        <v/>
      </c>
      <c r="M253" s="6" t="str">
        <f>IFERROR(HYPERLINK("#'Outreach Log'!A"&amp;MATCH(TEXT(K253,"YYYY-MM-DD")&amp;F253,'Outreach Log'!$L:$L,0),"→ View"),"—")</f>
        <v>—</v>
      </c>
      <c r="N253" s="6" t="str">
        <f>IFERROR(HYPERLINK("#Companies!A"&amp;MATCH(E253,Companies!$B:$B,0),"→ View"),"—")</f>
        <v>→ View</v>
      </c>
    </row>
    <row r="254" spans="1:14">
      <c r="A254" s="9">
        <f>IF(tblContacts[[#This Row],[First Name]]&lt;&gt;0,ROW()-1,"")</f>
        <v>253</v>
      </c>
      <c r="B254" s="50" t="s">
        <v>993</v>
      </c>
      <c r="C254" s="50" t="s">
        <v>1563</v>
      </c>
      <c r="D254" s="10"/>
      <c r="E254" s="10" t="s">
        <v>2346</v>
      </c>
      <c r="F254" s="10" t="s">
        <v>1564</v>
      </c>
      <c r="G254" s="10"/>
      <c r="H254" s="10" t="s">
        <v>2824</v>
      </c>
      <c r="I254" s="10" t="s">
        <v>2171</v>
      </c>
      <c r="J254" s="10"/>
      <c r="K254" s="7" cm="1">
        <f t="array" ref="K254">IFERROR(LOOKUP(2,1/('Outreach Log'!$C$2:$C$9998=F254),'Outreach Log'!$B$2:$B$9998),"")</f>
        <v>46126</v>
      </c>
      <c r="L254" s="5" t="str">
        <f>IFERROR(INDEX('Outreach Log'!$F:$F,MATCH(TEXT(K254,"YYYY-MM-DD")&amp;F254,'Outreach Log'!$L:$L,0)),"")</f>
        <v>Email</v>
      </c>
      <c r="M254" s="6" t="str">
        <f>IFERROR(HYPERLINK("#'Outreach Log'!A"&amp;MATCH(TEXT(K254,"YYYY-MM-DD")&amp;F254,'Outreach Log'!$L:$L,0),"→ View"),"—")</f>
        <v>→ View</v>
      </c>
      <c r="N254" s="6" t="str">
        <f>IFERROR(HYPERLINK("#Companies!A"&amp;MATCH(E254,Companies!$B:$B,0),"→ View"),"—")</f>
        <v>→ View</v>
      </c>
    </row>
    <row r="255" spans="1:14">
      <c r="A255" s="9">
        <f>IF(tblContacts[[#This Row],[First Name]]&lt;&gt;0,ROW()-1,"")</f>
        <v>254</v>
      </c>
      <c r="B255" s="50" t="s">
        <v>1039</v>
      </c>
      <c r="C255" s="50" t="s">
        <v>1567</v>
      </c>
      <c r="D255" s="10"/>
      <c r="E255" s="10" t="s">
        <v>2347</v>
      </c>
      <c r="F255" s="10" t="s">
        <v>1568</v>
      </c>
      <c r="G255" s="10"/>
      <c r="H255" s="10" t="s">
        <v>2824</v>
      </c>
      <c r="I255" s="10" t="s">
        <v>2171</v>
      </c>
      <c r="J255" s="10"/>
      <c r="K255" s="7" t="str" cm="1">
        <f t="array" ref="K255">IFERROR(LOOKUP(2,1/('Outreach Log'!$C$2:$C$9998=F255),'Outreach Log'!$B$2:$B$9998),"")</f>
        <v/>
      </c>
      <c r="L255" s="5" t="str">
        <f>IFERROR(INDEX('Outreach Log'!$F:$F,MATCH(TEXT(K255,"YYYY-MM-DD")&amp;F255,'Outreach Log'!$L:$L,0)),"")</f>
        <v/>
      </c>
      <c r="M255" s="6" t="str">
        <f>IFERROR(HYPERLINK("#'Outreach Log'!A"&amp;MATCH(TEXT(K255,"YYYY-MM-DD")&amp;F255,'Outreach Log'!$L:$L,0),"→ View"),"—")</f>
        <v>—</v>
      </c>
      <c r="N255" s="6" t="str">
        <f>IFERROR(HYPERLINK("#Companies!A"&amp;MATCH(E255,Companies!$B:$B,0),"→ View"),"—")</f>
        <v>→ View</v>
      </c>
    </row>
    <row r="256" spans="1:14">
      <c r="A256" s="9">
        <f>IF(tblContacts[[#This Row],[First Name]]&lt;&gt;0,ROW()-1,"")</f>
        <v>255</v>
      </c>
      <c r="B256" s="50" t="s">
        <v>1569</v>
      </c>
      <c r="C256" s="50" t="s">
        <v>1571</v>
      </c>
      <c r="D256" s="10"/>
      <c r="E256" s="10" t="s">
        <v>2348</v>
      </c>
      <c r="F256" s="10" t="s">
        <v>1572</v>
      </c>
      <c r="G256" s="10"/>
      <c r="H256" s="10" t="s">
        <v>2824</v>
      </c>
      <c r="I256" s="10" t="s">
        <v>2171</v>
      </c>
      <c r="J256" s="10"/>
      <c r="K256" s="7" cm="1">
        <f t="array" ref="K256">IFERROR(LOOKUP(2,1/('Outreach Log'!$C$2:$C$9998=F256),'Outreach Log'!$B$2:$B$9998),"")</f>
        <v>46126</v>
      </c>
      <c r="L256" s="5" t="str">
        <f>IFERROR(INDEX('Outreach Log'!$F:$F,MATCH(TEXT(K256,"YYYY-MM-DD")&amp;F256,'Outreach Log'!$L:$L,0)),"")</f>
        <v>Email</v>
      </c>
      <c r="M256" s="6" t="str">
        <f>IFERROR(HYPERLINK("#'Outreach Log'!A"&amp;MATCH(TEXT(K256,"YYYY-MM-DD")&amp;F256,'Outreach Log'!$L:$L,0),"→ View"),"—")</f>
        <v>→ View</v>
      </c>
      <c r="N256" s="6" t="str">
        <f>IFERROR(HYPERLINK("#Companies!A"&amp;MATCH(E256,Companies!$B:$B,0),"→ View"),"—")</f>
        <v>→ View</v>
      </c>
    </row>
    <row r="257" spans="1:14">
      <c r="A257" s="9">
        <f>IF(tblContacts[[#This Row],[First Name]]&lt;&gt;0,ROW()-1,"")</f>
        <v>256</v>
      </c>
      <c r="B257" s="50" t="s">
        <v>1573</v>
      </c>
      <c r="C257" s="50" t="s">
        <v>1569</v>
      </c>
      <c r="D257" s="10"/>
      <c r="E257" s="10" t="s">
        <v>515</v>
      </c>
      <c r="F257" s="10" t="s">
        <v>1574</v>
      </c>
      <c r="G257" s="10"/>
      <c r="H257" s="10" t="s">
        <v>2824</v>
      </c>
      <c r="I257" s="10" t="s">
        <v>2171</v>
      </c>
      <c r="J257" s="10"/>
      <c r="K257" s="7" t="str" cm="1">
        <f t="array" ref="K257">IFERROR(LOOKUP(2,1/('Outreach Log'!$C$2:$C$9998=F257),'Outreach Log'!$B$2:$B$9998),"")</f>
        <v/>
      </c>
      <c r="L257" s="5" t="str">
        <f>IFERROR(INDEX('Outreach Log'!$F:$F,MATCH(TEXT(K257,"YYYY-MM-DD")&amp;F257,'Outreach Log'!$L:$L,0)),"")</f>
        <v/>
      </c>
      <c r="M257" s="6" t="str">
        <f>IFERROR(HYPERLINK("#'Outreach Log'!A"&amp;MATCH(TEXT(K257,"YYYY-MM-DD")&amp;F257,'Outreach Log'!$L:$L,0),"→ View"),"—")</f>
        <v>—</v>
      </c>
      <c r="N257" s="6" t="str">
        <f>IFERROR(HYPERLINK("#Companies!A"&amp;MATCH(E257,Companies!$B:$B,0),"→ View"),"—")</f>
        <v>→ View</v>
      </c>
    </row>
    <row r="258" spans="1:14">
      <c r="A258" s="9">
        <f>IF(tblContacts[[#This Row],[First Name]]&lt;&gt;0,ROW()-1,"")</f>
        <v>257</v>
      </c>
      <c r="B258" s="50" t="s">
        <v>1569</v>
      </c>
      <c r="C258" s="50" t="s">
        <v>1575</v>
      </c>
      <c r="D258" s="10"/>
      <c r="E258" s="10" t="s">
        <v>2349</v>
      </c>
      <c r="F258" s="10" t="s">
        <v>1576</v>
      </c>
      <c r="G258" s="10"/>
      <c r="H258" s="10" t="s">
        <v>2824</v>
      </c>
      <c r="I258" s="10" t="s">
        <v>2171</v>
      </c>
      <c r="J258" s="10"/>
      <c r="K258" s="7" cm="1">
        <f t="array" ref="K258">IFERROR(LOOKUP(2,1/('Outreach Log'!$C$2:$C$9998=F258),'Outreach Log'!$B$2:$B$9998),"")</f>
        <v>46126</v>
      </c>
      <c r="L258" s="5" t="str">
        <f>IFERROR(INDEX('Outreach Log'!$F:$F,MATCH(TEXT(K258,"YYYY-MM-DD")&amp;F258,'Outreach Log'!$L:$L,0)),"")</f>
        <v>Email</v>
      </c>
      <c r="M258" s="6" t="str">
        <f>IFERROR(HYPERLINK("#'Outreach Log'!A"&amp;MATCH(TEXT(K258,"YYYY-MM-DD")&amp;F258,'Outreach Log'!$L:$L,0),"→ View"),"—")</f>
        <v>→ View</v>
      </c>
      <c r="N258" s="6" t="str">
        <f>IFERROR(HYPERLINK("#Companies!A"&amp;MATCH(E258,Companies!$B:$B,0),"→ View"),"—")</f>
        <v>→ View</v>
      </c>
    </row>
    <row r="259" spans="1:14">
      <c r="A259" s="9">
        <f>IF(tblContacts[[#This Row],[First Name]]&lt;&gt;0,ROW()-1,"")</f>
        <v>258</v>
      </c>
      <c r="B259" s="50" t="s">
        <v>1039</v>
      </c>
      <c r="C259" s="50" t="s">
        <v>1262</v>
      </c>
      <c r="D259" s="10"/>
      <c r="E259" s="10" t="s">
        <v>2350</v>
      </c>
      <c r="F259" s="10" t="s">
        <v>1577</v>
      </c>
      <c r="G259" s="10"/>
      <c r="H259" s="10" t="s">
        <v>2824</v>
      </c>
      <c r="I259" s="10" t="s">
        <v>2171</v>
      </c>
      <c r="J259" s="10"/>
      <c r="K259" s="7" cm="1">
        <f t="array" ref="K259">IFERROR(LOOKUP(2,1/('Outreach Log'!$C$2:$C$9998=F259),'Outreach Log'!$B$2:$B$9998),"")</f>
        <v>46126</v>
      </c>
      <c r="L259" s="5" t="str">
        <f>IFERROR(INDEX('Outreach Log'!$F:$F,MATCH(TEXT(K259,"YYYY-MM-DD")&amp;F259,'Outreach Log'!$L:$L,0)),"")</f>
        <v>Email</v>
      </c>
      <c r="M259" s="6" t="str">
        <f>IFERROR(HYPERLINK("#'Outreach Log'!A"&amp;MATCH(TEXT(K259,"YYYY-MM-DD")&amp;F259,'Outreach Log'!$L:$L,0),"→ View"),"—")</f>
        <v>→ View</v>
      </c>
      <c r="N259" s="6" t="str">
        <f>IFERROR(HYPERLINK("#Companies!A"&amp;MATCH(E259,Companies!$B:$B,0),"→ View"),"—")</f>
        <v>→ View</v>
      </c>
    </row>
    <row r="260" spans="1:14">
      <c r="A260" s="9">
        <f>IF(tblContacts[[#This Row],[First Name]]&lt;&gt;0,ROW()-1,"")</f>
        <v>259</v>
      </c>
      <c r="B260" s="50" t="s">
        <v>1211</v>
      </c>
      <c r="C260" s="50" t="s">
        <v>1119</v>
      </c>
      <c r="D260" s="10"/>
      <c r="E260" s="10" t="s">
        <v>2351</v>
      </c>
      <c r="F260" s="10" t="s">
        <v>1580</v>
      </c>
      <c r="G260" s="10"/>
      <c r="H260" s="10" t="s">
        <v>2824</v>
      </c>
      <c r="I260" s="10" t="s">
        <v>2171</v>
      </c>
      <c r="J260" s="10"/>
      <c r="K260" s="7" t="str" cm="1">
        <f t="array" ref="K260">IFERROR(LOOKUP(2,1/('Outreach Log'!$C$2:$C$9998=F260),'Outreach Log'!$B$2:$B$9998),"")</f>
        <v/>
      </c>
      <c r="L260" s="5" t="str">
        <f>IFERROR(INDEX('Outreach Log'!$F:$F,MATCH(TEXT(K260,"YYYY-MM-DD")&amp;F260,'Outreach Log'!$L:$L,0)),"")</f>
        <v/>
      </c>
      <c r="M260" s="6" t="str">
        <f>IFERROR(HYPERLINK("#'Outreach Log'!A"&amp;MATCH(TEXT(K260,"YYYY-MM-DD")&amp;F260,'Outreach Log'!$L:$L,0),"→ View"),"—")</f>
        <v>—</v>
      </c>
      <c r="N260" s="6" t="str">
        <f>IFERROR(HYPERLINK("#Companies!A"&amp;MATCH(E260,Companies!$B:$B,0),"→ View"),"—")</f>
        <v>→ View</v>
      </c>
    </row>
    <row r="261" spans="1:14">
      <c r="A261" s="9">
        <f>IF(tblContacts[[#This Row],[First Name]]&lt;&gt;0,ROW()-1,"")</f>
        <v>260</v>
      </c>
      <c r="B261" s="50" t="s">
        <v>1389</v>
      </c>
      <c r="C261" s="50" t="s">
        <v>1587</v>
      </c>
      <c r="D261" s="10"/>
      <c r="E261" s="10" t="s">
        <v>2352</v>
      </c>
      <c r="F261" s="10" t="s">
        <v>1588</v>
      </c>
      <c r="G261" s="10"/>
      <c r="H261" s="10" t="s">
        <v>2824</v>
      </c>
      <c r="I261" s="10" t="s">
        <v>2171</v>
      </c>
      <c r="J261" s="10"/>
      <c r="K261" s="7" t="str" cm="1">
        <f t="array" ref="K261">IFERROR(LOOKUP(2,1/('Outreach Log'!$C$2:$C$9998=F261),'Outreach Log'!$B$2:$B$9998),"")</f>
        <v/>
      </c>
      <c r="L261" s="5" t="str">
        <f>IFERROR(INDEX('Outreach Log'!$F:$F,MATCH(TEXT(K261,"YYYY-MM-DD")&amp;F261,'Outreach Log'!$L:$L,0)),"")</f>
        <v/>
      </c>
      <c r="M261" s="6" t="str">
        <f>IFERROR(HYPERLINK("#'Outreach Log'!A"&amp;MATCH(TEXT(K261,"YYYY-MM-DD")&amp;F261,'Outreach Log'!$L:$L,0),"→ View"),"—")</f>
        <v>—</v>
      </c>
      <c r="N261" s="6" t="str">
        <f>IFERROR(HYPERLINK("#Companies!A"&amp;MATCH(E261,Companies!$B:$B,0),"→ View"),"—")</f>
        <v>→ View</v>
      </c>
    </row>
    <row r="262" spans="1:14">
      <c r="A262" s="9">
        <f>IF(tblContacts[[#This Row],[First Name]]&lt;&gt;0,ROW()-1,"")</f>
        <v>261</v>
      </c>
      <c r="B262" s="50" t="s">
        <v>1589</v>
      </c>
      <c r="C262" s="50" t="s">
        <v>1590</v>
      </c>
      <c r="D262" s="10" t="s">
        <v>1591</v>
      </c>
      <c r="E262" s="10" t="s">
        <v>2353</v>
      </c>
      <c r="F262" s="10" t="s">
        <v>1592</v>
      </c>
      <c r="G262" s="10"/>
      <c r="H262" s="10" t="s">
        <v>2824</v>
      </c>
      <c r="I262" s="10" t="s">
        <v>13</v>
      </c>
      <c r="J262" s="10"/>
      <c r="K262" s="7" cm="1">
        <f t="array" ref="K262">IFERROR(LOOKUP(2,1/('Outreach Log'!$C$2:$C$9998=F262),'Outreach Log'!$B$2:$B$9998),"")</f>
        <v>46126</v>
      </c>
      <c r="L262" s="5" t="str">
        <f>IFERROR(INDEX('Outreach Log'!$F:$F,MATCH(TEXT(K262,"YYYY-MM-DD")&amp;F262,'Outreach Log'!$L:$L,0)),"")</f>
        <v>Email</v>
      </c>
      <c r="M262" s="6" t="str">
        <f>IFERROR(HYPERLINK("#'Outreach Log'!A"&amp;MATCH(TEXT(K262,"YYYY-MM-DD")&amp;F262,'Outreach Log'!$L:$L,0),"→ View"),"—")</f>
        <v>→ View</v>
      </c>
      <c r="N262" s="6" t="str">
        <f>IFERROR(HYPERLINK("#Companies!A"&amp;MATCH(E262,Companies!$B:$B,0),"→ View"),"—")</f>
        <v>→ View</v>
      </c>
    </row>
    <row r="263" spans="1:14">
      <c r="A263" s="9">
        <f>IF(tblContacts[[#This Row],[First Name]]&lt;&gt;0,ROW()-1,"")</f>
        <v>262</v>
      </c>
      <c r="B263" s="50" t="s">
        <v>1593</v>
      </c>
      <c r="C263" s="50" t="s">
        <v>1595</v>
      </c>
      <c r="D263" s="10"/>
      <c r="E263" s="10" t="s">
        <v>525</v>
      </c>
      <c r="F263" s="10" t="s">
        <v>1596</v>
      </c>
      <c r="G263" s="10"/>
      <c r="H263" s="10" t="s">
        <v>2824</v>
      </c>
      <c r="I263" s="10" t="s">
        <v>2171</v>
      </c>
      <c r="J263" s="10"/>
      <c r="K263" s="7" cm="1">
        <f t="array" ref="K263">IFERROR(LOOKUP(2,1/('Outreach Log'!$C$2:$C$9998=F263),'Outreach Log'!$B$2:$B$9998),"")</f>
        <v>46126</v>
      </c>
      <c r="L263" s="5" t="str">
        <f>IFERROR(INDEX('Outreach Log'!$F:$F,MATCH(TEXT(K263,"YYYY-MM-DD")&amp;F263,'Outreach Log'!$L:$L,0)),"")</f>
        <v>Email</v>
      </c>
      <c r="M263" s="6" t="str">
        <f>IFERROR(HYPERLINK("#'Outreach Log'!A"&amp;MATCH(TEXT(K263,"YYYY-MM-DD")&amp;F263,'Outreach Log'!$L:$L,0),"→ View"),"—")</f>
        <v>→ View</v>
      </c>
      <c r="N263" s="6" t="str">
        <f>IFERROR(HYPERLINK("#Companies!A"&amp;MATCH(E263,Companies!$B:$B,0),"→ View"),"—")</f>
        <v>→ View</v>
      </c>
    </row>
    <row r="264" spans="1:14">
      <c r="A264" s="9">
        <f>IF(tblContacts[[#This Row],[First Name]]&lt;&gt;0,ROW()-1,"")</f>
        <v>263</v>
      </c>
      <c r="B264" s="50" t="s">
        <v>1597</v>
      </c>
      <c r="C264" s="50" t="s">
        <v>766</v>
      </c>
      <c r="D264" s="10"/>
      <c r="E264" s="10" t="s">
        <v>2354</v>
      </c>
      <c r="F264" s="10" t="s">
        <v>1598</v>
      </c>
      <c r="G264" s="10"/>
      <c r="H264" s="10" t="s">
        <v>2824</v>
      </c>
      <c r="I264" s="10" t="s">
        <v>2171</v>
      </c>
      <c r="J264" s="10"/>
      <c r="K264" s="7" t="str" cm="1">
        <f t="array" ref="K264">IFERROR(LOOKUP(2,1/('Outreach Log'!$C$2:$C$9998=F264),'Outreach Log'!$B$2:$B$9998),"")</f>
        <v/>
      </c>
      <c r="L264" s="5" t="str">
        <f>IFERROR(INDEX('Outreach Log'!$F:$F,MATCH(TEXT(K264,"YYYY-MM-DD")&amp;F264,'Outreach Log'!$L:$L,0)),"")</f>
        <v/>
      </c>
      <c r="M264" s="6" t="str">
        <f>IFERROR(HYPERLINK("#'Outreach Log'!A"&amp;MATCH(TEXT(K264,"YYYY-MM-DD")&amp;F264,'Outreach Log'!$L:$L,0),"→ View"),"—")</f>
        <v>—</v>
      </c>
      <c r="N264" s="6" t="str">
        <f>IFERROR(HYPERLINK("#Companies!A"&amp;MATCH(E264,Companies!$B:$B,0),"→ View"),"—")</f>
        <v>→ View</v>
      </c>
    </row>
    <row r="265" spans="1:14">
      <c r="A265" s="9">
        <f>IF(tblContacts[[#This Row],[First Name]]&lt;&gt;0,ROW()-1,"")</f>
        <v>264</v>
      </c>
      <c r="B265" s="50" t="s">
        <v>1597</v>
      </c>
      <c r="C265" s="50" t="s">
        <v>1601</v>
      </c>
      <c r="D265" s="10"/>
      <c r="E265" s="10" t="s">
        <v>2355</v>
      </c>
      <c r="F265" s="10" t="s">
        <v>1602</v>
      </c>
      <c r="G265" s="10"/>
      <c r="H265" s="10" t="s">
        <v>2824</v>
      </c>
      <c r="I265" s="10" t="s">
        <v>2171</v>
      </c>
      <c r="J265" s="10"/>
      <c r="K265" s="7" cm="1">
        <f t="array" ref="K265">IFERROR(LOOKUP(2,1/('Outreach Log'!$C$2:$C$9998=F265),'Outreach Log'!$B$2:$B$9998),"")</f>
        <v>46126</v>
      </c>
      <c r="L265" s="5" t="str">
        <f>IFERROR(INDEX('Outreach Log'!$F:$F,MATCH(TEXT(K265,"YYYY-MM-DD")&amp;F265,'Outreach Log'!$L:$L,0)),"")</f>
        <v>Email</v>
      </c>
      <c r="M265" s="6" t="str">
        <f>IFERROR(HYPERLINK("#'Outreach Log'!A"&amp;MATCH(TEXT(K265,"YYYY-MM-DD")&amp;F265,'Outreach Log'!$L:$L,0),"→ View"),"—")</f>
        <v>→ View</v>
      </c>
      <c r="N265" s="6" t="str">
        <f>IFERROR(HYPERLINK("#Companies!A"&amp;MATCH(E265,Companies!$B:$B,0),"→ View"),"—")</f>
        <v>→ View</v>
      </c>
    </row>
    <row r="266" spans="1:14">
      <c r="A266" s="9">
        <f>IF(tblContacts[[#This Row],[First Name]]&lt;&gt;0,ROW()-1,"")</f>
        <v>265</v>
      </c>
      <c r="B266" s="50" t="s">
        <v>1603</v>
      </c>
      <c r="C266" s="50" t="s">
        <v>3328</v>
      </c>
      <c r="D266" s="10" t="s">
        <v>3195</v>
      </c>
      <c r="E266" s="10" t="s">
        <v>3145</v>
      </c>
      <c r="F266" s="10" t="s">
        <v>3329</v>
      </c>
      <c r="G266" s="10" t="s">
        <v>3330</v>
      </c>
      <c r="H266" s="10" t="s">
        <v>2824</v>
      </c>
      <c r="I266" s="44" t="s">
        <v>3363</v>
      </c>
      <c r="K266" s="7" t="str" cm="1">
        <f t="array" ref="K266">IFERROR(LOOKUP(2,1/('Outreach Log'!$C$2:$C$9998=F266),'Outreach Log'!$B$2:$B$9998),"")</f>
        <v/>
      </c>
      <c r="L266" s="5" t="str">
        <f>IFERROR(INDEX('Outreach Log'!$F:$F,MATCH(TEXT(K266,"YYYY-MM-DD")&amp;F266,'Outreach Log'!$L:$L,0)),"")</f>
        <v/>
      </c>
      <c r="M266" s="6" t="str">
        <f>IFERROR(HYPERLINK("#'Outreach Log'!A"&amp;MATCH(TEXT(K266,"YYYY-MM-DD")&amp;F266,'Outreach Log'!$L:$L,0),"→ View"),"—")</f>
        <v>—</v>
      </c>
      <c r="N266" s="6" t="str">
        <f>IFERROR(HYPERLINK("#Companies!A"&amp;MATCH(E266,Companies!$B:$B,0),"→ View"),"—")</f>
        <v>→ View</v>
      </c>
    </row>
    <row r="267" spans="1:14">
      <c r="A267" s="9">
        <f>IF(tblContacts[[#This Row],[First Name]]&lt;&gt;0,ROW()-1,"")</f>
        <v>266</v>
      </c>
      <c r="B267" s="50" t="s">
        <v>1603</v>
      </c>
      <c r="C267" s="50" t="s">
        <v>1604</v>
      </c>
      <c r="D267" s="10" t="s">
        <v>1605</v>
      </c>
      <c r="E267" s="10" t="s">
        <v>529</v>
      </c>
      <c r="F267" s="10" t="s">
        <v>1606</v>
      </c>
      <c r="G267" s="10"/>
      <c r="H267" s="10" t="s">
        <v>2824</v>
      </c>
      <c r="I267" s="10" t="s">
        <v>13</v>
      </c>
      <c r="J267" s="10"/>
      <c r="K267" s="7" t="str" cm="1">
        <f t="array" ref="K267">IFERROR(LOOKUP(2,1/('Outreach Log'!$C$2:$C$9998=F267),'Outreach Log'!$B$2:$B$9998),"")</f>
        <v/>
      </c>
      <c r="L267" s="5" t="str">
        <f>IFERROR(INDEX('Outreach Log'!$F:$F,MATCH(TEXT(K267,"YYYY-MM-DD")&amp;F267,'Outreach Log'!$L:$L,0)),"")</f>
        <v/>
      </c>
      <c r="M267" s="6" t="str">
        <f>IFERROR(HYPERLINK("#'Outreach Log'!A"&amp;MATCH(TEXT(K267,"YYYY-MM-DD")&amp;F267,'Outreach Log'!$L:$L,0),"→ View"),"—")</f>
        <v>—</v>
      </c>
      <c r="N267" s="6" t="str">
        <f>IFERROR(HYPERLINK("#Companies!A"&amp;MATCH(E267,Companies!$B:$B,0),"→ View"),"—")</f>
        <v>→ View</v>
      </c>
    </row>
    <row r="268" spans="1:14">
      <c r="A268" s="9">
        <f>IF(tblContacts[[#This Row],[First Name]]&lt;&gt;0,ROW()-1,"")</f>
        <v>267</v>
      </c>
      <c r="B268" s="50" t="s">
        <v>1603</v>
      </c>
      <c r="C268" s="50" t="s">
        <v>1607</v>
      </c>
      <c r="D268" s="10"/>
      <c r="E268" s="10" t="s">
        <v>327</v>
      </c>
      <c r="F268" s="10" t="s">
        <v>1608</v>
      </c>
      <c r="G268" s="10"/>
      <c r="H268" s="10" t="s">
        <v>2824</v>
      </c>
      <c r="I268" s="10" t="s">
        <v>2171</v>
      </c>
      <c r="J268" s="10"/>
      <c r="K268" s="7" t="str" cm="1">
        <f t="array" ref="K268">IFERROR(LOOKUP(2,1/('Outreach Log'!$C$2:$C$9998=F268),'Outreach Log'!$B$2:$B$9998),"")</f>
        <v/>
      </c>
      <c r="L268" s="5" t="str">
        <f>IFERROR(INDEX('Outreach Log'!$F:$F,MATCH(TEXT(K268,"YYYY-MM-DD")&amp;F268,'Outreach Log'!$L:$L,0)),"")</f>
        <v/>
      </c>
      <c r="M268" s="6" t="str">
        <f>IFERROR(HYPERLINK("#'Outreach Log'!A"&amp;MATCH(TEXT(K268,"YYYY-MM-DD")&amp;F268,'Outreach Log'!$L:$L,0),"→ View"),"—")</f>
        <v>—</v>
      </c>
      <c r="N268" s="6" t="str">
        <f>IFERROR(HYPERLINK("#Companies!A"&amp;MATCH(E268,Companies!$B:$B,0),"→ View"),"—")</f>
        <v>→ View</v>
      </c>
    </row>
    <row r="269" spans="1:14">
      <c r="A269" s="9">
        <f>IF(tblContacts[[#This Row],[First Name]]&lt;&gt;0,ROW()-1,"")</f>
        <v>268</v>
      </c>
      <c r="B269" s="50" t="s">
        <v>1609</v>
      </c>
      <c r="C269" s="50" t="s">
        <v>1610</v>
      </c>
      <c r="D269" s="10"/>
      <c r="E269" s="10" t="s">
        <v>531</v>
      </c>
      <c r="F269" s="10" t="s">
        <v>1611</v>
      </c>
      <c r="G269" s="10"/>
      <c r="H269" s="10" t="s">
        <v>2824</v>
      </c>
      <c r="I269" s="10" t="s">
        <v>2171</v>
      </c>
      <c r="J269" s="10"/>
      <c r="K269" s="7" t="str" cm="1">
        <f t="array" ref="K269">IFERROR(LOOKUP(2,1/('Outreach Log'!$C$2:$C$9998=F269),'Outreach Log'!$B$2:$B$9998),"")</f>
        <v/>
      </c>
      <c r="L269" s="5" t="str">
        <f>IFERROR(INDEX('Outreach Log'!$F:$F,MATCH(TEXT(K269,"YYYY-MM-DD")&amp;F269,'Outreach Log'!$L:$L,0)),"")</f>
        <v/>
      </c>
      <c r="M269" s="6" t="str">
        <f>IFERROR(HYPERLINK("#'Outreach Log'!A"&amp;MATCH(TEXT(K269,"YYYY-MM-DD")&amp;F269,'Outreach Log'!$L:$L,0),"→ View"),"—")</f>
        <v>—</v>
      </c>
      <c r="N269" s="6" t="str">
        <f>IFERROR(HYPERLINK("#Companies!A"&amp;MATCH(E269,Companies!$B:$B,0),"→ View"),"—")</f>
        <v>→ View</v>
      </c>
    </row>
    <row r="270" spans="1:14">
      <c r="A270" s="9">
        <f>IF(tblContacts[[#This Row],[First Name]]&lt;&gt;0,ROW()-1,"")</f>
        <v>269</v>
      </c>
      <c r="B270" s="50" t="s">
        <v>1614</v>
      </c>
      <c r="C270" s="50" t="s">
        <v>1177</v>
      </c>
      <c r="D270" s="10"/>
      <c r="E270" s="10" t="s">
        <v>534</v>
      </c>
      <c r="F270" s="10" t="s">
        <v>1615</v>
      </c>
      <c r="G270" s="10"/>
      <c r="H270" s="10" t="s">
        <v>2824</v>
      </c>
      <c r="I270" s="10" t="s">
        <v>2171</v>
      </c>
      <c r="J270" s="10"/>
      <c r="K270" s="7" cm="1">
        <f t="array" ref="K270">IFERROR(LOOKUP(2,1/('Outreach Log'!$C$2:$C$9998=F270),'Outreach Log'!$B$2:$B$9998),"")</f>
        <v>46126</v>
      </c>
      <c r="L270" s="5" t="str">
        <f>IFERROR(INDEX('Outreach Log'!$F:$F,MATCH(TEXT(K270,"YYYY-MM-DD")&amp;F270,'Outreach Log'!$L:$L,0)),"")</f>
        <v>Email</v>
      </c>
      <c r="M270" s="6" t="str">
        <f>IFERROR(HYPERLINK("#'Outreach Log'!A"&amp;MATCH(TEXT(K270,"YYYY-MM-DD")&amp;F270,'Outreach Log'!$L:$L,0),"→ View"),"—")</f>
        <v>→ View</v>
      </c>
      <c r="N270" s="6" t="str">
        <f>IFERROR(HYPERLINK("#Companies!A"&amp;MATCH(E270,Companies!$B:$B,0),"→ View"),"—")</f>
        <v>→ View</v>
      </c>
    </row>
    <row r="271" spans="1:14">
      <c r="A271" s="9">
        <f>IF(tblContacts[[#This Row],[First Name]]&lt;&gt;0,ROW()-1,"")</f>
        <v>270</v>
      </c>
      <c r="B271" s="50" t="s">
        <v>1616</v>
      </c>
      <c r="C271" s="50" t="s">
        <v>1617</v>
      </c>
      <c r="D271" s="10" t="s">
        <v>768</v>
      </c>
      <c r="E271" s="10" t="s">
        <v>303</v>
      </c>
      <c r="F271" s="10" t="s">
        <v>1618</v>
      </c>
      <c r="G271" s="10"/>
      <c r="H271" s="10" t="s">
        <v>2824</v>
      </c>
      <c r="I271" s="10" t="s">
        <v>2171</v>
      </c>
      <c r="J271" s="10"/>
      <c r="K271" s="7" cm="1">
        <f t="array" ref="K271">IFERROR(LOOKUP(2,1/('Outreach Log'!$C$2:$C$9998=F271),'Outreach Log'!$B$2:$B$9998),"")</f>
        <v>46126</v>
      </c>
      <c r="L271" s="5" t="str">
        <f>IFERROR(INDEX('Outreach Log'!$F:$F,MATCH(TEXT(K271,"YYYY-MM-DD")&amp;F271,'Outreach Log'!$L:$L,0)),"")</f>
        <v>Email</v>
      </c>
      <c r="M271" s="6" t="str">
        <f>IFERROR(HYPERLINK("#'Outreach Log'!A"&amp;MATCH(TEXT(K271,"YYYY-MM-DD")&amp;F271,'Outreach Log'!$L:$L,0),"→ View"),"—")</f>
        <v>→ View</v>
      </c>
      <c r="N271" s="6" t="str">
        <f>IFERROR(HYPERLINK("#Companies!A"&amp;MATCH(E271,Companies!$B:$B,0),"→ View"),"—")</f>
        <v>→ View</v>
      </c>
    </row>
    <row r="272" spans="1:14">
      <c r="A272" s="9">
        <f>IF(tblContacts[[#This Row],[First Name]]&lt;&gt;0,ROW()-1,"")</f>
        <v>271</v>
      </c>
      <c r="B272" s="50" t="s">
        <v>1616</v>
      </c>
      <c r="C272" s="50" t="s">
        <v>1107</v>
      </c>
      <c r="D272" s="10"/>
      <c r="E272" s="10" t="s">
        <v>2356</v>
      </c>
      <c r="F272" s="10" t="s">
        <v>1621</v>
      </c>
      <c r="G272" s="10"/>
      <c r="H272" s="10" t="s">
        <v>2824</v>
      </c>
      <c r="I272" s="10" t="s">
        <v>2171</v>
      </c>
      <c r="J272" s="10"/>
      <c r="K272" s="7" t="str" cm="1">
        <f t="array" ref="K272">IFERROR(LOOKUP(2,1/('Outreach Log'!$C$2:$C$9998=F272),'Outreach Log'!$B$2:$B$9998),"")</f>
        <v/>
      </c>
      <c r="L272" s="5" t="str">
        <f>IFERROR(INDEX('Outreach Log'!$F:$F,MATCH(TEXT(K272,"YYYY-MM-DD")&amp;F272,'Outreach Log'!$L:$L,0)),"")</f>
        <v/>
      </c>
      <c r="M272" s="6" t="str">
        <f>IFERROR(HYPERLINK("#'Outreach Log'!A"&amp;MATCH(TEXT(K272,"YYYY-MM-DD")&amp;F272,'Outreach Log'!$L:$L,0),"→ View"),"—")</f>
        <v>—</v>
      </c>
      <c r="N272" s="6" t="str">
        <f>IFERROR(HYPERLINK("#Companies!A"&amp;MATCH(E272,Companies!$B:$B,0),"→ View"),"—")</f>
        <v>→ View</v>
      </c>
    </row>
    <row r="273" spans="1:14">
      <c r="A273" s="9">
        <f>IF(tblContacts[[#This Row],[First Name]]&lt;&gt;0,ROW()-1,"")</f>
        <v>272</v>
      </c>
      <c r="B273" s="55" t="s">
        <v>1616</v>
      </c>
      <c r="C273" s="55" t="s">
        <v>2862</v>
      </c>
      <c r="E273" s="10" t="s">
        <v>2868</v>
      </c>
      <c r="F273" s="10" t="s">
        <v>2863</v>
      </c>
      <c r="H273" s="10" t="s">
        <v>2824</v>
      </c>
      <c r="I273" s="44" t="s">
        <v>2873</v>
      </c>
      <c r="K273" s="7" t="str" cm="1">
        <f t="array" ref="K273">IFERROR(LOOKUP(2,1/('Outreach Log'!$C$2:$C$9998=F273),'Outreach Log'!$B$2:$B$9998),"")</f>
        <v/>
      </c>
      <c r="L273" s="5" t="str">
        <f>IFERROR(INDEX('Outreach Log'!$F:$F,MATCH(TEXT(K273,"YYYY-MM-DD")&amp;F273,'Outreach Log'!$L:$L,0)),"")</f>
        <v/>
      </c>
      <c r="M273" s="6" t="str">
        <f>IFERROR(HYPERLINK("#'Outreach Log'!A"&amp;MATCH(TEXT(K273,"YYYY-MM-DD")&amp;F273,'Outreach Log'!$L:$L,0),"→ View"),"—")</f>
        <v>—</v>
      </c>
      <c r="N273" s="6" t="str">
        <f>IFERROR(HYPERLINK("#Companies!A"&amp;MATCH(E273,Companies!$B:$B,0),"→ View"),"—")</f>
        <v>—</v>
      </c>
    </row>
    <row r="274" spans="1:14">
      <c r="A274" s="9">
        <f>IF(tblContacts[[#This Row],[First Name]]&lt;&gt;0,ROW()-1,"")</f>
        <v>273</v>
      </c>
      <c r="B274" s="50" t="s">
        <v>1622</v>
      </c>
      <c r="C274" s="50" t="s">
        <v>1623</v>
      </c>
      <c r="D274" s="10"/>
      <c r="E274" s="10" t="s">
        <v>537</v>
      </c>
      <c r="F274" s="10" t="s">
        <v>1624</v>
      </c>
      <c r="G274" s="10"/>
      <c r="H274" s="10" t="s">
        <v>2824</v>
      </c>
      <c r="I274" s="10" t="s">
        <v>2171</v>
      </c>
      <c r="J274" s="10"/>
      <c r="K274" s="7" t="str" cm="1">
        <f t="array" ref="K274">IFERROR(LOOKUP(2,1/('Outreach Log'!$C$2:$C$9998=F274),'Outreach Log'!$B$2:$B$9998),"")</f>
        <v/>
      </c>
      <c r="L274" s="5" t="str">
        <f>IFERROR(INDEX('Outreach Log'!$F:$F,MATCH(TEXT(K274,"YYYY-MM-DD")&amp;F274,'Outreach Log'!$L:$L,0)),"")</f>
        <v/>
      </c>
      <c r="M274" s="6" t="str">
        <f>IFERROR(HYPERLINK("#'Outreach Log'!A"&amp;MATCH(TEXT(K274,"YYYY-MM-DD")&amp;F274,'Outreach Log'!$L:$L,0),"→ View"),"—")</f>
        <v>—</v>
      </c>
      <c r="N274" s="6" t="str">
        <f>IFERROR(HYPERLINK("#Companies!A"&amp;MATCH(E274,Companies!$B:$B,0),"→ View"),"—")</f>
        <v>→ View</v>
      </c>
    </row>
    <row r="275" spans="1:14">
      <c r="A275" s="9">
        <f>IF(tblContacts[[#This Row],[First Name]]&lt;&gt;0,ROW()-1,"")</f>
        <v>274</v>
      </c>
      <c r="B275" s="50" t="s">
        <v>1625</v>
      </c>
      <c r="C275" s="50" t="s">
        <v>1626</v>
      </c>
      <c r="D275" s="10"/>
      <c r="E275" s="10" t="s">
        <v>249</v>
      </c>
      <c r="F275" s="10" t="s">
        <v>1627</v>
      </c>
      <c r="G275" s="10"/>
      <c r="H275" s="10" t="s">
        <v>2824</v>
      </c>
      <c r="I275" s="10" t="s">
        <v>13</v>
      </c>
      <c r="J275" s="10"/>
      <c r="K275" s="7" cm="1">
        <f t="array" ref="K275">IFERROR(LOOKUP(2,1/('Outreach Log'!$C$2:$C$9998=F275),'Outreach Log'!$B$2:$B$9998),"")</f>
        <v>46126</v>
      </c>
      <c r="L275" s="5" t="str">
        <f>IFERROR(INDEX('Outreach Log'!$F:$F,MATCH(TEXT(K275,"YYYY-MM-DD")&amp;F275,'Outreach Log'!$L:$L,0)),"")</f>
        <v>Email</v>
      </c>
      <c r="M275" s="6" t="str">
        <f>IFERROR(HYPERLINK("#'Outreach Log'!A"&amp;MATCH(TEXT(K275,"YYYY-MM-DD")&amp;F275,'Outreach Log'!$L:$L,0),"→ View"),"—")</f>
        <v>→ View</v>
      </c>
      <c r="N275" s="6" t="str">
        <f>IFERROR(HYPERLINK("#Companies!A"&amp;MATCH(E275,Companies!$B:$B,0),"→ View"),"—")</f>
        <v>→ View</v>
      </c>
    </row>
    <row r="276" spans="1:14">
      <c r="A276" s="9">
        <f>IF(tblContacts[[#This Row],[First Name]]&lt;&gt;0,ROW()-1,"")</f>
        <v>275</v>
      </c>
      <c r="B276" s="50" t="s">
        <v>1625</v>
      </c>
      <c r="C276" s="50" t="s">
        <v>1628</v>
      </c>
      <c r="D276" s="10"/>
      <c r="E276" s="10" t="s">
        <v>2357</v>
      </c>
      <c r="F276" s="10" t="s">
        <v>1629</v>
      </c>
      <c r="G276" s="10"/>
      <c r="H276" s="10" t="s">
        <v>2824</v>
      </c>
      <c r="I276" s="10" t="s">
        <v>2171</v>
      </c>
      <c r="J276" s="10"/>
      <c r="K276" s="7" t="str" cm="1">
        <f t="array" ref="K276">IFERROR(LOOKUP(2,1/('Outreach Log'!$C$2:$C$9998=F276),'Outreach Log'!$B$2:$B$9998),"")</f>
        <v/>
      </c>
      <c r="L276" s="5" t="str">
        <f>IFERROR(INDEX('Outreach Log'!$F:$F,MATCH(TEXT(K276,"YYYY-MM-DD")&amp;F276,'Outreach Log'!$L:$L,0)),"")</f>
        <v/>
      </c>
      <c r="M276" s="6" t="str">
        <f>IFERROR(HYPERLINK("#'Outreach Log'!A"&amp;MATCH(TEXT(K276,"YYYY-MM-DD")&amp;F276,'Outreach Log'!$L:$L,0),"→ View"),"—")</f>
        <v>—</v>
      </c>
      <c r="N276" s="6" t="str">
        <f>IFERROR(HYPERLINK("#Companies!A"&amp;MATCH(E276,Companies!$B:$B,0),"→ View"),"—")</f>
        <v>→ View</v>
      </c>
    </row>
    <row r="277" spans="1:14">
      <c r="A277" s="9">
        <f>IF(tblContacts[[#This Row],[First Name]]&lt;&gt;0,ROW()-1,"")</f>
        <v>276</v>
      </c>
      <c r="B277" s="50" t="s">
        <v>1278</v>
      </c>
      <c r="C277" s="50" t="s">
        <v>1095</v>
      </c>
      <c r="D277" s="10"/>
      <c r="E277" s="10" t="s">
        <v>2358</v>
      </c>
      <c r="F277" s="10" t="s">
        <v>1634</v>
      </c>
      <c r="G277" s="10"/>
      <c r="H277" s="10" t="s">
        <v>2824</v>
      </c>
      <c r="I277" s="10" t="s">
        <v>2171</v>
      </c>
      <c r="J277" s="10"/>
      <c r="K277" s="7" t="str" cm="1">
        <f t="array" ref="K277">IFERROR(LOOKUP(2,1/('Outreach Log'!$C$2:$C$9998=F277),'Outreach Log'!$B$2:$B$9998),"")</f>
        <v/>
      </c>
      <c r="L277" s="5" t="str">
        <f>IFERROR(INDEX('Outreach Log'!$F:$F,MATCH(TEXT(K277,"YYYY-MM-DD")&amp;F277,'Outreach Log'!$L:$L,0)),"")</f>
        <v/>
      </c>
      <c r="M277" s="6" t="str">
        <f>IFERROR(HYPERLINK("#'Outreach Log'!A"&amp;MATCH(TEXT(K277,"YYYY-MM-DD")&amp;F277,'Outreach Log'!$L:$L,0),"→ View"),"—")</f>
        <v>—</v>
      </c>
      <c r="N277" s="6" t="str">
        <f>IFERROR(HYPERLINK("#Companies!A"&amp;MATCH(E277,Companies!$B:$B,0),"→ View"),"—")</f>
        <v>→ View</v>
      </c>
    </row>
    <row r="278" spans="1:14">
      <c r="A278" s="9">
        <f>IF(tblContacts[[#This Row],[First Name]]&lt;&gt;0,ROW()-1,"")</f>
        <v>277</v>
      </c>
      <c r="B278" s="50" t="s">
        <v>1616</v>
      </c>
      <c r="C278" s="50" t="s">
        <v>1637</v>
      </c>
      <c r="D278" s="10"/>
      <c r="E278" s="10" t="s">
        <v>544</v>
      </c>
      <c r="F278" s="10" t="s">
        <v>1638</v>
      </c>
      <c r="G278" s="10"/>
      <c r="H278" s="10" t="s">
        <v>2824</v>
      </c>
      <c r="I278" s="10" t="s">
        <v>2171</v>
      </c>
      <c r="J278" s="10"/>
      <c r="K278" s="7" t="str" cm="1">
        <f t="array" ref="K278">IFERROR(LOOKUP(2,1/('Outreach Log'!$C$2:$C$9998=F278),'Outreach Log'!$B$2:$B$9998),"")</f>
        <v/>
      </c>
      <c r="L278" s="5" t="str">
        <f>IFERROR(INDEX('Outreach Log'!$F:$F,MATCH(TEXT(K278,"YYYY-MM-DD")&amp;F278,'Outreach Log'!$L:$L,0)),"")</f>
        <v/>
      </c>
      <c r="M278" s="6" t="str">
        <f>IFERROR(HYPERLINK("#'Outreach Log'!A"&amp;MATCH(TEXT(K278,"YYYY-MM-DD")&amp;F278,'Outreach Log'!$L:$L,0),"→ View"),"—")</f>
        <v>—</v>
      </c>
      <c r="N278" s="6" t="str">
        <f>IFERROR(HYPERLINK("#Companies!A"&amp;MATCH(E278,Companies!$B:$B,0),"→ View"),"—")</f>
        <v>→ View</v>
      </c>
    </row>
    <row r="279" spans="1:14">
      <c r="A279" s="9">
        <f>IF(tblContacts[[#This Row],[First Name]]&lt;&gt;0,ROW()-1,"")</f>
        <v>278</v>
      </c>
      <c r="B279" s="50" t="s">
        <v>858</v>
      </c>
      <c r="C279" s="50" t="s">
        <v>1639</v>
      </c>
      <c r="D279" s="10" t="s">
        <v>1640</v>
      </c>
      <c r="E279" s="10" t="s">
        <v>545</v>
      </c>
      <c r="F279" s="10" t="s">
        <v>1641</v>
      </c>
      <c r="G279" s="10"/>
      <c r="H279" s="10" t="s">
        <v>2824</v>
      </c>
      <c r="I279" s="10" t="s">
        <v>13</v>
      </c>
      <c r="J279" s="10"/>
      <c r="K279" s="7" cm="1">
        <f t="array" ref="K279">IFERROR(LOOKUP(2,1/('Outreach Log'!$C$2:$C$9998=F279),'Outreach Log'!$B$2:$B$9998),"")</f>
        <v>46126</v>
      </c>
      <c r="L279" s="5" t="str">
        <f>IFERROR(INDEX('Outreach Log'!$F:$F,MATCH(TEXT(K279,"YYYY-MM-DD")&amp;F279,'Outreach Log'!$L:$L,0)),"")</f>
        <v>Email</v>
      </c>
      <c r="M279" s="6" t="str">
        <f>IFERROR(HYPERLINK("#'Outreach Log'!A"&amp;MATCH(TEXT(K279,"YYYY-MM-DD")&amp;F279,'Outreach Log'!$L:$L,0),"→ View"),"—")</f>
        <v>→ View</v>
      </c>
      <c r="N279" s="6" t="str">
        <f>IFERROR(HYPERLINK("#Companies!A"&amp;MATCH(E279,Companies!$B:$B,0),"→ View"),"—")</f>
        <v>→ View</v>
      </c>
    </row>
    <row r="280" spans="1:14">
      <c r="A280" s="9">
        <f>IF(tblContacts[[#This Row],[First Name]]&lt;&gt;0,ROW()-1,"")</f>
        <v>279</v>
      </c>
      <c r="B280" s="50" t="s">
        <v>1275</v>
      </c>
      <c r="C280" s="50" t="s">
        <v>1647</v>
      </c>
      <c r="D280" s="10"/>
      <c r="E280" s="10" t="s">
        <v>2117</v>
      </c>
      <c r="F280" s="10" t="s">
        <v>1648</v>
      </c>
      <c r="G280" s="10"/>
      <c r="H280" s="10" t="s">
        <v>2824</v>
      </c>
      <c r="I280" s="10" t="s">
        <v>2171</v>
      </c>
      <c r="J280" s="10"/>
      <c r="K280" s="7" cm="1">
        <f t="array" ref="K280">IFERROR(LOOKUP(2,1/('Outreach Log'!$C$2:$C$9998=F280),'Outreach Log'!$B$2:$B$9998),"")</f>
        <v>46126</v>
      </c>
      <c r="L280" s="5" t="str">
        <f>IFERROR(INDEX('Outreach Log'!$F:$F,MATCH(TEXT(K280,"YYYY-MM-DD")&amp;F280,'Outreach Log'!$L:$L,0)),"")</f>
        <v>Email</v>
      </c>
      <c r="M280" s="6" t="str">
        <f>IFERROR(HYPERLINK("#'Outreach Log'!A"&amp;MATCH(TEXT(K280,"YYYY-MM-DD")&amp;F280,'Outreach Log'!$L:$L,0),"→ View"),"—")</f>
        <v>→ View</v>
      </c>
      <c r="N280" s="6" t="str">
        <f>IFERROR(HYPERLINK("#Companies!A"&amp;MATCH(E280,Companies!$B:$B,0),"→ View"),"—")</f>
        <v>→ View</v>
      </c>
    </row>
    <row r="281" spans="1:14">
      <c r="A281" s="9">
        <f>IF(tblContacts[[#This Row],[First Name]]&lt;&gt;0,ROW()-1,"")</f>
        <v>280</v>
      </c>
      <c r="B281" s="50" t="s">
        <v>1179</v>
      </c>
      <c r="C281" s="50" t="s">
        <v>1651</v>
      </c>
      <c r="D281" s="10"/>
      <c r="E281" s="10" t="s">
        <v>547</v>
      </c>
      <c r="F281" s="10" t="s">
        <v>1652</v>
      </c>
      <c r="G281" s="10"/>
      <c r="H281" s="10" t="s">
        <v>2824</v>
      </c>
      <c r="I281" s="10" t="s">
        <v>2171</v>
      </c>
      <c r="J281" s="10"/>
      <c r="K281" s="7" cm="1">
        <f t="array" ref="K281">IFERROR(LOOKUP(2,1/('Outreach Log'!$C$2:$C$9998=F281),'Outreach Log'!$B$2:$B$9998),"")</f>
        <v>46126</v>
      </c>
      <c r="L281" s="5" t="str">
        <f>IFERROR(INDEX('Outreach Log'!$F:$F,MATCH(TEXT(K281,"YYYY-MM-DD")&amp;F281,'Outreach Log'!$L:$L,0)),"")</f>
        <v>Email</v>
      </c>
      <c r="M281" s="6" t="str">
        <f>IFERROR(HYPERLINK("#'Outreach Log'!A"&amp;MATCH(TEXT(K281,"YYYY-MM-DD")&amp;F281,'Outreach Log'!$L:$L,0),"→ View"),"—")</f>
        <v>→ View</v>
      </c>
      <c r="N281" s="6" t="str">
        <f>IFERROR(HYPERLINK("#Companies!A"&amp;MATCH(E281,Companies!$B:$B,0),"→ View"),"—")</f>
        <v>→ View</v>
      </c>
    </row>
    <row r="282" spans="1:14">
      <c r="A282" s="9">
        <f>IF(tblContacts[[#This Row],[First Name]]&lt;&gt;0,ROW()-1,"")</f>
        <v>281</v>
      </c>
      <c r="B282" s="50" t="s">
        <v>1653</v>
      </c>
      <c r="C282" s="50" t="s">
        <v>1654</v>
      </c>
      <c r="D282" s="10"/>
      <c r="E282" s="10" t="s">
        <v>2359</v>
      </c>
      <c r="F282" s="10" t="s">
        <v>1655</v>
      </c>
      <c r="G282" s="10"/>
      <c r="H282" s="10" t="s">
        <v>2824</v>
      </c>
      <c r="I282" s="10" t="s">
        <v>2171</v>
      </c>
      <c r="J282" s="10"/>
      <c r="K282" s="7" t="str" cm="1">
        <f t="array" ref="K282">IFERROR(LOOKUP(2,1/('Outreach Log'!$C$2:$C$9998=F282),'Outreach Log'!$B$2:$B$9998),"")</f>
        <v/>
      </c>
      <c r="L282" s="5" t="str">
        <f>IFERROR(INDEX('Outreach Log'!$F:$F,MATCH(TEXT(K282,"YYYY-MM-DD")&amp;F282,'Outreach Log'!$L:$L,0)),"")</f>
        <v/>
      </c>
      <c r="M282" s="6" t="str">
        <f>IFERROR(HYPERLINK("#'Outreach Log'!A"&amp;MATCH(TEXT(K282,"YYYY-MM-DD")&amp;F282,'Outreach Log'!$L:$L,0),"→ View"),"—")</f>
        <v>—</v>
      </c>
      <c r="N282" s="6" t="str">
        <f>IFERROR(HYPERLINK("#Companies!A"&amp;MATCH(E282,Companies!$B:$B,0),"→ View"),"—")</f>
        <v>→ View</v>
      </c>
    </row>
    <row r="283" spans="1:14">
      <c r="A283" s="9">
        <f>IF(tblContacts[[#This Row],[First Name]]&lt;&gt;0,ROW()-1,"")</f>
        <v>282</v>
      </c>
      <c r="B283" s="55" t="s">
        <v>1656</v>
      </c>
      <c r="C283" s="55" t="s">
        <v>2864</v>
      </c>
      <c r="E283" s="10" t="s">
        <v>551</v>
      </c>
      <c r="F283" s="10" t="s">
        <v>2865</v>
      </c>
      <c r="H283" s="10" t="s">
        <v>2824</v>
      </c>
      <c r="I283" s="44" t="s">
        <v>2873</v>
      </c>
      <c r="K283" s="7" t="str" cm="1">
        <f t="array" ref="K283">IFERROR(LOOKUP(2,1/('Outreach Log'!$C$2:$C$9998=F283),'Outreach Log'!$B$2:$B$9998),"")</f>
        <v/>
      </c>
      <c r="L283" s="5" t="str">
        <f>IFERROR(INDEX('Outreach Log'!$F:$F,MATCH(TEXT(K283,"YYYY-MM-DD")&amp;F283,'Outreach Log'!$L:$L,0)),"")</f>
        <v/>
      </c>
      <c r="M283" s="6" t="str">
        <f>IFERROR(HYPERLINK("#'Outreach Log'!A"&amp;MATCH(TEXT(K283,"YYYY-MM-DD")&amp;F283,'Outreach Log'!$L:$L,0),"→ View"),"—")</f>
        <v>—</v>
      </c>
      <c r="N283" s="6" t="str">
        <f>IFERROR(HYPERLINK("#Companies!A"&amp;MATCH(E283,Companies!$B:$B,0),"→ View"),"—")</f>
        <v>→ View</v>
      </c>
    </row>
    <row r="284" spans="1:14">
      <c r="A284" s="9">
        <f>IF(tblContacts[[#This Row],[First Name]]&lt;&gt;0,ROW()-1,"")</f>
        <v>283</v>
      </c>
      <c r="B284" s="50" t="s">
        <v>1656</v>
      </c>
      <c r="C284" s="50" t="s">
        <v>1657</v>
      </c>
      <c r="D284" s="10"/>
      <c r="E284" s="10" t="s">
        <v>549</v>
      </c>
      <c r="F284" s="10" t="s">
        <v>1658</v>
      </c>
      <c r="G284" s="10"/>
      <c r="H284" s="10" t="s">
        <v>2824</v>
      </c>
      <c r="I284" s="10" t="s">
        <v>2171</v>
      </c>
      <c r="J284" s="10"/>
      <c r="K284" s="7" t="str" cm="1">
        <f t="array" ref="K284">IFERROR(LOOKUP(2,1/('Outreach Log'!$C$2:$C$9998=F284),'Outreach Log'!$B$2:$B$9998),"")</f>
        <v/>
      </c>
      <c r="L284" s="5" t="str">
        <f>IFERROR(INDEX('Outreach Log'!$F:$F,MATCH(TEXT(K284,"YYYY-MM-DD")&amp;F284,'Outreach Log'!$L:$L,0)),"")</f>
        <v/>
      </c>
      <c r="M284" s="6" t="str">
        <f>IFERROR(HYPERLINK("#'Outreach Log'!A"&amp;MATCH(TEXT(K284,"YYYY-MM-DD")&amp;F284,'Outreach Log'!$L:$L,0),"→ View"),"—")</f>
        <v>—</v>
      </c>
      <c r="N284" s="6" t="str">
        <f>IFERROR(HYPERLINK("#Companies!A"&amp;MATCH(E284,Companies!$B:$B,0),"→ View"),"—")</f>
        <v>→ View</v>
      </c>
    </row>
    <row r="285" spans="1:14">
      <c r="A285" s="9">
        <f>IF(tblContacts[[#This Row],[First Name]]&lt;&gt;0,ROW()-1,"")</f>
        <v>284</v>
      </c>
      <c r="B285" s="50" t="s">
        <v>1656</v>
      </c>
      <c r="C285" s="50" t="s">
        <v>1659</v>
      </c>
      <c r="D285" s="10" t="s">
        <v>1660</v>
      </c>
      <c r="E285" s="10" t="s">
        <v>551</v>
      </c>
      <c r="F285" s="10" t="s">
        <v>1661</v>
      </c>
      <c r="G285" s="10"/>
      <c r="H285" s="10" t="s">
        <v>2824</v>
      </c>
      <c r="I285" s="10" t="s">
        <v>13</v>
      </c>
      <c r="J285" s="10"/>
      <c r="K285" s="7" t="str" cm="1">
        <f t="array" ref="K285">IFERROR(LOOKUP(2,1/('Outreach Log'!$C$2:$C$9998=F285),'Outreach Log'!$B$2:$B$9998),"")</f>
        <v/>
      </c>
      <c r="L285" s="5" t="str">
        <f>IFERROR(INDEX('Outreach Log'!$F:$F,MATCH(TEXT(K285,"YYYY-MM-DD")&amp;F285,'Outreach Log'!$L:$L,0)),"")</f>
        <v/>
      </c>
      <c r="M285" s="6" t="str">
        <f>IFERROR(HYPERLINK("#'Outreach Log'!A"&amp;MATCH(TEXT(K285,"YYYY-MM-DD")&amp;F285,'Outreach Log'!$L:$L,0),"→ View"),"—")</f>
        <v>—</v>
      </c>
      <c r="N285" s="6" t="str">
        <f>IFERROR(HYPERLINK("#Companies!A"&amp;MATCH(E285,Companies!$B:$B,0),"→ View"),"—")</f>
        <v>→ View</v>
      </c>
    </row>
    <row r="286" spans="1:14">
      <c r="A286" s="9">
        <f>IF(tblContacts[[#This Row],[First Name]]&lt;&gt;0,ROW()-1,"")</f>
        <v>285</v>
      </c>
      <c r="B286" s="50" t="s">
        <v>1662</v>
      </c>
      <c r="C286" s="50" t="s">
        <v>1663</v>
      </c>
      <c r="D286" s="10"/>
      <c r="E286" s="10" t="s">
        <v>2137</v>
      </c>
      <c r="F286" s="10" t="s">
        <v>1664</v>
      </c>
      <c r="G286" s="10"/>
      <c r="H286" s="10" t="s">
        <v>2824</v>
      </c>
      <c r="I286" s="10" t="s">
        <v>2171</v>
      </c>
      <c r="J286" s="10"/>
      <c r="K286" s="7" cm="1">
        <f t="array" ref="K286">IFERROR(LOOKUP(2,1/('Outreach Log'!$C$2:$C$9998=F286),'Outreach Log'!$B$2:$B$9998),"")</f>
        <v>46126</v>
      </c>
      <c r="L286" s="5" t="str">
        <f>IFERROR(INDEX('Outreach Log'!$F:$F,MATCH(TEXT(K286,"YYYY-MM-DD")&amp;F286,'Outreach Log'!$L:$L,0)),"")</f>
        <v>Email</v>
      </c>
      <c r="M286" s="6" t="str">
        <f>IFERROR(HYPERLINK("#'Outreach Log'!A"&amp;MATCH(TEXT(K286,"YYYY-MM-DD")&amp;F286,'Outreach Log'!$L:$L,0),"→ View"),"—")</f>
        <v>→ View</v>
      </c>
      <c r="N286" s="6" t="str">
        <f>IFERROR(HYPERLINK("#Companies!A"&amp;MATCH(E286,Companies!$B:$B,0),"→ View"),"—")</f>
        <v>→ View</v>
      </c>
    </row>
    <row r="287" spans="1:14">
      <c r="A287" s="9">
        <f>IF(tblContacts[[#This Row],[First Name]]&lt;&gt;0,ROW()-1,"")</f>
        <v>286</v>
      </c>
      <c r="B287" s="50" t="s">
        <v>1669</v>
      </c>
      <c r="C287" s="50" t="s">
        <v>1670</v>
      </c>
      <c r="D287" s="10" t="s">
        <v>1671</v>
      </c>
      <c r="E287" s="10" t="s">
        <v>555</v>
      </c>
      <c r="F287" s="10" t="s">
        <v>1672</v>
      </c>
      <c r="G287" s="10"/>
      <c r="H287" s="10" t="s">
        <v>2824</v>
      </c>
      <c r="I287" s="10" t="s">
        <v>13</v>
      </c>
      <c r="J287" s="10"/>
      <c r="K287" s="7" cm="1">
        <f t="array" ref="K287">IFERROR(LOOKUP(2,1/('Outreach Log'!$C$2:$C$9998=F287),'Outreach Log'!$B$2:$B$9998),"")</f>
        <v>46126</v>
      </c>
      <c r="L287" s="5" t="str">
        <f>IFERROR(INDEX('Outreach Log'!$F:$F,MATCH(TEXT(K287,"YYYY-MM-DD")&amp;F287,'Outreach Log'!$L:$L,0)),"")</f>
        <v>Email</v>
      </c>
      <c r="M287" s="6" t="str">
        <f>IFERROR(HYPERLINK("#'Outreach Log'!A"&amp;MATCH(TEXT(K287,"YYYY-MM-DD")&amp;F287,'Outreach Log'!$L:$L,0),"→ View"),"—")</f>
        <v>→ View</v>
      </c>
      <c r="N287" s="6" t="str">
        <f>IFERROR(HYPERLINK("#Companies!A"&amp;MATCH(E287,Companies!$B:$B,0),"→ View"),"—")</f>
        <v>→ View</v>
      </c>
    </row>
    <row r="288" spans="1:14">
      <c r="A288" s="9">
        <f>IF(tblContacts[[#This Row],[First Name]]&lt;&gt;0,ROW()-1,"")</f>
        <v>287</v>
      </c>
      <c r="B288" s="50" t="s">
        <v>1597</v>
      </c>
      <c r="C288" s="50" t="s">
        <v>1673</v>
      </c>
      <c r="D288" s="10"/>
      <c r="E288" s="10" t="s">
        <v>2360</v>
      </c>
      <c r="F288" s="10" t="s">
        <v>1674</v>
      </c>
      <c r="G288" s="10"/>
      <c r="H288" s="10" t="s">
        <v>2824</v>
      </c>
      <c r="I288" s="10" t="s">
        <v>2171</v>
      </c>
      <c r="J288" s="10"/>
      <c r="K288" s="7" t="str" cm="1">
        <f t="array" ref="K288">IFERROR(LOOKUP(2,1/('Outreach Log'!$C$2:$C$9998=F288),'Outreach Log'!$B$2:$B$9998),"")</f>
        <v/>
      </c>
      <c r="L288" s="5" t="str">
        <f>IFERROR(INDEX('Outreach Log'!$F:$F,MATCH(TEXT(K288,"YYYY-MM-DD")&amp;F288,'Outreach Log'!$L:$L,0)),"")</f>
        <v/>
      </c>
      <c r="M288" s="6" t="str">
        <f>IFERROR(HYPERLINK("#'Outreach Log'!A"&amp;MATCH(TEXT(K288,"YYYY-MM-DD")&amp;F288,'Outreach Log'!$L:$L,0),"→ View"),"—")</f>
        <v>—</v>
      </c>
      <c r="N288" s="6" t="str">
        <f>IFERROR(HYPERLINK("#Companies!A"&amp;MATCH(E288,Companies!$B:$B,0),"→ View"),"—")</f>
        <v>→ View</v>
      </c>
    </row>
    <row r="289" spans="1:14">
      <c r="A289" s="9">
        <f>IF(tblContacts[[#This Row],[First Name]]&lt;&gt;0,ROW()-1,"")</f>
        <v>288</v>
      </c>
      <c r="B289" s="50" t="s">
        <v>1675</v>
      </c>
      <c r="C289" s="50" t="s">
        <v>1676</v>
      </c>
      <c r="D289" s="10"/>
      <c r="E289" s="10" t="s">
        <v>2361</v>
      </c>
      <c r="F289" s="10" t="s">
        <v>1677</v>
      </c>
      <c r="G289" s="10"/>
      <c r="H289" s="10" t="s">
        <v>2824</v>
      </c>
      <c r="I289" s="10" t="s">
        <v>2171</v>
      </c>
      <c r="J289" s="10"/>
      <c r="K289" s="7" cm="1">
        <f t="array" ref="K289">IFERROR(LOOKUP(2,1/('Outreach Log'!$C$2:$C$9998=F289),'Outreach Log'!$B$2:$B$9998),"")</f>
        <v>46126</v>
      </c>
      <c r="L289" s="5" t="str">
        <f>IFERROR(INDEX('Outreach Log'!$F:$F,MATCH(TEXT(K289,"YYYY-MM-DD")&amp;F289,'Outreach Log'!$L:$L,0)),"")</f>
        <v>Email</v>
      </c>
      <c r="M289" s="6" t="str">
        <f>IFERROR(HYPERLINK("#'Outreach Log'!A"&amp;MATCH(TEXT(K289,"YYYY-MM-DD")&amp;F289,'Outreach Log'!$L:$L,0),"→ View"),"—")</f>
        <v>→ View</v>
      </c>
      <c r="N289" s="6" t="str">
        <f>IFERROR(HYPERLINK("#Companies!A"&amp;MATCH(E289,Companies!$B:$B,0),"→ View"),"—")</f>
        <v>→ View</v>
      </c>
    </row>
    <row r="290" spans="1:14">
      <c r="A290" s="9">
        <f>IF(tblContacts[[#This Row],[First Name]]&lt;&gt;0,ROW()-1,"")</f>
        <v>289</v>
      </c>
      <c r="B290" s="50" t="s">
        <v>1250</v>
      </c>
      <c r="C290" s="50" t="s">
        <v>1678</v>
      </c>
      <c r="D290" s="10"/>
      <c r="E290" s="10" t="s">
        <v>2362</v>
      </c>
      <c r="F290" s="10" t="s">
        <v>1679</v>
      </c>
      <c r="G290" s="10"/>
      <c r="H290" s="10" t="s">
        <v>2824</v>
      </c>
      <c r="I290" s="10" t="s">
        <v>2171</v>
      </c>
      <c r="J290" s="10"/>
      <c r="K290" s="7" t="str" cm="1">
        <f t="array" ref="K290">IFERROR(LOOKUP(2,1/('Outreach Log'!$C$2:$C$9998=F290),'Outreach Log'!$B$2:$B$9998),"")</f>
        <v/>
      </c>
      <c r="L290" s="5" t="str">
        <f>IFERROR(INDEX('Outreach Log'!$F:$F,MATCH(TEXT(K290,"YYYY-MM-DD")&amp;F290,'Outreach Log'!$L:$L,0)),"")</f>
        <v/>
      </c>
      <c r="M290" s="6" t="str">
        <f>IFERROR(HYPERLINK("#'Outreach Log'!A"&amp;MATCH(TEXT(K290,"YYYY-MM-DD")&amp;F290,'Outreach Log'!$L:$L,0),"→ View"),"—")</f>
        <v>—</v>
      </c>
      <c r="N290" s="6" t="str">
        <f>IFERROR(HYPERLINK("#Companies!A"&amp;MATCH(E290,Companies!$B:$B,0),"→ View"),"—")</f>
        <v>→ View</v>
      </c>
    </row>
    <row r="291" spans="1:14">
      <c r="A291" s="9">
        <f>IF(tblContacts[[#This Row],[First Name]]&lt;&gt;0,ROW()-1,"")</f>
        <v>290</v>
      </c>
      <c r="B291" s="50" t="s">
        <v>1204</v>
      </c>
      <c r="C291" s="50" t="s">
        <v>1680</v>
      </c>
      <c r="D291" s="10"/>
      <c r="E291" s="10" t="s">
        <v>2363</v>
      </c>
      <c r="F291" s="10" t="s">
        <v>1681</v>
      </c>
      <c r="G291" s="10"/>
      <c r="H291" s="10" t="s">
        <v>2824</v>
      </c>
      <c r="I291" s="10" t="s">
        <v>2171</v>
      </c>
      <c r="J291" s="10"/>
      <c r="K291" s="7" t="str" cm="1">
        <f t="array" ref="K291">IFERROR(LOOKUP(2,1/('Outreach Log'!$C$2:$C$9998=F291),'Outreach Log'!$B$2:$B$9998),"")</f>
        <v/>
      </c>
      <c r="L291" s="5" t="str">
        <f>IFERROR(INDEX('Outreach Log'!$F:$F,MATCH(TEXT(K291,"YYYY-MM-DD")&amp;F291,'Outreach Log'!$L:$L,0)),"")</f>
        <v/>
      </c>
      <c r="M291" s="6" t="str">
        <f>IFERROR(HYPERLINK("#'Outreach Log'!A"&amp;MATCH(TEXT(K291,"YYYY-MM-DD")&amp;F291,'Outreach Log'!$L:$L,0),"→ View"),"—")</f>
        <v>—</v>
      </c>
      <c r="N291" s="6" t="str">
        <f>IFERROR(HYPERLINK("#Companies!A"&amp;MATCH(E291,Companies!$B:$B,0),"→ View"),"—")</f>
        <v>→ View</v>
      </c>
    </row>
    <row r="292" spans="1:14">
      <c r="A292" s="9">
        <f>IF(tblContacts[[#This Row],[First Name]]&lt;&gt;0,ROW()-1,"")</f>
        <v>291</v>
      </c>
      <c r="B292" s="50" t="s">
        <v>1204</v>
      </c>
      <c r="C292" s="50" t="s">
        <v>1186</v>
      </c>
      <c r="D292" s="10"/>
      <c r="E292" s="10" t="s">
        <v>2364</v>
      </c>
      <c r="F292" s="10" t="s">
        <v>1682</v>
      </c>
      <c r="G292" s="10"/>
      <c r="H292" s="10" t="s">
        <v>2824</v>
      </c>
      <c r="I292" s="10" t="s">
        <v>2171</v>
      </c>
      <c r="J292" s="10"/>
      <c r="K292" s="7" t="str" cm="1">
        <f t="array" ref="K292">IFERROR(LOOKUP(2,1/('Outreach Log'!$C$2:$C$9998=F292),'Outreach Log'!$B$2:$B$9998),"")</f>
        <v/>
      </c>
      <c r="L292" s="5" t="str">
        <f>IFERROR(INDEX('Outreach Log'!$F:$F,MATCH(TEXT(K292,"YYYY-MM-DD")&amp;F292,'Outreach Log'!$L:$L,0)),"")</f>
        <v/>
      </c>
      <c r="M292" s="6" t="str">
        <f>IFERROR(HYPERLINK("#'Outreach Log'!A"&amp;MATCH(TEXT(K292,"YYYY-MM-DD")&amp;F292,'Outreach Log'!$L:$L,0),"→ View"),"—")</f>
        <v>—</v>
      </c>
      <c r="N292" s="6" t="str">
        <f>IFERROR(HYPERLINK("#Companies!A"&amp;MATCH(E292,Companies!$B:$B,0),"→ View"),"—")</f>
        <v>→ View</v>
      </c>
    </row>
    <row r="293" spans="1:14">
      <c r="A293" s="9">
        <f>IF(tblContacts[[#This Row],[First Name]]&lt;&gt;0,ROW()-1,"")</f>
        <v>292</v>
      </c>
      <c r="B293" s="50" t="s">
        <v>1687</v>
      </c>
      <c r="C293" s="50" t="s">
        <v>1688</v>
      </c>
      <c r="D293" s="10"/>
      <c r="E293" s="10" t="s">
        <v>2156</v>
      </c>
      <c r="F293" s="10" t="s">
        <v>1689</v>
      </c>
      <c r="G293" s="10"/>
      <c r="H293" s="10" t="s">
        <v>2824</v>
      </c>
      <c r="I293" s="10" t="s">
        <v>2171</v>
      </c>
      <c r="J293" s="10"/>
      <c r="K293" s="7" t="str" cm="1">
        <f t="array" ref="K293">IFERROR(LOOKUP(2,1/('Outreach Log'!$C$2:$C$9998=F293),'Outreach Log'!$B$2:$B$9998),"")</f>
        <v/>
      </c>
      <c r="L293" s="5" t="str">
        <f>IFERROR(INDEX('Outreach Log'!$F:$F,MATCH(TEXT(K293,"YYYY-MM-DD")&amp;F293,'Outreach Log'!$L:$L,0)),"")</f>
        <v/>
      </c>
      <c r="M293" s="6" t="str">
        <f>IFERROR(HYPERLINK("#'Outreach Log'!A"&amp;MATCH(TEXT(K293,"YYYY-MM-DD")&amp;F293,'Outreach Log'!$L:$L,0),"→ View"),"—")</f>
        <v>—</v>
      </c>
      <c r="N293" s="6" t="str">
        <f>IFERROR(HYPERLINK("#Companies!A"&amp;MATCH(E293,Companies!$B:$B,0),"→ View"),"—")</f>
        <v>→ View</v>
      </c>
    </row>
    <row r="294" spans="1:14">
      <c r="A294" s="9">
        <f>IF(tblContacts[[#This Row],[First Name]]&lt;&gt;0,ROW()-1,"")</f>
        <v>293</v>
      </c>
      <c r="B294" s="50" t="s">
        <v>1653</v>
      </c>
      <c r="C294" s="50" t="s">
        <v>1690</v>
      </c>
      <c r="D294" s="10"/>
      <c r="E294" s="10" t="s">
        <v>2365</v>
      </c>
      <c r="F294" s="10" t="s">
        <v>1691</v>
      </c>
      <c r="G294" s="10"/>
      <c r="H294" s="10" t="s">
        <v>2824</v>
      </c>
      <c r="I294" s="10" t="s">
        <v>2171</v>
      </c>
      <c r="J294" s="10"/>
      <c r="K294" s="7" t="str" cm="1">
        <f t="array" ref="K294">IFERROR(LOOKUP(2,1/('Outreach Log'!$C$2:$C$9998=F294),'Outreach Log'!$B$2:$B$9998),"")</f>
        <v/>
      </c>
      <c r="L294" s="5" t="str">
        <f>IFERROR(INDEX('Outreach Log'!$F:$F,MATCH(TEXT(K294,"YYYY-MM-DD")&amp;F294,'Outreach Log'!$L:$L,0)),"")</f>
        <v/>
      </c>
      <c r="M294" s="6" t="str">
        <f>IFERROR(HYPERLINK("#'Outreach Log'!A"&amp;MATCH(TEXT(K294,"YYYY-MM-DD")&amp;F294,'Outreach Log'!$L:$L,0),"→ View"),"—")</f>
        <v>—</v>
      </c>
      <c r="N294" s="6" t="str">
        <f>IFERROR(HYPERLINK("#Companies!A"&amp;MATCH(E294,Companies!$B:$B,0),"→ View"),"—")</f>
        <v>→ View</v>
      </c>
    </row>
    <row r="295" spans="1:14">
      <c r="A295" s="9">
        <f>IF(tblContacts[[#This Row],[First Name]]&lt;&gt;0,ROW()-1,"")</f>
        <v>294</v>
      </c>
      <c r="B295" s="50" t="s">
        <v>1653</v>
      </c>
      <c r="C295" s="50" t="s">
        <v>1692</v>
      </c>
      <c r="D295" s="10"/>
      <c r="E295" s="10" t="s">
        <v>2366</v>
      </c>
      <c r="F295" s="10" t="s">
        <v>1693</v>
      </c>
      <c r="G295" s="10"/>
      <c r="H295" s="10" t="s">
        <v>2824</v>
      </c>
      <c r="I295" s="10" t="s">
        <v>2171</v>
      </c>
      <c r="J295" s="10"/>
      <c r="K295" s="7" t="str" cm="1">
        <f t="array" ref="K295">IFERROR(LOOKUP(2,1/('Outreach Log'!$C$2:$C$9998=F295),'Outreach Log'!$B$2:$B$9998),"")</f>
        <v/>
      </c>
      <c r="L295" s="5" t="str">
        <f>IFERROR(INDEX('Outreach Log'!$F:$F,MATCH(TEXT(K295,"YYYY-MM-DD")&amp;F295,'Outreach Log'!$L:$L,0)),"")</f>
        <v/>
      </c>
      <c r="M295" s="6" t="str">
        <f>IFERROR(HYPERLINK("#'Outreach Log'!A"&amp;MATCH(TEXT(K295,"YYYY-MM-DD")&amp;F295,'Outreach Log'!$L:$L,0),"→ View"),"—")</f>
        <v>—</v>
      </c>
      <c r="N295" s="6" t="str">
        <f>IFERROR(HYPERLINK("#Companies!A"&amp;MATCH(E295,Companies!$B:$B,0),"→ View"),"—")</f>
        <v>→ View</v>
      </c>
    </row>
    <row r="296" spans="1:14">
      <c r="A296" s="9">
        <f>IF(tblContacts[[#This Row],[First Name]]&lt;&gt;0,ROW()-1,"")</f>
        <v>295</v>
      </c>
      <c r="B296" s="50" t="s">
        <v>1653</v>
      </c>
      <c r="C296" s="50" t="s">
        <v>1104</v>
      </c>
      <c r="D296" s="10"/>
      <c r="E296" s="10" t="s">
        <v>2367</v>
      </c>
      <c r="F296" s="10" t="s">
        <v>1694</v>
      </c>
      <c r="G296" s="10"/>
      <c r="H296" s="10" t="s">
        <v>2824</v>
      </c>
      <c r="I296" s="10" t="s">
        <v>2171</v>
      </c>
      <c r="J296" s="10"/>
      <c r="K296" s="7" cm="1">
        <f t="array" ref="K296">IFERROR(LOOKUP(2,1/('Outreach Log'!$C$2:$C$9998=F296),'Outreach Log'!$B$2:$B$9998),"")</f>
        <v>46126</v>
      </c>
      <c r="L296" s="5" t="str">
        <f>IFERROR(INDEX('Outreach Log'!$F:$F,MATCH(TEXT(K296,"YYYY-MM-DD")&amp;F296,'Outreach Log'!$L:$L,0)),"")</f>
        <v>Email</v>
      </c>
      <c r="M296" s="6" t="str">
        <f>IFERROR(HYPERLINK("#'Outreach Log'!A"&amp;MATCH(TEXT(K296,"YYYY-MM-DD")&amp;F296,'Outreach Log'!$L:$L,0),"→ View"),"—")</f>
        <v>→ View</v>
      </c>
      <c r="N296" s="6" t="str">
        <f>IFERROR(HYPERLINK("#Companies!A"&amp;MATCH(E296,Companies!$B:$B,0),"→ View"),"—")</f>
        <v>→ View</v>
      </c>
    </row>
    <row r="297" spans="1:14">
      <c r="A297" s="9">
        <f>IF(tblContacts[[#This Row],[First Name]]&lt;&gt;0,ROW()-1,"")</f>
        <v>296</v>
      </c>
      <c r="B297" s="50" t="s">
        <v>1653</v>
      </c>
      <c r="C297" s="50" t="s">
        <v>1695</v>
      </c>
      <c r="D297" s="10"/>
      <c r="E297" s="10" t="s">
        <v>2368</v>
      </c>
      <c r="F297" s="10" t="s">
        <v>1696</v>
      </c>
      <c r="G297" s="10"/>
      <c r="H297" s="10" t="s">
        <v>2824</v>
      </c>
      <c r="I297" s="10" t="s">
        <v>2171</v>
      </c>
      <c r="J297" s="10"/>
      <c r="K297" s="7" t="str" cm="1">
        <f t="array" ref="K297">IFERROR(LOOKUP(2,1/('Outreach Log'!$C$2:$C$9998=F297),'Outreach Log'!$B$2:$B$9998),"")</f>
        <v/>
      </c>
      <c r="L297" s="5" t="str">
        <f>IFERROR(INDEX('Outreach Log'!$F:$F,MATCH(TEXT(K297,"YYYY-MM-DD")&amp;F297,'Outreach Log'!$L:$L,0)),"")</f>
        <v/>
      </c>
      <c r="M297" s="6" t="str">
        <f>IFERROR(HYPERLINK("#'Outreach Log'!A"&amp;MATCH(TEXT(K297,"YYYY-MM-DD")&amp;F297,'Outreach Log'!$L:$L,0),"→ View"),"—")</f>
        <v>—</v>
      </c>
      <c r="N297" s="6" t="str">
        <f>IFERROR(HYPERLINK("#Companies!A"&amp;MATCH(E297,Companies!$B:$B,0),"→ View"),"—")</f>
        <v>→ View</v>
      </c>
    </row>
    <row r="298" spans="1:14">
      <c r="A298" s="9">
        <f>IF(tblContacts[[#This Row],[First Name]]&lt;&gt;0,ROW()-1,"")</f>
        <v>297</v>
      </c>
      <c r="B298" s="50" t="s">
        <v>1227</v>
      </c>
      <c r="C298" s="50" t="s">
        <v>1702</v>
      </c>
      <c r="D298" s="10"/>
      <c r="E298" s="10" t="s">
        <v>571</v>
      </c>
      <c r="F298" s="10" t="s">
        <v>1703</v>
      </c>
      <c r="G298" s="10"/>
      <c r="H298" s="10" t="s">
        <v>2824</v>
      </c>
      <c r="I298" s="10" t="s">
        <v>13</v>
      </c>
      <c r="J298" s="10"/>
      <c r="K298" s="7" t="str" cm="1">
        <f t="array" ref="K298">IFERROR(LOOKUP(2,1/('Outreach Log'!$C$2:$C$9998=F298),'Outreach Log'!$B$2:$B$9998),"")</f>
        <v/>
      </c>
      <c r="L298" s="5" t="str">
        <f>IFERROR(INDEX('Outreach Log'!$F:$F,MATCH(TEXT(K298,"YYYY-MM-DD")&amp;F298,'Outreach Log'!$L:$L,0)),"")</f>
        <v/>
      </c>
      <c r="M298" s="6" t="str">
        <f>IFERROR(HYPERLINK("#'Outreach Log'!A"&amp;MATCH(TEXT(K298,"YYYY-MM-DD")&amp;F298,'Outreach Log'!$L:$L,0),"→ View"),"—")</f>
        <v>—</v>
      </c>
      <c r="N298" s="6" t="str">
        <f>IFERROR(HYPERLINK("#Companies!A"&amp;MATCH(E298,Companies!$B:$B,0),"→ View"),"—")</f>
        <v>→ View</v>
      </c>
    </row>
    <row r="299" spans="1:14">
      <c r="A299" s="9">
        <f>IF(tblContacts[[#This Row],[First Name]]&lt;&gt;0,ROW()-1,"")</f>
        <v>298</v>
      </c>
      <c r="B299" s="50" t="s">
        <v>1697</v>
      </c>
      <c r="C299" s="50" t="s">
        <v>1704</v>
      </c>
      <c r="D299" s="10" t="s">
        <v>1705</v>
      </c>
      <c r="E299" s="10" t="s">
        <v>573</v>
      </c>
      <c r="F299" s="10" t="s">
        <v>1706</v>
      </c>
      <c r="G299" s="10"/>
      <c r="H299" s="10" t="s">
        <v>2824</v>
      </c>
      <c r="I299" s="10" t="s">
        <v>13</v>
      </c>
      <c r="J299" s="10"/>
      <c r="K299" s="7" cm="1">
        <f t="array" ref="K299">IFERROR(LOOKUP(2,1/('Outreach Log'!$C$2:$C$9998=F299),'Outreach Log'!$B$2:$B$9998),"")</f>
        <v>46126</v>
      </c>
      <c r="L299" s="5" t="str">
        <f>IFERROR(INDEX('Outreach Log'!$F:$F,MATCH(TEXT(K299,"YYYY-MM-DD")&amp;F299,'Outreach Log'!$L:$L,0)),"")</f>
        <v>Email</v>
      </c>
      <c r="M299" s="6" t="str">
        <f>IFERROR(HYPERLINK("#'Outreach Log'!A"&amp;MATCH(TEXT(K299,"YYYY-MM-DD")&amp;F299,'Outreach Log'!$L:$L,0),"→ View"),"—")</f>
        <v>→ View</v>
      </c>
      <c r="N299" s="6" t="str">
        <f>IFERROR(HYPERLINK("#Companies!A"&amp;MATCH(E299,Companies!$B:$B,0),"→ View"),"—")</f>
        <v>→ View</v>
      </c>
    </row>
    <row r="300" spans="1:14">
      <c r="A300" s="9">
        <f>IF(tblContacts[[#This Row],[First Name]]&lt;&gt;0,ROW()-1,"")</f>
        <v>299</v>
      </c>
      <c r="B300" s="50" t="s">
        <v>1707</v>
      </c>
      <c r="C300" s="50" t="s">
        <v>1708</v>
      </c>
      <c r="D300" s="10" t="s">
        <v>1709</v>
      </c>
      <c r="E300" s="10" t="s">
        <v>170</v>
      </c>
      <c r="F300" s="10" t="s">
        <v>1710</v>
      </c>
      <c r="G300" s="10"/>
      <c r="H300" s="10" t="s">
        <v>2824</v>
      </c>
      <c r="I300" s="10" t="s">
        <v>13</v>
      </c>
      <c r="J300" s="10"/>
      <c r="K300" s="7" t="str" cm="1">
        <f t="array" ref="K300">IFERROR(LOOKUP(2,1/('Outreach Log'!$C$2:$C$9998=F300),'Outreach Log'!$B$2:$B$9998),"")</f>
        <v/>
      </c>
      <c r="L300" s="5" t="str">
        <f>IFERROR(INDEX('Outreach Log'!$F:$F,MATCH(TEXT(K300,"YYYY-MM-DD")&amp;F300,'Outreach Log'!$L:$L,0)),"")</f>
        <v/>
      </c>
      <c r="M300" s="6" t="str">
        <f>IFERROR(HYPERLINK("#'Outreach Log'!A"&amp;MATCH(TEXT(K300,"YYYY-MM-DD")&amp;F300,'Outreach Log'!$L:$L,0),"→ View"),"—")</f>
        <v>—</v>
      </c>
      <c r="N300" s="6" t="str">
        <f>IFERROR(HYPERLINK("#Companies!A"&amp;MATCH(E300,Companies!$B:$B,0),"→ View"),"—")</f>
        <v>→ View</v>
      </c>
    </row>
    <row r="301" spans="1:14">
      <c r="A301" s="9">
        <f>IF(tblContacts[[#This Row],[First Name]]&lt;&gt;0,ROW()-1,"")</f>
        <v>300</v>
      </c>
      <c r="B301" s="50" t="s">
        <v>1707</v>
      </c>
      <c r="C301" s="50" t="s">
        <v>1711</v>
      </c>
      <c r="D301" s="10"/>
      <c r="E301" s="10" t="s">
        <v>576</v>
      </c>
      <c r="F301" s="10" t="s">
        <v>1712</v>
      </c>
      <c r="G301" s="10"/>
      <c r="H301" s="10" t="s">
        <v>2824</v>
      </c>
      <c r="I301" s="10" t="s">
        <v>2171</v>
      </c>
      <c r="J301" s="10"/>
      <c r="K301" s="7" t="str" cm="1">
        <f t="array" ref="K301">IFERROR(LOOKUP(2,1/('Outreach Log'!$C$2:$C$9998=F301),'Outreach Log'!$B$2:$B$9998),"")</f>
        <v/>
      </c>
      <c r="L301" s="5" t="str">
        <f>IFERROR(INDEX('Outreach Log'!$F:$F,MATCH(TEXT(K301,"YYYY-MM-DD")&amp;F301,'Outreach Log'!$L:$L,0)),"")</f>
        <v/>
      </c>
      <c r="M301" s="6" t="str">
        <f>IFERROR(HYPERLINK("#'Outreach Log'!A"&amp;MATCH(TEXT(K301,"YYYY-MM-DD")&amp;F301,'Outreach Log'!$L:$L,0),"→ View"),"—")</f>
        <v>—</v>
      </c>
      <c r="N301" s="6" t="str">
        <f>IFERROR(HYPERLINK("#Companies!A"&amp;MATCH(E301,Companies!$B:$B,0),"→ View"),"—")</f>
        <v>→ View</v>
      </c>
    </row>
    <row r="302" spans="1:14">
      <c r="A302" s="9">
        <f>IF(tblContacts[[#This Row],[First Name]]&lt;&gt;0,ROW()-1,"")</f>
        <v>301</v>
      </c>
      <c r="B302" s="50" t="s">
        <v>1653</v>
      </c>
      <c r="C302" s="50" t="s">
        <v>2371</v>
      </c>
      <c r="D302" s="10"/>
      <c r="E302" s="10" t="s">
        <v>2372</v>
      </c>
      <c r="F302" s="10" t="s">
        <v>1715</v>
      </c>
      <c r="G302" s="10"/>
      <c r="H302" s="10" t="s">
        <v>2824</v>
      </c>
      <c r="I302" s="10" t="s">
        <v>2171</v>
      </c>
      <c r="J302" s="10"/>
      <c r="K302" s="7" t="str" cm="1">
        <f t="array" ref="K302">IFERROR(LOOKUP(2,1/('Outreach Log'!$C$2:$C$9998=F302),'Outreach Log'!$B$2:$B$9998),"")</f>
        <v/>
      </c>
      <c r="L302" s="5" t="str">
        <f>IFERROR(INDEX('Outreach Log'!$F:$F,MATCH(TEXT(K302,"YYYY-MM-DD")&amp;F302,'Outreach Log'!$L:$L,0)),"")</f>
        <v/>
      </c>
      <c r="M302" s="6" t="str">
        <f>IFERROR(HYPERLINK("#'Outreach Log'!A"&amp;MATCH(TEXT(K302,"YYYY-MM-DD")&amp;F302,'Outreach Log'!$L:$L,0),"→ View"),"—")</f>
        <v>—</v>
      </c>
      <c r="N302" s="6" t="str">
        <f>IFERROR(HYPERLINK("#Companies!A"&amp;MATCH(E302,Companies!$B:$B,0),"→ View"),"—")</f>
        <v>→ View</v>
      </c>
    </row>
    <row r="303" spans="1:14">
      <c r="A303" s="9">
        <f>IF(tblContacts[[#This Row],[First Name]]&lt;&gt;0,ROW()-1,"")</f>
        <v>302</v>
      </c>
      <c r="B303" s="50" t="s">
        <v>1653</v>
      </c>
      <c r="C303" s="50" t="s">
        <v>1716</v>
      </c>
      <c r="D303" s="10"/>
      <c r="E303" s="10" t="s">
        <v>580</v>
      </c>
      <c r="F303" s="10" t="s">
        <v>1717</v>
      </c>
      <c r="G303" s="10"/>
      <c r="H303" s="10" t="s">
        <v>2824</v>
      </c>
      <c r="I303" s="10" t="s">
        <v>2171</v>
      </c>
      <c r="J303" s="10"/>
      <c r="K303" s="7" cm="1">
        <f t="array" ref="K303">IFERROR(LOOKUP(2,1/('Outreach Log'!$C$2:$C$9998=F303),'Outreach Log'!$B$2:$B$9998),"")</f>
        <v>46126</v>
      </c>
      <c r="L303" s="5" t="str">
        <f>IFERROR(INDEX('Outreach Log'!$F:$F,MATCH(TEXT(K303,"YYYY-MM-DD")&amp;F303,'Outreach Log'!$L:$L,0)),"")</f>
        <v>Email</v>
      </c>
      <c r="M303" s="6" t="str">
        <f>IFERROR(HYPERLINK("#'Outreach Log'!A"&amp;MATCH(TEXT(K303,"YYYY-MM-DD")&amp;F303,'Outreach Log'!$L:$L,0),"→ View"),"—")</f>
        <v>→ View</v>
      </c>
      <c r="N303" s="6" t="str">
        <f>IFERROR(HYPERLINK("#Companies!A"&amp;MATCH(E303,Companies!$B:$B,0),"→ View"),"—")</f>
        <v>→ View</v>
      </c>
    </row>
    <row r="304" spans="1:14">
      <c r="A304" s="9">
        <f>IF(tblContacts[[#This Row],[First Name]]&lt;&gt;0,ROW()-1,"")</f>
        <v>303</v>
      </c>
      <c r="B304" s="50" t="s">
        <v>1718</v>
      </c>
      <c r="C304" s="50" t="s">
        <v>1719</v>
      </c>
      <c r="D304" s="10"/>
      <c r="E304" s="10" t="s">
        <v>2373</v>
      </c>
      <c r="F304" s="10" t="s">
        <v>1720</v>
      </c>
      <c r="G304" s="10"/>
      <c r="H304" s="10" t="s">
        <v>2824</v>
      </c>
      <c r="I304" s="10" t="s">
        <v>2171</v>
      </c>
      <c r="J304" s="10"/>
      <c r="K304" s="7" t="str" cm="1">
        <f t="array" ref="K304">IFERROR(LOOKUP(2,1/('Outreach Log'!$C$2:$C$9998=F304),'Outreach Log'!$B$2:$B$9998),"")</f>
        <v/>
      </c>
      <c r="L304" s="5" t="str">
        <f>IFERROR(INDEX('Outreach Log'!$F:$F,MATCH(TEXT(K304,"YYYY-MM-DD")&amp;F304,'Outreach Log'!$L:$L,0)),"")</f>
        <v/>
      </c>
      <c r="M304" s="6" t="str">
        <f>IFERROR(HYPERLINK("#'Outreach Log'!A"&amp;MATCH(TEXT(K304,"YYYY-MM-DD")&amp;F304,'Outreach Log'!$L:$L,0),"→ View"),"—")</f>
        <v>—</v>
      </c>
      <c r="N304" s="6" t="str">
        <f>IFERROR(HYPERLINK("#Companies!A"&amp;MATCH(E304,Companies!$B:$B,0),"→ View"),"—")</f>
        <v>→ View</v>
      </c>
    </row>
    <row r="305" spans="1:14">
      <c r="A305" s="9">
        <f>IF(tblContacts[[#This Row],[First Name]]&lt;&gt;0,ROW()-1,"")</f>
        <v>304</v>
      </c>
      <c r="B305" s="50" t="s">
        <v>1724</v>
      </c>
      <c r="C305" s="50" t="s">
        <v>1725</v>
      </c>
      <c r="D305" s="10"/>
      <c r="E305" s="10" t="s">
        <v>2374</v>
      </c>
      <c r="F305" s="10" t="s">
        <v>1726</v>
      </c>
      <c r="G305" s="10"/>
      <c r="H305" s="10" t="s">
        <v>2824</v>
      </c>
      <c r="I305" s="10" t="s">
        <v>2171</v>
      </c>
      <c r="J305" s="10"/>
      <c r="K305" s="7" cm="1">
        <f t="array" ref="K305">IFERROR(LOOKUP(2,1/('Outreach Log'!$C$2:$C$9998=F305),'Outreach Log'!$B$2:$B$9998),"")</f>
        <v>46126</v>
      </c>
      <c r="L305" s="5" t="str">
        <f>IFERROR(INDEX('Outreach Log'!$F:$F,MATCH(TEXT(K305,"YYYY-MM-DD")&amp;F305,'Outreach Log'!$L:$L,0)),"")</f>
        <v>Email</v>
      </c>
      <c r="M305" s="6" t="str">
        <f>IFERROR(HYPERLINK("#'Outreach Log'!A"&amp;MATCH(TEXT(K305,"YYYY-MM-DD")&amp;F305,'Outreach Log'!$L:$L,0),"→ View"),"—")</f>
        <v>→ View</v>
      </c>
      <c r="N305" s="6" t="str">
        <f>IFERROR(HYPERLINK("#Companies!A"&amp;MATCH(E305,Companies!$B:$B,0),"→ View"),"—")</f>
        <v>→ View</v>
      </c>
    </row>
    <row r="306" spans="1:14">
      <c r="A306" s="9">
        <f>IF(tblContacts[[#This Row],[First Name]]&lt;&gt;0,ROW()-1,"")</f>
        <v>305</v>
      </c>
      <c r="B306" s="50" t="s">
        <v>1727</v>
      </c>
      <c r="C306" s="50" t="s">
        <v>1728</v>
      </c>
      <c r="D306" s="10"/>
      <c r="E306" s="10" t="s">
        <v>2140</v>
      </c>
      <c r="F306" s="10" t="s">
        <v>1729</v>
      </c>
      <c r="G306" s="10"/>
      <c r="H306" s="10" t="s">
        <v>2824</v>
      </c>
      <c r="I306" s="10" t="s">
        <v>2171</v>
      </c>
      <c r="J306" s="10"/>
      <c r="K306" s="7" cm="1">
        <f t="array" ref="K306">IFERROR(LOOKUP(2,1/('Outreach Log'!$C$2:$C$9998=F306),'Outreach Log'!$B$2:$B$9998),"")</f>
        <v>46126</v>
      </c>
      <c r="L306" s="5" t="str">
        <f>IFERROR(INDEX('Outreach Log'!$F:$F,MATCH(TEXT(K306,"YYYY-MM-DD")&amp;F306,'Outreach Log'!$L:$L,0)),"")</f>
        <v>Email</v>
      </c>
      <c r="M306" s="6" t="str">
        <f>IFERROR(HYPERLINK("#'Outreach Log'!A"&amp;MATCH(TEXT(K306,"YYYY-MM-DD")&amp;F306,'Outreach Log'!$L:$L,0),"→ View"),"—")</f>
        <v>→ View</v>
      </c>
      <c r="N306" s="6" t="str">
        <f>IFERROR(HYPERLINK("#Companies!A"&amp;MATCH(E306,Companies!$B:$B,0),"→ View"),"—")</f>
        <v>→ View</v>
      </c>
    </row>
    <row r="307" spans="1:14">
      <c r="A307" s="9">
        <f>IF(tblContacts[[#This Row],[First Name]]&lt;&gt;0,ROW()-1,"")</f>
        <v>306</v>
      </c>
      <c r="B307" s="50" t="s">
        <v>1730</v>
      </c>
      <c r="C307" s="50" t="s">
        <v>1490</v>
      </c>
      <c r="D307" s="10" t="s">
        <v>1731</v>
      </c>
      <c r="E307" s="10" t="s">
        <v>588</v>
      </c>
      <c r="F307" s="10" t="s">
        <v>1732</v>
      </c>
      <c r="G307" s="10"/>
      <c r="H307" s="10" t="s">
        <v>2824</v>
      </c>
      <c r="I307" s="10" t="s">
        <v>13</v>
      </c>
      <c r="J307" s="10"/>
      <c r="K307" s="7" t="str" cm="1">
        <f t="array" ref="K307">IFERROR(LOOKUP(2,1/('Outreach Log'!$C$2:$C$9998=F307),'Outreach Log'!$B$2:$B$9998),"")</f>
        <v/>
      </c>
      <c r="L307" s="5" t="str">
        <f>IFERROR(INDEX('Outreach Log'!$F:$F,MATCH(TEXT(K307,"YYYY-MM-DD")&amp;F307,'Outreach Log'!$L:$L,0)),"")</f>
        <v/>
      </c>
      <c r="M307" s="6" t="str">
        <f>IFERROR(HYPERLINK("#'Outreach Log'!A"&amp;MATCH(TEXT(K307,"YYYY-MM-DD")&amp;F307,'Outreach Log'!$L:$L,0),"→ View"),"—")</f>
        <v>—</v>
      </c>
      <c r="N307" s="6" t="str">
        <f>IFERROR(HYPERLINK("#Companies!A"&amp;MATCH(E307,Companies!$B:$B,0),"→ View"),"—")</f>
        <v>→ View</v>
      </c>
    </row>
    <row r="308" spans="1:14">
      <c r="A308" s="9">
        <f>IF(tblContacts[[#This Row],[First Name]]&lt;&gt;0,ROW()-1,"")</f>
        <v>307</v>
      </c>
      <c r="B308" s="50" t="s">
        <v>1262</v>
      </c>
      <c r="C308" s="50" t="s">
        <v>1733</v>
      </c>
      <c r="D308" s="10"/>
      <c r="E308" s="10" t="s">
        <v>2375</v>
      </c>
      <c r="F308" s="10" t="s">
        <v>1734</v>
      </c>
      <c r="G308" s="10"/>
      <c r="H308" s="10" t="s">
        <v>2824</v>
      </c>
      <c r="I308" s="10" t="s">
        <v>2171</v>
      </c>
      <c r="J308" s="10"/>
      <c r="K308" s="7" cm="1">
        <f t="array" ref="K308">IFERROR(LOOKUP(2,1/('Outreach Log'!$C$2:$C$9998=F308),'Outreach Log'!$B$2:$B$9998),"")</f>
        <v>46126</v>
      </c>
      <c r="L308" s="5" t="str">
        <f>IFERROR(INDEX('Outreach Log'!$F:$F,MATCH(TEXT(K308,"YYYY-MM-DD")&amp;F308,'Outreach Log'!$L:$L,0)),"")</f>
        <v>Email</v>
      </c>
      <c r="M308" s="6" t="str">
        <f>IFERROR(HYPERLINK("#'Outreach Log'!A"&amp;MATCH(TEXT(K308,"YYYY-MM-DD")&amp;F308,'Outreach Log'!$L:$L,0),"→ View"),"—")</f>
        <v>→ View</v>
      </c>
      <c r="N308" s="6" t="str">
        <f>IFERROR(HYPERLINK("#Companies!A"&amp;MATCH(E308,Companies!$B:$B,0),"→ View"),"—")</f>
        <v>→ View</v>
      </c>
    </row>
    <row r="309" spans="1:14">
      <c r="A309" s="9">
        <f>IF(tblContacts[[#This Row],[First Name]]&lt;&gt;0,ROW()-1,"")</f>
        <v>308</v>
      </c>
      <c r="B309" s="50" t="s">
        <v>1735</v>
      </c>
      <c r="C309" s="50" t="s">
        <v>2376</v>
      </c>
      <c r="D309" s="10"/>
      <c r="E309" s="10" t="s">
        <v>2377</v>
      </c>
      <c r="F309" s="10" t="s">
        <v>1736</v>
      </c>
      <c r="G309" s="10"/>
      <c r="H309" s="10" t="s">
        <v>2824</v>
      </c>
      <c r="I309" s="10" t="s">
        <v>2171</v>
      </c>
      <c r="J309" s="10"/>
      <c r="K309" s="7" cm="1">
        <f t="array" ref="K309">IFERROR(LOOKUP(2,1/('Outreach Log'!$C$2:$C$9998=F309),'Outreach Log'!$B$2:$B$9998),"")</f>
        <v>46126</v>
      </c>
      <c r="L309" s="5" t="str">
        <f>IFERROR(INDEX('Outreach Log'!$F:$F,MATCH(TEXT(K309,"YYYY-MM-DD")&amp;F309,'Outreach Log'!$L:$L,0)),"")</f>
        <v>Email</v>
      </c>
      <c r="M309" s="6" t="str">
        <f>IFERROR(HYPERLINK("#'Outreach Log'!A"&amp;MATCH(TEXT(K309,"YYYY-MM-DD")&amp;F309,'Outreach Log'!$L:$L,0),"→ View"),"—")</f>
        <v>→ View</v>
      </c>
      <c r="N309" s="6" t="str">
        <f>IFERROR(HYPERLINK("#Companies!A"&amp;MATCH(E309,Companies!$B:$B,0),"→ View"),"—")</f>
        <v>→ View</v>
      </c>
    </row>
    <row r="310" spans="1:14">
      <c r="A310" s="9">
        <f>IF(tblContacts[[#This Row],[First Name]]&lt;&gt;0,ROW()-1,"")</f>
        <v>309</v>
      </c>
      <c r="B310" s="50" t="s">
        <v>1737</v>
      </c>
      <c r="C310" s="50" t="s">
        <v>1738</v>
      </c>
      <c r="D310" s="10"/>
      <c r="E310" s="10" t="s">
        <v>2378</v>
      </c>
      <c r="F310" s="10" t="s">
        <v>1739</v>
      </c>
      <c r="G310" s="10"/>
      <c r="H310" s="10" t="s">
        <v>2824</v>
      </c>
      <c r="I310" s="10" t="s">
        <v>2171</v>
      </c>
      <c r="J310" s="10"/>
      <c r="K310" s="7" t="str" cm="1">
        <f t="array" ref="K310">IFERROR(LOOKUP(2,1/('Outreach Log'!$C$2:$C$9998=F310),'Outreach Log'!$B$2:$B$9998),"")</f>
        <v/>
      </c>
      <c r="L310" s="5" t="str">
        <f>IFERROR(INDEX('Outreach Log'!$F:$F,MATCH(TEXT(K310,"YYYY-MM-DD")&amp;F310,'Outreach Log'!$L:$L,0)),"")</f>
        <v/>
      </c>
      <c r="M310" s="6" t="str">
        <f>IFERROR(HYPERLINK("#'Outreach Log'!A"&amp;MATCH(TEXT(K310,"YYYY-MM-DD")&amp;F310,'Outreach Log'!$L:$L,0),"→ View"),"—")</f>
        <v>—</v>
      </c>
      <c r="N310" s="6" t="str">
        <f>IFERROR(HYPERLINK("#Companies!A"&amp;MATCH(E310,Companies!$B:$B,0),"→ View"),"—")</f>
        <v>→ View</v>
      </c>
    </row>
    <row r="311" spans="1:14">
      <c r="A311" s="9">
        <f>IF(tblContacts[[#This Row],[First Name]]&lt;&gt;0,ROW()-1,"")</f>
        <v>310</v>
      </c>
      <c r="B311" s="50" t="s">
        <v>1740</v>
      </c>
      <c r="C311" s="50" t="s">
        <v>1741</v>
      </c>
      <c r="D311" s="10"/>
      <c r="E311" s="10" t="s">
        <v>593</v>
      </c>
      <c r="F311" s="10" t="s">
        <v>1742</v>
      </c>
      <c r="G311" s="10"/>
      <c r="H311" s="10" t="s">
        <v>2824</v>
      </c>
      <c r="I311" s="10" t="s">
        <v>2171</v>
      </c>
      <c r="J311" s="10"/>
      <c r="K311" s="7" cm="1">
        <f t="array" ref="K311">IFERROR(LOOKUP(2,1/('Outreach Log'!$C$2:$C$9998=F311),'Outreach Log'!$B$2:$B$9998),"")</f>
        <v>46126</v>
      </c>
      <c r="L311" s="5" t="str">
        <f>IFERROR(INDEX('Outreach Log'!$F:$F,MATCH(TEXT(K311,"YYYY-MM-DD")&amp;F311,'Outreach Log'!$L:$L,0)),"")</f>
        <v>Email</v>
      </c>
      <c r="M311" s="6" t="str">
        <f>IFERROR(HYPERLINK("#'Outreach Log'!A"&amp;MATCH(TEXT(K311,"YYYY-MM-DD")&amp;F311,'Outreach Log'!$L:$L,0),"→ View"),"—")</f>
        <v>→ View</v>
      </c>
      <c r="N311" s="6" t="str">
        <f>IFERROR(HYPERLINK("#Companies!A"&amp;MATCH(E311,Companies!$B:$B,0),"→ View"),"—")</f>
        <v>→ View</v>
      </c>
    </row>
    <row r="312" spans="1:14">
      <c r="A312" s="9">
        <f>IF(tblContacts[[#This Row],[First Name]]&lt;&gt;0,ROW()-1,"")</f>
        <v>311</v>
      </c>
      <c r="B312" s="50" t="s">
        <v>1262</v>
      </c>
      <c r="C312" s="50" t="s">
        <v>1317</v>
      </c>
      <c r="D312" s="10"/>
      <c r="E312" s="10" t="s">
        <v>594</v>
      </c>
      <c r="F312" s="10" t="s">
        <v>1743</v>
      </c>
      <c r="G312" s="10"/>
      <c r="H312" s="10" t="s">
        <v>2824</v>
      </c>
      <c r="I312" s="10" t="s">
        <v>2171</v>
      </c>
      <c r="J312" s="10"/>
      <c r="K312" s="7" t="str" cm="1">
        <f t="array" ref="K312">IFERROR(LOOKUP(2,1/('Outreach Log'!$C$2:$C$9998=F312),'Outreach Log'!$B$2:$B$9998),"")</f>
        <v/>
      </c>
      <c r="L312" s="5" t="str">
        <f>IFERROR(INDEX('Outreach Log'!$F:$F,MATCH(TEXT(K312,"YYYY-MM-DD")&amp;F312,'Outreach Log'!$L:$L,0)),"")</f>
        <v/>
      </c>
      <c r="M312" s="6" t="str">
        <f>IFERROR(HYPERLINK("#'Outreach Log'!A"&amp;MATCH(TEXT(K312,"YYYY-MM-DD")&amp;F312,'Outreach Log'!$L:$L,0),"→ View"),"—")</f>
        <v>—</v>
      </c>
      <c r="N312" s="6" t="str">
        <f>IFERROR(HYPERLINK("#Companies!A"&amp;MATCH(E312,Companies!$B:$B,0),"→ View"),"—")</f>
        <v>→ View</v>
      </c>
    </row>
    <row r="313" spans="1:14">
      <c r="A313" s="9">
        <f>IF(tblContacts[[#This Row],[First Name]]&lt;&gt;0,ROW()-1,"")</f>
        <v>312</v>
      </c>
      <c r="B313" s="50" t="s">
        <v>1211</v>
      </c>
      <c r="C313" s="50" t="s">
        <v>1744</v>
      </c>
      <c r="D313" s="10"/>
      <c r="E313" s="10" t="s">
        <v>2166</v>
      </c>
      <c r="F313" s="10" t="s">
        <v>1745</v>
      </c>
      <c r="G313" s="10"/>
      <c r="H313" s="10" t="s">
        <v>2824</v>
      </c>
      <c r="I313" s="10" t="s">
        <v>2171</v>
      </c>
      <c r="J313" s="10"/>
      <c r="K313" s="7" t="str" cm="1">
        <f t="array" ref="K313">IFERROR(LOOKUP(2,1/('Outreach Log'!$C$2:$C$9998=F313),'Outreach Log'!$B$2:$B$9998),"")</f>
        <v/>
      </c>
      <c r="L313" s="5" t="str">
        <f>IFERROR(INDEX('Outreach Log'!$F:$F,MATCH(TEXT(K313,"YYYY-MM-DD")&amp;F313,'Outreach Log'!$L:$L,0)),"")</f>
        <v/>
      </c>
      <c r="M313" s="6" t="str">
        <f>IFERROR(HYPERLINK("#'Outreach Log'!A"&amp;MATCH(TEXT(K313,"YYYY-MM-DD")&amp;F313,'Outreach Log'!$L:$L,0),"→ View"),"—")</f>
        <v>—</v>
      </c>
      <c r="N313" s="6" t="str">
        <f>IFERROR(HYPERLINK("#Companies!A"&amp;MATCH(E313,Companies!$B:$B,0),"→ View"),"—")</f>
        <v>→ View</v>
      </c>
    </row>
    <row r="314" spans="1:14">
      <c r="A314" s="9">
        <f>IF(tblContacts[[#This Row],[First Name]]&lt;&gt;0,ROW()-1,"")</f>
        <v>313</v>
      </c>
      <c r="B314" s="50" t="s">
        <v>1211</v>
      </c>
      <c r="C314" s="50" t="s">
        <v>1746</v>
      </c>
      <c r="D314" s="10"/>
      <c r="E314" s="10" t="s">
        <v>596</v>
      </c>
      <c r="F314" s="10" t="s">
        <v>1747</v>
      </c>
      <c r="G314" s="10"/>
      <c r="H314" s="10" t="s">
        <v>2824</v>
      </c>
      <c r="I314" s="10" t="s">
        <v>2171</v>
      </c>
      <c r="J314" s="10"/>
      <c r="K314" s="7" t="str" cm="1">
        <f t="array" ref="K314">IFERROR(LOOKUP(2,1/('Outreach Log'!$C$2:$C$9998=F314),'Outreach Log'!$B$2:$B$9998),"")</f>
        <v/>
      </c>
      <c r="L314" s="5" t="str">
        <f>IFERROR(INDEX('Outreach Log'!$F:$F,MATCH(TEXT(K314,"YYYY-MM-DD")&amp;F314,'Outreach Log'!$L:$L,0)),"")</f>
        <v/>
      </c>
      <c r="M314" s="6" t="str">
        <f>IFERROR(HYPERLINK("#'Outreach Log'!A"&amp;MATCH(TEXT(K314,"YYYY-MM-DD")&amp;F314,'Outreach Log'!$L:$L,0),"→ View"),"—")</f>
        <v>—</v>
      </c>
      <c r="N314" s="6" t="str">
        <f>IFERROR(HYPERLINK("#Companies!A"&amp;MATCH(E314,Companies!$B:$B,0),"→ View"),"—")</f>
        <v>→ View</v>
      </c>
    </row>
    <row r="315" spans="1:14">
      <c r="A315" s="9">
        <f>IF(tblContacts[[#This Row],[First Name]]&lt;&gt;0,ROW()-1,"")</f>
        <v>314</v>
      </c>
      <c r="B315" s="50" t="s">
        <v>1211</v>
      </c>
      <c r="C315" s="50" t="s">
        <v>1749</v>
      </c>
      <c r="D315" s="10"/>
      <c r="E315" s="10" t="s">
        <v>2379</v>
      </c>
      <c r="F315" s="10" t="s">
        <v>1750</v>
      </c>
      <c r="G315" s="10"/>
      <c r="H315" s="10" t="s">
        <v>2824</v>
      </c>
      <c r="I315" s="10" t="s">
        <v>2171</v>
      </c>
      <c r="J315" s="10"/>
      <c r="K315" s="7" cm="1">
        <f t="array" ref="K315">IFERROR(LOOKUP(2,1/('Outreach Log'!$C$2:$C$9998=F315),'Outreach Log'!$B$2:$B$9998),"")</f>
        <v>46126</v>
      </c>
      <c r="L315" s="5" t="str">
        <f>IFERROR(INDEX('Outreach Log'!$F:$F,MATCH(TEXT(K315,"YYYY-MM-DD")&amp;F315,'Outreach Log'!$L:$L,0)),"")</f>
        <v>Email</v>
      </c>
      <c r="M315" s="6" t="str">
        <f>IFERROR(HYPERLINK("#'Outreach Log'!A"&amp;MATCH(TEXT(K315,"YYYY-MM-DD")&amp;F315,'Outreach Log'!$L:$L,0),"→ View"),"—")</f>
        <v>→ View</v>
      </c>
      <c r="N315" s="6" t="str">
        <f>IFERROR(HYPERLINK("#Companies!A"&amp;MATCH(E315,Companies!$B:$B,0),"→ View"),"—")</f>
        <v>→ View</v>
      </c>
    </row>
    <row r="316" spans="1:14">
      <c r="A316" s="9">
        <f>IF(tblContacts[[#This Row],[First Name]]&lt;&gt;0,ROW()-1,"")</f>
        <v>315</v>
      </c>
      <c r="B316" s="50" t="s">
        <v>1751</v>
      </c>
      <c r="C316" s="50" t="s">
        <v>1752</v>
      </c>
      <c r="D316" s="10"/>
      <c r="E316" s="10" t="s">
        <v>2380</v>
      </c>
      <c r="F316" s="10" t="s">
        <v>1753</v>
      </c>
      <c r="G316" s="10"/>
      <c r="H316" s="10" t="s">
        <v>2824</v>
      </c>
      <c r="I316" s="10" t="s">
        <v>2171</v>
      </c>
      <c r="J316" s="10"/>
      <c r="K316" s="7" t="str" cm="1">
        <f t="array" ref="K316">IFERROR(LOOKUP(2,1/('Outreach Log'!$C$2:$C$9998=F316),'Outreach Log'!$B$2:$B$9998),"")</f>
        <v/>
      </c>
      <c r="L316" s="5" t="str">
        <f>IFERROR(INDEX('Outreach Log'!$F:$F,MATCH(TEXT(K316,"YYYY-MM-DD")&amp;F316,'Outreach Log'!$L:$L,0)),"")</f>
        <v/>
      </c>
      <c r="M316" s="6" t="str">
        <f>IFERROR(HYPERLINK("#'Outreach Log'!A"&amp;MATCH(TEXT(K316,"YYYY-MM-DD")&amp;F316,'Outreach Log'!$L:$L,0),"→ View"),"—")</f>
        <v>—</v>
      </c>
      <c r="N316" s="6" t="str">
        <f>IFERROR(HYPERLINK("#Companies!A"&amp;MATCH(E316,Companies!$B:$B,0),"→ View"),"—")</f>
        <v>→ View</v>
      </c>
    </row>
    <row r="317" spans="1:14">
      <c r="A317" s="9">
        <f>IF(tblContacts[[#This Row],[First Name]]&lt;&gt;0,ROW()-1,"")</f>
        <v>316</v>
      </c>
      <c r="B317" s="50" t="s">
        <v>1754</v>
      </c>
      <c r="C317" s="50" t="s">
        <v>1616</v>
      </c>
      <c r="D317" s="10"/>
      <c r="E317" s="10" t="s">
        <v>2381</v>
      </c>
      <c r="F317" s="10" t="s">
        <v>1755</v>
      </c>
      <c r="G317" s="10"/>
      <c r="H317" s="10" t="s">
        <v>2824</v>
      </c>
      <c r="I317" s="10" t="s">
        <v>2171</v>
      </c>
      <c r="J317" s="10"/>
      <c r="K317" s="7" cm="1">
        <f t="array" ref="K317">IFERROR(LOOKUP(2,1/('Outreach Log'!$C$2:$C$9998=F317),'Outreach Log'!$B$2:$B$9998),"")</f>
        <v>46126</v>
      </c>
      <c r="L317" s="5" t="str">
        <f>IFERROR(INDEX('Outreach Log'!$F:$F,MATCH(TEXT(K317,"YYYY-MM-DD")&amp;F317,'Outreach Log'!$L:$L,0)),"")</f>
        <v>Email</v>
      </c>
      <c r="M317" s="6" t="str">
        <f>IFERROR(HYPERLINK("#'Outreach Log'!A"&amp;MATCH(TEXT(K317,"YYYY-MM-DD")&amp;F317,'Outreach Log'!$L:$L,0),"→ View"),"—")</f>
        <v>→ View</v>
      </c>
      <c r="N317" s="6" t="str">
        <f>IFERROR(HYPERLINK("#Companies!A"&amp;MATCH(E317,Companies!$B:$B,0),"→ View"),"—")</f>
        <v>→ View</v>
      </c>
    </row>
    <row r="318" spans="1:14">
      <c r="A318" s="9">
        <f>IF(tblContacts[[#This Row],[First Name]]&lt;&gt;0,ROW()-1,"")</f>
        <v>317</v>
      </c>
      <c r="B318" s="50" t="s">
        <v>1196</v>
      </c>
      <c r="C318" s="50" t="s">
        <v>1758</v>
      </c>
      <c r="D318" s="10"/>
      <c r="E318" s="10" t="s">
        <v>602</v>
      </c>
      <c r="F318" s="10" t="s">
        <v>1759</v>
      </c>
      <c r="G318" s="10"/>
      <c r="H318" s="10" t="s">
        <v>2824</v>
      </c>
      <c r="I318" s="10" t="s">
        <v>2171</v>
      </c>
      <c r="J318" s="10"/>
      <c r="K318" s="7" t="str" cm="1">
        <f t="array" ref="K318">IFERROR(LOOKUP(2,1/('Outreach Log'!$C$2:$C$9998=F318),'Outreach Log'!$B$2:$B$9998),"")</f>
        <v/>
      </c>
      <c r="L318" s="5" t="str">
        <f>IFERROR(INDEX('Outreach Log'!$F:$F,MATCH(TEXT(K318,"YYYY-MM-DD")&amp;F318,'Outreach Log'!$L:$L,0)),"")</f>
        <v/>
      </c>
      <c r="M318" s="6" t="str">
        <f>IFERROR(HYPERLINK("#'Outreach Log'!A"&amp;MATCH(TEXT(K318,"YYYY-MM-DD")&amp;F318,'Outreach Log'!$L:$L,0),"→ View"),"—")</f>
        <v>—</v>
      </c>
      <c r="N318" s="6" t="str">
        <f>IFERROR(HYPERLINK("#Companies!A"&amp;MATCH(E318,Companies!$B:$B,0),"→ View"),"—")</f>
        <v>→ View</v>
      </c>
    </row>
    <row r="319" spans="1:14">
      <c r="A319" s="9">
        <f>IF(tblContacts[[#This Row],[First Name]]&lt;&gt;0,ROW()-1,"")</f>
        <v>318</v>
      </c>
      <c r="B319" s="50" t="s">
        <v>1760</v>
      </c>
      <c r="C319" s="50" t="s">
        <v>1761</v>
      </c>
      <c r="D319" s="10"/>
      <c r="E319" s="10" t="s">
        <v>604</v>
      </c>
      <c r="F319" s="10" t="s">
        <v>1762</v>
      </c>
      <c r="G319" s="10"/>
      <c r="H319" s="10" t="s">
        <v>2824</v>
      </c>
      <c r="I319" s="10" t="s">
        <v>2171</v>
      </c>
      <c r="J319" s="10"/>
      <c r="K319" s="7" cm="1">
        <f t="array" ref="K319">IFERROR(LOOKUP(2,1/('Outreach Log'!$C$2:$C$9998=F319),'Outreach Log'!$B$2:$B$9998),"")</f>
        <v>46126</v>
      </c>
      <c r="L319" s="5" t="str">
        <f>IFERROR(INDEX('Outreach Log'!$F:$F,MATCH(TEXT(K319,"YYYY-MM-DD")&amp;F319,'Outreach Log'!$L:$L,0)),"")</f>
        <v>Email</v>
      </c>
      <c r="M319" s="6" t="str">
        <f>IFERROR(HYPERLINK("#'Outreach Log'!A"&amp;MATCH(TEXT(K319,"YYYY-MM-DD")&amp;F319,'Outreach Log'!$L:$L,0),"→ View"),"—")</f>
        <v>→ View</v>
      </c>
      <c r="N319" s="6" t="str">
        <f>IFERROR(HYPERLINK("#Companies!A"&amp;MATCH(E319,Companies!$B:$B,0),"→ View"),"—")</f>
        <v>→ View</v>
      </c>
    </row>
    <row r="320" spans="1:14">
      <c r="A320" s="9">
        <f>IF(tblContacts[[#This Row],[First Name]]&lt;&gt;0,ROW()-1,"")</f>
        <v>319</v>
      </c>
      <c r="B320" s="50" t="s">
        <v>1211</v>
      </c>
      <c r="C320" s="50" t="s">
        <v>728</v>
      </c>
      <c r="D320" s="10"/>
      <c r="E320" s="10" t="s">
        <v>2382</v>
      </c>
      <c r="F320" s="10" t="s">
        <v>1766</v>
      </c>
      <c r="G320" s="10"/>
      <c r="H320" s="10" t="s">
        <v>2824</v>
      </c>
      <c r="I320" s="10" t="s">
        <v>2171</v>
      </c>
      <c r="J320" s="10"/>
      <c r="K320" s="7" cm="1">
        <f t="array" ref="K320">IFERROR(LOOKUP(2,1/('Outreach Log'!$C$2:$C$9998=F320),'Outreach Log'!$B$2:$B$9998),"")</f>
        <v>46126</v>
      </c>
      <c r="L320" s="5" t="str">
        <f>IFERROR(INDEX('Outreach Log'!$F:$F,MATCH(TEXT(K320,"YYYY-MM-DD")&amp;F320,'Outreach Log'!$L:$L,0)),"")</f>
        <v>Email</v>
      </c>
      <c r="M320" s="6" t="str">
        <f>IFERROR(HYPERLINK("#'Outreach Log'!A"&amp;MATCH(TEXT(K320,"YYYY-MM-DD")&amp;F320,'Outreach Log'!$L:$L,0),"→ View"),"—")</f>
        <v>→ View</v>
      </c>
      <c r="N320" s="6" t="str">
        <f>IFERROR(HYPERLINK("#Companies!A"&amp;MATCH(E320,Companies!$B:$B,0),"→ View"),"—")</f>
        <v>→ View</v>
      </c>
    </row>
    <row r="321" spans="1:14">
      <c r="A321" s="9">
        <f>IF(tblContacts[[#This Row],[First Name]]&lt;&gt;0,ROW()-1,"")</f>
        <v>320</v>
      </c>
      <c r="B321" s="50" t="s">
        <v>1767</v>
      </c>
      <c r="C321" s="50" t="s">
        <v>1768</v>
      </c>
      <c r="D321" s="10"/>
      <c r="E321" s="10" t="s">
        <v>2383</v>
      </c>
      <c r="F321" s="10" t="s">
        <v>1769</v>
      </c>
      <c r="G321" s="10"/>
      <c r="H321" s="10" t="s">
        <v>2824</v>
      </c>
      <c r="I321" s="10" t="s">
        <v>2171</v>
      </c>
      <c r="J321" s="10"/>
      <c r="K321" s="7" t="str" cm="1">
        <f t="array" ref="K321">IFERROR(LOOKUP(2,1/('Outreach Log'!$C$2:$C$9998=F321),'Outreach Log'!$B$2:$B$9998),"")</f>
        <v/>
      </c>
      <c r="L321" s="5" t="str">
        <f>IFERROR(INDEX('Outreach Log'!$F:$F,MATCH(TEXT(K321,"YYYY-MM-DD")&amp;F321,'Outreach Log'!$L:$L,0)),"")</f>
        <v/>
      </c>
      <c r="M321" s="6" t="str">
        <f>IFERROR(HYPERLINK("#'Outreach Log'!A"&amp;MATCH(TEXT(K321,"YYYY-MM-DD")&amp;F321,'Outreach Log'!$L:$L,0),"→ View"),"—")</f>
        <v>—</v>
      </c>
      <c r="N321" s="6" t="str">
        <f>IFERROR(HYPERLINK("#Companies!A"&amp;MATCH(E321,Companies!$B:$B,0),"→ View"),"—")</f>
        <v>→ View</v>
      </c>
    </row>
    <row r="322" spans="1:14">
      <c r="A322" s="9">
        <f>IF(tblContacts[[#This Row],[First Name]]&lt;&gt;0,ROW()-1,"")</f>
        <v>321</v>
      </c>
      <c r="B322" s="50" t="s">
        <v>1211</v>
      </c>
      <c r="C322" s="50" t="s">
        <v>1770</v>
      </c>
      <c r="D322" s="10"/>
      <c r="E322" s="10" t="s">
        <v>2384</v>
      </c>
      <c r="F322" s="10" t="s">
        <v>1771</v>
      </c>
      <c r="G322" s="10"/>
      <c r="H322" s="10" t="s">
        <v>2824</v>
      </c>
      <c r="I322" s="10" t="s">
        <v>2171</v>
      </c>
      <c r="J322" s="10"/>
      <c r="K322" s="7" t="str" cm="1">
        <f t="array" ref="K322">IFERROR(LOOKUP(2,1/('Outreach Log'!$C$2:$C$9998=F322),'Outreach Log'!$B$2:$B$9998),"")</f>
        <v/>
      </c>
      <c r="L322" s="5" t="str">
        <f>IFERROR(INDEX('Outreach Log'!$F:$F,MATCH(TEXT(K322,"YYYY-MM-DD")&amp;F322,'Outreach Log'!$L:$L,0)),"")</f>
        <v/>
      </c>
      <c r="M322" s="6" t="str">
        <f>IFERROR(HYPERLINK("#'Outreach Log'!A"&amp;MATCH(TEXT(K322,"YYYY-MM-DD")&amp;F322,'Outreach Log'!$L:$L,0),"→ View"),"—")</f>
        <v>—</v>
      </c>
      <c r="N322" s="6" t="str">
        <f>IFERROR(HYPERLINK("#Companies!A"&amp;MATCH(E322,Companies!$B:$B,0),"→ View"),"—")</f>
        <v>→ View</v>
      </c>
    </row>
    <row r="323" spans="1:14">
      <c r="A323" s="9">
        <f>IF(tblContacts[[#This Row],[First Name]]&lt;&gt;0,ROW()-1,"")</f>
        <v>322</v>
      </c>
      <c r="B323" s="50" t="s">
        <v>1719</v>
      </c>
      <c r="C323" s="50" t="s">
        <v>1772</v>
      </c>
      <c r="D323" s="10" t="s">
        <v>1773</v>
      </c>
      <c r="E323" s="10" t="s">
        <v>612</v>
      </c>
      <c r="F323" s="10" t="s">
        <v>1774</v>
      </c>
      <c r="G323" s="10"/>
      <c r="H323" s="10" t="s">
        <v>2824</v>
      </c>
      <c r="I323" s="10" t="s">
        <v>13</v>
      </c>
      <c r="J323" s="10"/>
      <c r="K323" s="7" t="str" cm="1">
        <f t="array" ref="K323">IFERROR(LOOKUP(2,1/('Outreach Log'!$C$2:$C$9998=F323),'Outreach Log'!$B$2:$B$9998),"")</f>
        <v/>
      </c>
      <c r="L323" s="5" t="str">
        <f>IFERROR(INDEX('Outreach Log'!$F:$F,MATCH(TEXT(K323,"YYYY-MM-DD")&amp;F323,'Outreach Log'!$L:$L,0)),"")</f>
        <v/>
      </c>
      <c r="M323" s="6" t="str">
        <f>IFERROR(HYPERLINK("#'Outreach Log'!A"&amp;MATCH(TEXT(K323,"YYYY-MM-DD")&amp;F323,'Outreach Log'!$L:$L,0),"→ View"),"—")</f>
        <v>—</v>
      </c>
      <c r="N323" s="6" t="str">
        <f>IFERROR(HYPERLINK("#Companies!A"&amp;MATCH(E323,Companies!$B:$B,0),"→ View"),"—")</f>
        <v>→ View</v>
      </c>
    </row>
    <row r="324" spans="1:14">
      <c r="A324" s="9">
        <f>IF(tblContacts[[#This Row],[First Name]]&lt;&gt;0,ROW()-1,"")</f>
        <v>323</v>
      </c>
      <c r="B324" s="50" t="s">
        <v>1154</v>
      </c>
      <c r="C324" s="50" t="s">
        <v>1775</v>
      </c>
      <c r="D324" s="10"/>
      <c r="E324" s="10" t="s">
        <v>615</v>
      </c>
      <c r="F324" s="10" t="s">
        <v>1776</v>
      </c>
      <c r="G324" s="10"/>
      <c r="H324" s="10" t="s">
        <v>2824</v>
      </c>
      <c r="I324" s="10" t="s">
        <v>2171</v>
      </c>
      <c r="J324" s="10"/>
      <c r="K324" s="7" cm="1">
        <f t="array" ref="K324">IFERROR(LOOKUP(2,1/('Outreach Log'!$C$2:$C$9998=F324),'Outreach Log'!$B$2:$B$9998),"")</f>
        <v>46126</v>
      </c>
      <c r="L324" s="5" t="str">
        <f>IFERROR(INDEX('Outreach Log'!$F:$F,MATCH(TEXT(K324,"YYYY-MM-DD")&amp;F324,'Outreach Log'!$L:$L,0)),"")</f>
        <v>Email</v>
      </c>
      <c r="M324" s="6" t="str">
        <f>IFERROR(HYPERLINK("#'Outreach Log'!A"&amp;MATCH(TEXT(K324,"YYYY-MM-DD")&amp;F324,'Outreach Log'!$L:$L,0),"→ View"),"—")</f>
        <v>→ View</v>
      </c>
      <c r="N324" s="6" t="str">
        <f>IFERROR(HYPERLINK("#Companies!A"&amp;MATCH(E324,Companies!$B:$B,0),"→ View"),"—")</f>
        <v>→ View</v>
      </c>
    </row>
    <row r="325" spans="1:14">
      <c r="A325" s="9">
        <f>IF(tblContacts[[#This Row],[First Name]]&lt;&gt;0,ROW()-1,"")</f>
        <v>324</v>
      </c>
      <c r="B325" s="50" t="s">
        <v>1777</v>
      </c>
      <c r="C325" s="50" t="s">
        <v>1778</v>
      </c>
      <c r="D325" s="10" t="s">
        <v>1779</v>
      </c>
      <c r="E325" s="10" t="s">
        <v>617</v>
      </c>
      <c r="F325" s="10" t="s">
        <v>1780</v>
      </c>
      <c r="G325" s="10"/>
      <c r="H325" s="10" t="s">
        <v>2824</v>
      </c>
      <c r="I325" s="10" t="s">
        <v>13</v>
      </c>
      <c r="J325" s="10"/>
      <c r="K325" s="7" t="str" cm="1">
        <f t="array" ref="K325">IFERROR(LOOKUP(2,1/('Outreach Log'!$C$2:$C$9998=F325),'Outreach Log'!$B$2:$B$9998),"")</f>
        <v/>
      </c>
      <c r="L325" s="5" t="str">
        <f>IFERROR(INDEX('Outreach Log'!$F:$F,MATCH(TEXT(K325,"YYYY-MM-DD")&amp;F325,'Outreach Log'!$L:$L,0)),"")</f>
        <v/>
      </c>
      <c r="M325" s="6" t="str">
        <f>IFERROR(HYPERLINK("#'Outreach Log'!A"&amp;MATCH(TEXT(K325,"YYYY-MM-DD")&amp;F325,'Outreach Log'!$L:$L,0),"→ View"),"—")</f>
        <v>—</v>
      </c>
      <c r="N325" s="6" t="str">
        <f>IFERROR(HYPERLINK("#Companies!A"&amp;MATCH(E325,Companies!$B:$B,0),"→ View"),"—")</f>
        <v>→ View</v>
      </c>
    </row>
    <row r="326" spans="1:14">
      <c r="A326" s="9">
        <f>IF(tblContacts[[#This Row],[First Name]]&lt;&gt;0,ROW()-1,"")</f>
        <v>325</v>
      </c>
      <c r="B326" s="50" t="s">
        <v>1777</v>
      </c>
      <c r="C326" s="50" t="s">
        <v>1781</v>
      </c>
      <c r="D326" s="10"/>
      <c r="E326" s="10" t="s">
        <v>618</v>
      </c>
      <c r="F326" s="10" t="s">
        <v>1782</v>
      </c>
      <c r="G326" s="10"/>
      <c r="H326" s="10" t="s">
        <v>2824</v>
      </c>
      <c r="I326" s="10" t="s">
        <v>13</v>
      </c>
      <c r="J326" s="10"/>
      <c r="K326" s="7" t="str" cm="1">
        <f t="array" ref="K326">IFERROR(LOOKUP(2,1/('Outreach Log'!$C$2:$C$9998=F326),'Outreach Log'!$B$2:$B$9998),"")</f>
        <v/>
      </c>
      <c r="L326" s="5" t="str">
        <f>IFERROR(INDEX('Outreach Log'!$F:$F,MATCH(TEXT(K326,"YYYY-MM-DD")&amp;F326,'Outreach Log'!$L:$L,0)),"")</f>
        <v/>
      </c>
      <c r="M326" s="6" t="str">
        <f>IFERROR(HYPERLINK("#'Outreach Log'!A"&amp;MATCH(TEXT(K326,"YYYY-MM-DD")&amp;F326,'Outreach Log'!$L:$L,0),"→ View"),"—")</f>
        <v>—</v>
      </c>
      <c r="N326" s="6" t="str">
        <f>IFERROR(HYPERLINK("#Companies!A"&amp;MATCH(E326,Companies!$B:$B,0),"→ View"),"—")</f>
        <v>→ View</v>
      </c>
    </row>
    <row r="327" spans="1:14">
      <c r="A327" s="9">
        <f>IF(tblContacts[[#This Row],[First Name]]&lt;&gt;0,ROW()-1,"")</f>
        <v>326</v>
      </c>
      <c r="B327" s="50" t="s">
        <v>1777</v>
      </c>
      <c r="C327" s="50" t="s">
        <v>1783</v>
      </c>
      <c r="D327" s="10"/>
      <c r="E327" s="10" t="s">
        <v>2385</v>
      </c>
      <c r="F327" s="10" t="s">
        <v>1784</v>
      </c>
      <c r="G327" s="10"/>
      <c r="H327" s="10" t="s">
        <v>2824</v>
      </c>
      <c r="I327" s="10" t="s">
        <v>2171</v>
      </c>
      <c r="J327" s="10"/>
      <c r="K327" s="7" cm="1">
        <f t="array" ref="K327">IFERROR(LOOKUP(2,1/('Outreach Log'!$C$2:$C$9998=F327),'Outreach Log'!$B$2:$B$9998),"")</f>
        <v>46126</v>
      </c>
      <c r="L327" s="5" t="str">
        <f>IFERROR(INDEX('Outreach Log'!$F:$F,MATCH(TEXT(K327,"YYYY-MM-DD")&amp;F327,'Outreach Log'!$L:$L,0)),"")</f>
        <v>Email</v>
      </c>
      <c r="M327" s="6" t="str">
        <f>IFERROR(HYPERLINK("#'Outreach Log'!A"&amp;MATCH(TEXT(K327,"YYYY-MM-DD")&amp;F327,'Outreach Log'!$L:$L,0),"→ View"),"—")</f>
        <v>→ View</v>
      </c>
      <c r="N327" s="6" t="str">
        <f>IFERROR(HYPERLINK("#Companies!A"&amp;MATCH(E327,Companies!$B:$B,0),"→ View"),"—")</f>
        <v>→ View</v>
      </c>
    </row>
    <row r="328" spans="1:14">
      <c r="A328" s="9">
        <f>IF(tblContacts[[#This Row],[First Name]]&lt;&gt;0,ROW()-1,"")</f>
        <v>327</v>
      </c>
      <c r="B328" s="50" t="s">
        <v>1788</v>
      </c>
      <c r="C328" s="50" t="s">
        <v>1789</v>
      </c>
      <c r="D328" s="10"/>
      <c r="E328" s="10" t="s">
        <v>2386</v>
      </c>
      <c r="F328" s="10" t="s">
        <v>1790</v>
      </c>
      <c r="G328" s="10"/>
      <c r="H328" s="10" t="s">
        <v>2824</v>
      </c>
      <c r="I328" s="10" t="s">
        <v>2171</v>
      </c>
      <c r="J328" s="10"/>
      <c r="K328" s="7" cm="1">
        <f t="array" ref="K328">IFERROR(LOOKUP(2,1/('Outreach Log'!$C$2:$C$9998=F328),'Outreach Log'!$B$2:$B$9998),"")</f>
        <v>46126</v>
      </c>
      <c r="L328" s="5" t="str">
        <f>IFERROR(INDEX('Outreach Log'!$F:$F,MATCH(TEXT(K328,"YYYY-MM-DD")&amp;F328,'Outreach Log'!$L:$L,0)),"")</f>
        <v>Email</v>
      </c>
      <c r="M328" s="6" t="str">
        <f>IFERROR(HYPERLINK("#'Outreach Log'!A"&amp;MATCH(TEXT(K328,"YYYY-MM-DD")&amp;F328,'Outreach Log'!$L:$L,0),"→ View"),"—")</f>
        <v>→ View</v>
      </c>
      <c r="N328" s="6" t="str">
        <f>IFERROR(HYPERLINK("#Companies!A"&amp;MATCH(E328,Companies!$B:$B,0),"→ View"),"—")</f>
        <v>→ View</v>
      </c>
    </row>
    <row r="329" spans="1:14">
      <c r="A329" s="9">
        <f>IF(tblContacts[[#This Row],[First Name]]&lt;&gt;0,ROW()-1,"")</f>
        <v>328</v>
      </c>
      <c r="B329" s="50" t="s">
        <v>1791</v>
      </c>
      <c r="C329" s="50" t="s">
        <v>1792</v>
      </c>
      <c r="D329" s="10"/>
      <c r="E329" s="10" t="s">
        <v>624</v>
      </c>
      <c r="F329" s="10" t="s">
        <v>1793</v>
      </c>
      <c r="G329" s="10"/>
      <c r="H329" s="10" t="s">
        <v>2824</v>
      </c>
      <c r="I329" s="10" t="s">
        <v>2171</v>
      </c>
      <c r="J329" s="10"/>
      <c r="K329" s="7" cm="1">
        <f t="array" ref="K329">IFERROR(LOOKUP(2,1/('Outreach Log'!$C$2:$C$9998=F329),'Outreach Log'!$B$2:$B$9998),"")</f>
        <v>46126</v>
      </c>
      <c r="L329" s="5" t="str">
        <f>IFERROR(INDEX('Outreach Log'!$F:$F,MATCH(TEXT(K329,"YYYY-MM-DD")&amp;F329,'Outreach Log'!$L:$L,0)),"")</f>
        <v>Email</v>
      </c>
      <c r="M329" s="6" t="str">
        <f>IFERROR(HYPERLINK("#'Outreach Log'!A"&amp;MATCH(TEXT(K329,"YYYY-MM-DD")&amp;F329,'Outreach Log'!$L:$L,0),"→ View"),"—")</f>
        <v>→ View</v>
      </c>
      <c r="N329" s="6" t="str">
        <f>IFERROR(HYPERLINK("#Companies!A"&amp;MATCH(E329,Companies!$B:$B,0),"→ View"),"—")</f>
        <v>→ View</v>
      </c>
    </row>
    <row r="330" spans="1:14">
      <c r="A330" s="9">
        <f>IF(tblContacts[[#This Row],[First Name]]&lt;&gt;0,ROW()-1,"")</f>
        <v>329</v>
      </c>
      <c r="B330" s="50" t="s">
        <v>1796</v>
      </c>
      <c r="C330" s="50" t="s">
        <v>1797</v>
      </c>
      <c r="D330" s="10"/>
      <c r="E330" s="10" t="s">
        <v>625</v>
      </c>
      <c r="F330" s="10" t="s">
        <v>1798</v>
      </c>
      <c r="G330" s="10"/>
      <c r="H330" s="10" t="s">
        <v>2824</v>
      </c>
      <c r="I330" s="10" t="s">
        <v>2171</v>
      </c>
      <c r="J330" s="10"/>
      <c r="K330" s="7" t="str" cm="1">
        <f t="array" ref="K330">IFERROR(LOOKUP(2,1/('Outreach Log'!$C$2:$C$9998=F330),'Outreach Log'!$B$2:$B$9998),"")</f>
        <v/>
      </c>
      <c r="L330" s="5" t="str">
        <f>IFERROR(INDEX('Outreach Log'!$F:$F,MATCH(TEXT(K330,"YYYY-MM-DD")&amp;F330,'Outreach Log'!$L:$L,0)),"")</f>
        <v/>
      </c>
      <c r="M330" s="6" t="str">
        <f>IFERROR(HYPERLINK("#'Outreach Log'!A"&amp;MATCH(TEXT(K330,"YYYY-MM-DD")&amp;F330,'Outreach Log'!$L:$L,0),"→ View"),"—")</f>
        <v>—</v>
      </c>
      <c r="N330" s="6" t="str">
        <f>IFERROR(HYPERLINK("#Companies!A"&amp;MATCH(E330,Companies!$B:$B,0),"→ View"),"—")</f>
        <v>→ View</v>
      </c>
    </row>
    <row r="331" spans="1:14">
      <c r="A331" s="9">
        <f>IF(tblContacts[[#This Row],[First Name]]&lt;&gt;0,ROW()-1,"")</f>
        <v>330</v>
      </c>
      <c r="B331" s="50" t="s">
        <v>1801</v>
      </c>
      <c r="C331" s="50" t="s">
        <v>1802</v>
      </c>
      <c r="D331" s="10"/>
      <c r="E331" s="10" t="s">
        <v>627</v>
      </c>
      <c r="F331" s="10" t="s">
        <v>1803</v>
      </c>
      <c r="G331" s="10"/>
      <c r="H331" s="10" t="s">
        <v>2824</v>
      </c>
      <c r="I331" s="10" t="s">
        <v>2171</v>
      </c>
      <c r="J331" s="10"/>
      <c r="K331" s="7" cm="1">
        <f t="array" ref="K331">IFERROR(LOOKUP(2,1/('Outreach Log'!$C$2:$C$9998=F331),'Outreach Log'!$B$2:$B$9998),"")</f>
        <v>46126</v>
      </c>
      <c r="L331" s="5" t="str">
        <f>IFERROR(INDEX('Outreach Log'!$F:$F,MATCH(TEXT(K331,"YYYY-MM-DD")&amp;F331,'Outreach Log'!$L:$L,0)),"")</f>
        <v>Email</v>
      </c>
      <c r="M331" s="6" t="str">
        <f>IFERROR(HYPERLINK("#'Outreach Log'!A"&amp;MATCH(TEXT(K331,"YYYY-MM-DD")&amp;F331,'Outreach Log'!$L:$L,0),"→ View"),"—")</f>
        <v>→ View</v>
      </c>
      <c r="N331" s="6" t="str">
        <f>IFERROR(HYPERLINK("#Companies!A"&amp;MATCH(E331,Companies!$B:$B,0),"→ View"),"—")</f>
        <v>→ View</v>
      </c>
    </row>
    <row r="332" spans="1:14">
      <c r="A332" s="9">
        <f>IF(tblContacts[[#This Row],[First Name]]&lt;&gt;0,ROW()-1,"")</f>
        <v>331</v>
      </c>
      <c r="B332" s="50" t="s">
        <v>1804</v>
      </c>
      <c r="C332" s="50" t="s">
        <v>1805</v>
      </c>
      <c r="D332" s="10"/>
      <c r="E332" s="10" t="s">
        <v>2387</v>
      </c>
      <c r="F332" s="10" t="s">
        <v>1806</v>
      </c>
      <c r="G332" s="10"/>
      <c r="H332" s="10" t="s">
        <v>2824</v>
      </c>
      <c r="I332" s="10" t="s">
        <v>2171</v>
      </c>
      <c r="J332" s="10"/>
      <c r="K332" s="7" t="str" cm="1">
        <f t="array" ref="K332">IFERROR(LOOKUP(2,1/('Outreach Log'!$C$2:$C$9998=F332),'Outreach Log'!$B$2:$B$9998),"")</f>
        <v/>
      </c>
      <c r="L332" s="5" t="str">
        <f>IFERROR(INDEX('Outreach Log'!$F:$F,MATCH(TEXT(K332,"YYYY-MM-DD")&amp;F332,'Outreach Log'!$L:$L,0)),"")</f>
        <v/>
      </c>
      <c r="M332" s="6" t="str">
        <f>IFERROR(HYPERLINK("#'Outreach Log'!A"&amp;MATCH(TEXT(K332,"YYYY-MM-DD")&amp;F332,'Outreach Log'!$L:$L,0),"→ View"),"—")</f>
        <v>—</v>
      </c>
      <c r="N332" s="6" t="str">
        <f>IFERROR(HYPERLINK("#Companies!A"&amp;MATCH(E332,Companies!$B:$B,0),"→ View"),"—")</f>
        <v>→ View</v>
      </c>
    </row>
    <row r="333" spans="1:14">
      <c r="A333" s="9">
        <f>IF(tblContacts[[#This Row],[First Name]]&lt;&gt;0,ROW()-1,"")</f>
        <v>332</v>
      </c>
      <c r="B333" s="50" t="s">
        <v>1807</v>
      </c>
      <c r="C333" s="50" t="s">
        <v>810</v>
      </c>
      <c r="D333" s="10"/>
      <c r="E333" s="10" t="s">
        <v>2388</v>
      </c>
      <c r="F333" s="10" t="s">
        <v>1808</v>
      </c>
      <c r="G333" s="10"/>
      <c r="H333" s="10" t="s">
        <v>2824</v>
      </c>
      <c r="I333" s="10" t="s">
        <v>2171</v>
      </c>
      <c r="J333" s="10"/>
      <c r="K333" s="7" t="str" cm="1">
        <f t="array" ref="K333">IFERROR(LOOKUP(2,1/('Outreach Log'!$C$2:$C$9998=F333),'Outreach Log'!$B$2:$B$9998),"")</f>
        <v/>
      </c>
      <c r="L333" s="5" t="str">
        <f>IFERROR(INDEX('Outreach Log'!$F:$F,MATCH(TEXT(K333,"YYYY-MM-DD")&amp;F333,'Outreach Log'!$L:$L,0)),"")</f>
        <v/>
      </c>
      <c r="M333" s="6" t="str">
        <f>IFERROR(HYPERLINK("#'Outreach Log'!A"&amp;MATCH(TEXT(K333,"YYYY-MM-DD")&amp;F333,'Outreach Log'!$L:$L,0),"→ View"),"—")</f>
        <v>—</v>
      </c>
      <c r="N333" s="6" t="str">
        <f>IFERROR(HYPERLINK("#Companies!A"&amp;MATCH(E333,Companies!$B:$B,0),"→ View"),"—")</f>
        <v>→ View</v>
      </c>
    </row>
    <row r="334" spans="1:14">
      <c r="A334" s="9">
        <f>IF(tblContacts[[#This Row],[First Name]]&lt;&gt;0,ROW()-1,"")</f>
        <v>333</v>
      </c>
      <c r="B334" s="50" t="s">
        <v>1008</v>
      </c>
      <c r="C334" s="50" t="s">
        <v>1809</v>
      </c>
      <c r="D334" s="10" t="s">
        <v>2389</v>
      </c>
      <c r="E334" s="10" t="s">
        <v>632</v>
      </c>
      <c r="F334" s="10" t="s">
        <v>1810</v>
      </c>
      <c r="G334" s="10"/>
      <c r="H334" s="10" t="s">
        <v>2824</v>
      </c>
      <c r="I334" s="10" t="s">
        <v>13</v>
      </c>
      <c r="J334" s="10"/>
      <c r="K334" s="7" t="str" cm="1">
        <f t="array" ref="K334">IFERROR(LOOKUP(2,1/('Outreach Log'!$C$2:$C$9998=F334),'Outreach Log'!$B$2:$B$9998),"")</f>
        <v/>
      </c>
      <c r="L334" s="5" t="str">
        <f>IFERROR(INDEX('Outreach Log'!$F:$F,MATCH(TEXT(K334,"YYYY-MM-DD")&amp;F334,'Outreach Log'!$L:$L,0)),"")</f>
        <v/>
      </c>
      <c r="M334" s="6" t="str">
        <f>IFERROR(HYPERLINK("#'Outreach Log'!A"&amp;MATCH(TEXT(K334,"YYYY-MM-DD")&amp;F334,'Outreach Log'!$L:$L,0),"→ View"),"—")</f>
        <v>—</v>
      </c>
      <c r="N334" s="6" t="str">
        <f>IFERROR(HYPERLINK("#Companies!A"&amp;MATCH(E334,Companies!$B:$B,0),"→ View"),"—")</f>
        <v>→ View</v>
      </c>
    </row>
    <row r="335" spans="1:14">
      <c r="A335" s="9">
        <f>IF(tblContacts[[#This Row],[First Name]]&lt;&gt;0,ROW()-1,"")</f>
        <v>334</v>
      </c>
      <c r="B335" s="50" t="s">
        <v>1217</v>
      </c>
      <c r="C335" s="50" t="s">
        <v>1811</v>
      </c>
      <c r="D335" s="10" t="s">
        <v>1047</v>
      </c>
      <c r="E335" s="10" t="s">
        <v>633</v>
      </c>
      <c r="F335" s="10" t="s">
        <v>1812</v>
      </c>
      <c r="G335" s="10"/>
      <c r="H335" s="10" t="s">
        <v>2824</v>
      </c>
      <c r="I335" s="10" t="s">
        <v>13</v>
      </c>
      <c r="J335" s="10"/>
      <c r="K335" s="7" t="str" cm="1">
        <f t="array" ref="K335">IFERROR(LOOKUP(2,1/('Outreach Log'!$C$2:$C$9998=F335),'Outreach Log'!$B$2:$B$9998),"")</f>
        <v/>
      </c>
      <c r="L335" s="5" t="str">
        <f>IFERROR(INDEX('Outreach Log'!$F:$F,MATCH(TEXT(K335,"YYYY-MM-DD")&amp;F335,'Outreach Log'!$L:$L,0)),"")</f>
        <v/>
      </c>
      <c r="M335" s="6" t="str">
        <f>IFERROR(HYPERLINK("#'Outreach Log'!A"&amp;MATCH(TEXT(K335,"YYYY-MM-DD")&amp;F335,'Outreach Log'!$L:$L,0),"→ View"),"—")</f>
        <v>—</v>
      </c>
      <c r="N335" s="6" t="str">
        <f>IFERROR(HYPERLINK("#Companies!A"&amp;MATCH(E335,Companies!$B:$B,0),"→ View"),"—")</f>
        <v>→ View</v>
      </c>
    </row>
    <row r="336" spans="1:14">
      <c r="A336" s="9">
        <f>IF(tblContacts[[#This Row],[First Name]]&lt;&gt;0,ROW()-1,"")</f>
        <v>335</v>
      </c>
      <c r="B336" s="55" t="s">
        <v>2839</v>
      </c>
      <c r="C336" s="55" t="s">
        <v>2840</v>
      </c>
      <c r="E336" s="10" t="s">
        <v>2390</v>
      </c>
      <c r="F336" s="10" t="s">
        <v>2841</v>
      </c>
      <c r="H336" s="10" t="s">
        <v>2824</v>
      </c>
      <c r="I336" s="44" t="s">
        <v>2873</v>
      </c>
      <c r="K336" s="7" cm="1">
        <f t="array" ref="K336">IFERROR(LOOKUP(2,1/('Outreach Log'!$C$2:$C$9998=F336),'Outreach Log'!$B$2:$B$9998),"")</f>
        <v>46126</v>
      </c>
      <c r="L336" s="5" t="str">
        <f>IFERROR(INDEX('Outreach Log'!$F:$F,MATCH(TEXT(K336,"YYYY-MM-DD")&amp;F336,'Outreach Log'!$L:$L,0)),"")</f>
        <v>Email</v>
      </c>
      <c r="M336" s="6" t="str">
        <f>IFERROR(HYPERLINK("#'Outreach Log'!A"&amp;MATCH(TEXT(K336,"YYYY-MM-DD")&amp;F336,'Outreach Log'!$L:$L,0),"→ View"),"—")</f>
        <v>→ View</v>
      </c>
      <c r="N336" s="6" t="str">
        <f>IFERROR(HYPERLINK("#Companies!A"&amp;MATCH(E336,Companies!$B:$B,0),"→ View"),"—")</f>
        <v>→ View</v>
      </c>
    </row>
    <row r="337" spans="1:14">
      <c r="A337" s="9">
        <f>IF(tblContacts[[#This Row],[First Name]]&lt;&gt;0,ROW()-1,"")</f>
        <v>336</v>
      </c>
      <c r="B337" s="50" t="s">
        <v>1217</v>
      </c>
      <c r="C337" s="50" t="s">
        <v>1815</v>
      </c>
      <c r="D337" s="10"/>
      <c r="E337" s="10" t="s">
        <v>2390</v>
      </c>
      <c r="F337" s="10" t="s">
        <v>1816</v>
      </c>
      <c r="G337" s="10"/>
      <c r="H337" s="10" t="s">
        <v>2824</v>
      </c>
      <c r="I337" s="10" t="s">
        <v>2171</v>
      </c>
      <c r="J337" s="10"/>
      <c r="K337" s="7" cm="1">
        <f t="array" ref="K337">IFERROR(LOOKUP(2,1/('Outreach Log'!$C$2:$C$9998=F337),'Outreach Log'!$B$2:$B$9998),"")</f>
        <v>46126</v>
      </c>
      <c r="L337" s="5" t="str">
        <f>IFERROR(INDEX('Outreach Log'!$F:$F,MATCH(TEXT(K337,"YYYY-MM-DD")&amp;F337,'Outreach Log'!$L:$L,0)),"")</f>
        <v>Email</v>
      </c>
      <c r="M337" s="6" t="str">
        <f>IFERROR(HYPERLINK("#'Outreach Log'!A"&amp;MATCH(TEXT(K337,"YYYY-MM-DD")&amp;F337,'Outreach Log'!$L:$L,0),"→ View"),"—")</f>
        <v>→ View</v>
      </c>
      <c r="N337" s="6" t="str">
        <f>IFERROR(HYPERLINK("#Companies!A"&amp;MATCH(E337,Companies!$B:$B,0),"→ View"),"—")</f>
        <v>→ View</v>
      </c>
    </row>
    <row r="338" spans="1:14">
      <c r="A338" s="9">
        <f>IF(tblContacts[[#This Row],[First Name]]&lt;&gt;0,ROW()-1,"")</f>
        <v>337</v>
      </c>
      <c r="B338" s="50" t="s">
        <v>1217</v>
      </c>
      <c r="C338" s="50" t="s">
        <v>1817</v>
      </c>
      <c r="D338" s="10" t="s">
        <v>768</v>
      </c>
      <c r="E338" s="10" t="s">
        <v>2391</v>
      </c>
      <c r="F338" s="10" t="s">
        <v>1818</v>
      </c>
      <c r="G338" s="10"/>
      <c r="H338" s="10" t="s">
        <v>2824</v>
      </c>
      <c r="I338" s="10" t="s">
        <v>2171</v>
      </c>
      <c r="J338" s="10"/>
      <c r="K338" s="7" t="str" cm="1">
        <f t="array" ref="K338">IFERROR(LOOKUP(2,1/('Outreach Log'!$C$2:$C$9998=F338),'Outreach Log'!$B$2:$B$9998),"")</f>
        <v/>
      </c>
      <c r="L338" s="5" t="str">
        <f>IFERROR(INDEX('Outreach Log'!$F:$F,MATCH(TEXT(K338,"YYYY-MM-DD")&amp;F338,'Outreach Log'!$L:$L,0)),"")</f>
        <v/>
      </c>
      <c r="M338" s="6" t="str">
        <f>IFERROR(HYPERLINK("#'Outreach Log'!A"&amp;MATCH(TEXT(K338,"YYYY-MM-DD")&amp;F338,'Outreach Log'!$L:$L,0),"→ View"),"—")</f>
        <v>—</v>
      </c>
      <c r="N338" s="6" t="str">
        <f>IFERROR(HYPERLINK("#Companies!A"&amp;MATCH(E338,Companies!$B:$B,0),"→ View"),"—")</f>
        <v>→ View</v>
      </c>
    </row>
    <row r="339" spans="1:14">
      <c r="A339" s="9">
        <f>IF(tblContacts[[#This Row],[First Name]]&lt;&gt;0,ROW()-1,"")</f>
        <v>338</v>
      </c>
      <c r="B339" s="50" t="s">
        <v>1217</v>
      </c>
      <c r="C339" s="50" t="s">
        <v>1819</v>
      </c>
      <c r="D339" s="10"/>
      <c r="E339" s="10" t="s">
        <v>2392</v>
      </c>
      <c r="F339" s="10" t="s">
        <v>1820</v>
      </c>
      <c r="G339" s="10"/>
      <c r="H339" s="10" t="s">
        <v>2824</v>
      </c>
      <c r="I339" s="10" t="s">
        <v>2171</v>
      </c>
      <c r="J339" s="10"/>
      <c r="K339" s="7" t="str" cm="1">
        <f t="array" ref="K339">IFERROR(LOOKUP(2,1/('Outreach Log'!$C$2:$C$9998=F339),'Outreach Log'!$B$2:$B$9998),"")</f>
        <v/>
      </c>
      <c r="L339" s="5" t="str">
        <f>IFERROR(INDEX('Outreach Log'!$F:$F,MATCH(TEXT(K339,"YYYY-MM-DD")&amp;F339,'Outreach Log'!$L:$L,0)),"")</f>
        <v/>
      </c>
      <c r="M339" s="6" t="str">
        <f>IFERROR(HYPERLINK("#'Outreach Log'!A"&amp;MATCH(TEXT(K339,"YYYY-MM-DD")&amp;F339,'Outreach Log'!$L:$L,0),"→ View"),"—")</f>
        <v>—</v>
      </c>
      <c r="N339" s="6" t="str">
        <f>IFERROR(HYPERLINK("#Companies!A"&amp;MATCH(E339,Companies!$B:$B,0),"→ View"),"—")</f>
        <v>→ View</v>
      </c>
    </row>
    <row r="340" spans="1:14">
      <c r="A340" s="9">
        <f>IF(tblContacts[[#This Row],[First Name]]&lt;&gt;0,ROW()-1,"")</f>
        <v>339</v>
      </c>
      <c r="B340" s="50" t="s">
        <v>1217</v>
      </c>
      <c r="C340" s="50" t="s">
        <v>1821</v>
      </c>
      <c r="D340" s="10"/>
      <c r="E340" s="10" t="s">
        <v>366</v>
      </c>
      <c r="F340" s="10" t="s">
        <v>1822</v>
      </c>
      <c r="G340" s="10"/>
      <c r="H340" s="10" t="s">
        <v>2824</v>
      </c>
      <c r="I340" s="10" t="s">
        <v>2171</v>
      </c>
      <c r="J340" s="10"/>
      <c r="K340" s="7" cm="1">
        <f t="array" ref="K340">IFERROR(LOOKUP(2,1/('Outreach Log'!$C$2:$C$9998=F340),'Outreach Log'!$B$2:$B$9998),"")</f>
        <v>46126</v>
      </c>
      <c r="L340" s="5" t="str">
        <f>IFERROR(INDEX('Outreach Log'!$F:$F,MATCH(TEXT(K340,"YYYY-MM-DD")&amp;F340,'Outreach Log'!$L:$L,0)),"")</f>
        <v>Email</v>
      </c>
      <c r="M340" s="6" t="str">
        <f>IFERROR(HYPERLINK("#'Outreach Log'!A"&amp;MATCH(TEXT(K340,"YYYY-MM-DD")&amp;F340,'Outreach Log'!$L:$L,0),"→ View"),"—")</f>
        <v>→ View</v>
      </c>
      <c r="N340" s="6" t="str">
        <f>IFERROR(HYPERLINK("#Companies!A"&amp;MATCH(E340,Companies!$B:$B,0),"→ View"),"—")</f>
        <v>→ View</v>
      </c>
    </row>
    <row r="341" spans="1:14">
      <c r="A341" s="9">
        <f>IF(tblContacts[[#This Row],[First Name]]&lt;&gt;0,ROW()-1,"")</f>
        <v>340</v>
      </c>
      <c r="B341" s="50" t="s">
        <v>1217</v>
      </c>
      <c r="C341" s="50" t="s">
        <v>1823</v>
      </c>
      <c r="D341" s="10"/>
      <c r="E341" s="10" t="s">
        <v>642</v>
      </c>
      <c r="F341" s="10" t="s">
        <v>1824</v>
      </c>
      <c r="G341" s="10"/>
      <c r="H341" s="10" t="s">
        <v>2824</v>
      </c>
      <c r="I341" s="10" t="s">
        <v>2171</v>
      </c>
      <c r="J341" s="10"/>
      <c r="K341" s="7" cm="1">
        <f t="array" ref="K341">IFERROR(LOOKUP(2,1/('Outreach Log'!$C$2:$C$9998=F341),'Outreach Log'!$B$2:$B$9998),"")</f>
        <v>46126</v>
      </c>
      <c r="L341" s="5" t="str">
        <f>IFERROR(INDEX('Outreach Log'!$F:$F,MATCH(TEXT(K341,"YYYY-MM-DD")&amp;F341,'Outreach Log'!$L:$L,0)),"")</f>
        <v>Email</v>
      </c>
      <c r="M341" s="6" t="str">
        <f>IFERROR(HYPERLINK("#'Outreach Log'!A"&amp;MATCH(TEXT(K341,"YYYY-MM-DD")&amp;F341,'Outreach Log'!$L:$L,0),"→ View"),"—")</f>
        <v>→ View</v>
      </c>
      <c r="N341" s="6" t="str">
        <f>IFERROR(HYPERLINK("#Companies!A"&amp;MATCH(E341,Companies!$B:$B,0),"→ View"),"—")</f>
        <v>→ View</v>
      </c>
    </row>
    <row r="342" spans="1:14">
      <c r="A342" s="9">
        <f>IF(tblContacts[[#This Row],[First Name]]&lt;&gt;0,ROW()-1,"")</f>
        <v>341</v>
      </c>
      <c r="B342" s="50" t="s">
        <v>1828</v>
      </c>
      <c r="C342" s="50" t="s">
        <v>1033</v>
      </c>
      <c r="D342" s="10"/>
      <c r="E342" s="10" t="s">
        <v>2393</v>
      </c>
      <c r="F342" s="10" t="s">
        <v>1829</v>
      </c>
      <c r="G342" s="10"/>
      <c r="H342" s="10" t="s">
        <v>2824</v>
      </c>
      <c r="I342" s="10" t="s">
        <v>2171</v>
      </c>
      <c r="J342" s="10"/>
      <c r="K342" s="7" cm="1">
        <f t="array" ref="K342">IFERROR(LOOKUP(2,1/('Outreach Log'!$C$2:$C$9998=F342),'Outreach Log'!$B$2:$B$9998),"")</f>
        <v>46126</v>
      </c>
      <c r="L342" s="5" t="str">
        <f>IFERROR(INDEX('Outreach Log'!$F:$F,MATCH(TEXT(K342,"YYYY-MM-DD")&amp;F342,'Outreach Log'!$L:$L,0)),"")</f>
        <v>Email</v>
      </c>
      <c r="M342" s="6" t="str">
        <f>IFERROR(HYPERLINK("#'Outreach Log'!A"&amp;MATCH(TEXT(K342,"YYYY-MM-DD")&amp;F342,'Outreach Log'!$L:$L,0),"→ View"),"—")</f>
        <v>→ View</v>
      </c>
      <c r="N342" s="6" t="str">
        <f>IFERROR(HYPERLINK("#Companies!A"&amp;MATCH(E342,Companies!$B:$B,0),"→ View"),"—")</f>
        <v>→ View</v>
      </c>
    </row>
    <row r="343" spans="1:14">
      <c r="A343" s="9">
        <f>IF(tblContacts[[#This Row],[First Name]]&lt;&gt;0,ROW()-1,"")</f>
        <v>342</v>
      </c>
      <c r="B343" s="50" t="s">
        <v>1281</v>
      </c>
      <c r="C343" s="50" t="s">
        <v>1751</v>
      </c>
      <c r="D343" s="10"/>
      <c r="E343" s="10" t="s">
        <v>2394</v>
      </c>
      <c r="F343" s="10" t="s">
        <v>1830</v>
      </c>
      <c r="G343" s="10"/>
      <c r="H343" s="10" t="s">
        <v>2824</v>
      </c>
      <c r="I343" s="10" t="s">
        <v>2171</v>
      </c>
      <c r="J343" s="10"/>
      <c r="K343" s="7" cm="1">
        <f t="array" ref="K343">IFERROR(LOOKUP(2,1/('Outreach Log'!$C$2:$C$9998=F343),'Outreach Log'!$B$2:$B$9998),"")</f>
        <v>46126</v>
      </c>
      <c r="L343" s="5" t="str">
        <f>IFERROR(INDEX('Outreach Log'!$F:$F,MATCH(TEXT(K343,"YYYY-MM-DD")&amp;F343,'Outreach Log'!$L:$L,0)),"")</f>
        <v>Email</v>
      </c>
      <c r="M343" s="6" t="str">
        <f>IFERROR(HYPERLINK("#'Outreach Log'!A"&amp;MATCH(TEXT(K343,"YYYY-MM-DD")&amp;F343,'Outreach Log'!$L:$L,0),"→ View"),"—")</f>
        <v>→ View</v>
      </c>
      <c r="N343" s="6" t="str">
        <f>IFERROR(HYPERLINK("#Companies!A"&amp;MATCH(E343,Companies!$B:$B,0),"→ View"),"—")</f>
        <v>→ View</v>
      </c>
    </row>
    <row r="344" spans="1:14">
      <c r="A344" s="9">
        <f>IF(tblContacts[[#This Row],[First Name]]&lt;&gt;0,ROW()-1,"")</f>
        <v>343</v>
      </c>
      <c r="B344" s="50" t="s">
        <v>1281</v>
      </c>
      <c r="C344" s="50" t="s">
        <v>1122</v>
      </c>
      <c r="D344" s="10"/>
      <c r="E344" s="10" t="s">
        <v>2395</v>
      </c>
      <c r="F344" s="10" t="s">
        <v>1831</v>
      </c>
      <c r="G344" s="10"/>
      <c r="H344" s="10" t="s">
        <v>2824</v>
      </c>
      <c r="I344" s="10" t="s">
        <v>2171</v>
      </c>
      <c r="J344" s="10"/>
      <c r="K344" s="7" cm="1">
        <f t="array" ref="K344">IFERROR(LOOKUP(2,1/('Outreach Log'!$C$2:$C$9998=F344),'Outreach Log'!$B$2:$B$9998),"")</f>
        <v>46126</v>
      </c>
      <c r="L344" s="5" t="str">
        <f>IFERROR(INDEX('Outreach Log'!$F:$F,MATCH(TEXT(K344,"YYYY-MM-DD")&amp;F344,'Outreach Log'!$L:$L,0)),"")</f>
        <v>Email</v>
      </c>
      <c r="M344" s="6" t="str">
        <f>IFERROR(HYPERLINK("#'Outreach Log'!A"&amp;MATCH(TEXT(K344,"YYYY-MM-DD")&amp;F344,'Outreach Log'!$L:$L,0),"→ View"),"—")</f>
        <v>→ View</v>
      </c>
      <c r="N344" s="6" t="str">
        <f>IFERROR(HYPERLINK("#Companies!A"&amp;MATCH(E344,Companies!$B:$B,0),"→ View"),"—")</f>
        <v>→ View</v>
      </c>
    </row>
    <row r="345" spans="1:14">
      <c r="A345" s="9">
        <f>IF(tblContacts[[#This Row],[First Name]]&lt;&gt;0,ROW()-1,"")</f>
        <v>344</v>
      </c>
      <c r="B345" s="50" t="s">
        <v>1758</v>
      </c>
      <c r="C345" s="50" t="s">
        <v>1707</v>
      </c>
      <c r="D345" s="10" t="s">
        <v>794</v>
      </c>
      <c r="E345" s="10" t="s">
        <v>2192</v>
      </c>
      <c r="F345" s="10" t="s">
        <v>1832</v>
      </c>
      <c r="G345" s="10"/>
      <c r="H345" s="10" t="s">
        <v>2824</v>
      </c>
      <c r="I345" s="10" t="s">
        <v>2171</v>
      </c>
      <c r="J345" s="10"/>
      <c r="K345" s="7" cm="1">
        <f t="array" ref="K345">IFERROR(LOOKUP(2,1/('Outreach Log'!$C$2:$C$9998=F345),'Outreach Log'!$B$2:$B$9998),"")</f>
        <v>46126</v>
      </c>
      <c r="L345" s="5" t="str">
        <f>IFERROR(INDEX('Outreach Log'!$F:$F,MATCH(TEXT(K345,"YYYY-MM-DD")&amp;F345,'Outreach Log'!$L:$L,0)),"")</f>
        <v>Email</v>
      </c>
      <c r="M345" s="6" t="str">
        <f>IFERROR(HYPERLINK("#'Outreach Log'!A"&amp;MATCH(TEXT(K345,"YYYY-MM-DD")&amp;F345,'Outreach Log'!$L:$L,0),"→ View"),"—")</f>
        <v>→ View</v>
      </c>
      <c r="N345" s="6" t="str">
        <f>IFERROR(HYPERLINK("#Companies!A"&amp;MATCH(E345,Companies!$B:$B,0),"→ View"),"—")</f>
        <v>→ View</v>
      </c>
    </row>
    <row r="346" spans="1:14">
      <c r="A346" s="9">
        <f>IF(tblContacts[[#This Row],[First Name]]&lt;&gt;0,ROW()-1,"")</f>
        <v>345</v>
      </c>
      <c r="B346" s="50" t="s">
        <v>1833</v>
      </c>
      <c r="C346" s="50" t="s">
        <v>1811</v>
      </c>
      <c r="D346" s="10"/>
      <c r="E346" s="10" t="s">
        <v>2396</v>
      </c>
      <c r="F346" s="10" t="s">
        <v>1834</v>
      </c>
      <c r="G346" s="10"/>
      <c r="H346" s="10" t="s">
        <v>2824</v>
      </c>
      <c r="I346" s="10" t="s">
        <v>2171</v>
      </c>
      <c r="J346" s="10"/>
      <c r="K346" s="7" cm="1">
        <f t="array" ref="K346">IFERROR(LOOKUP(2,1/('Outreach Log'!$C$2:$C$9998=F346),'Outreach Log'!$B$2:$B$9998),"")</f>
        <v>46126</v>
      </c>
      <c r="L346" s="5" t="str">
        <f>IFERROR(INDEX('Outreach Log'!$F:$F,MATCH(TEXT(K346,"YYYY-MM-DD")&amp;F346,'Outreach Log'!$L:$L,0)),"")</f>
        <v>Email</v>
      </c>
      <c r="M346" s="6" t="str">
        <f>IFERROR(HYPERLINK("#'Outreach Log'!A"&amp;MATCH(TEXT(K346,"YYYY-MM-DD")&amp;F346,'Outreach Log'!$L:$L,0),"→ View"),"—")</f>
        <v>→ View</v>
      </c>
      <c r="N346" s="6" t="str">
        <f>IFERROR(HYPERLINK("#Companies!A"&amp;MATCH(E346,Companies!$B:$B,0),"→ View"),"—")</f>
        <v>→ View</v>
      </c>
    </row>
    <row r="347" spans="1:14">
      <c r="A347" s="9">
        <f>IF(tblContacts[[#This Row],[First Name]]&lt;&gt;0,ROW()-1,"")</f>
        <v>346</v>
      </c>
      <c r="B347" s="50" t="s">
        <v>3290</v>
      </c>
      <c r="C347" s="50" t="s">
        <v>3291</v>
      </c>
      <c r="D347" s="10" t="s">
        <v>3195</v>
      </c>
      <c r="E347" s="10" t="s">
        <v>3292</v>
      </c>
      <c r="F347" s="10" t="s">
        <v>3293</v>
      </c>
      <c r="G347" s="10" t="s">
        <v>3294</v>
      </c>
      <c r="H347" s="10" t="s">
        <v>2824</v>
      </c>
      <c r="I347" s="44" t="s">
        <v>3363</v>
      </c>
      <c r="K347" s="7" t="str" cm="1">
        <f t="array" ref="K347">IFERROR(LOOKUP(2,1/('Outreach Log'!$C$2:$C$9998=F347),'Outreach Log'!$B$2:$B$9998),"")</f>
        <v/>
      </c>
      <c r="L347" s="5" t="str">
        <f>IFERROR(INDEX('Outreach Log'!$F:$F,MATCH(TEXT(K347,"YYYY-MM-DD")&amp;F347,'Outreach Log'!$L:$L,0)),"")</f>
        <v/>
      </c>
      <c r="M347" s="6" t="str">
        <f>IFERROR(HYPERLINK("#'Outreach Log'!A"&amp;MATCH(TEXT(K347,"YYYY-MM-DD")&amp;F347,'Outreach Log'!$L:$L,0),"→ View"),"—")</f>
        <v>—</v>
      </c>
      <c r="N347" s="6" t="str">
        <f>IFERROR(HYPERLINK("#Companies!A"&amp;MATCH(E347,Companies!$B:$B,0),"→ View"),"—")</f>
        <v>—</v>
      </c>
    </row>
    <row r="348" spans="1:14">
      <c r="A348" s="9">
        <f>IF(tblContacts[[#This Row],[First Name]]&lt;&gt;0,ROW()-1,"")</f>
        <v>347</v>
      </c>
      <c r="B348" s="50" t="s">
        <v>1837</v>
      </c>
      <c r="C348" s="50" t="s">
        <v>867</v>
      </c>
      <c r="D348" s="10"/>
      <c r="E348" s="10" t="s">
        <v>2397</v>
      </c>
      <c r="F348" s="10" t="s">
        <v>1838</v>
      </c>
      <c r="G348" s="10"/>
      <c r="H348" s="10" t="s">
        <v>2824</v>
      </c>
      <c r="I348" s="10" t="s">
        <v>2171</v>
      </c>
      <c r="J348" s="10"/>
      <c r="K348" s="7" cm="1">
        <f t="array" ref="K348">IFERROR(LOOKUP(2,1/('Outreach Log'!$C$2:$C$9998=F348),'Outreach Log'!$B$2:$B$9998),"")</f>
        <v>46126</v>
      </c>
      <c r="L348" s="5" t="str">
        <f>IFERROR(INDEX('Outreach Log'!$F:$F,MATCH(TEXT(K348,"YYYY-MM-DD")&amp;F348,'Outreach Log'!$L:$L,0)),"")</f>
        <v>Email</v>
      </c>
      <c r="M348" s="6" t="str">
        <f>IFERROR(HYPERLINK("#'Outreach Log'!A"&amp;MATCH(TEXT(K348,"YYYY-MM-DD")&amp;F348,'Outreach Log'!$L:$L,0),"→ View"),"—")</f>
        <v>→ View</v>
      </c>
      <c r="N348" s="6" t="str">
        <f>IFERROR(HYPERLINK("#Companies!A"&amp;MATCH(E348,Companies!$B:$B,0),"→ View"),"—")</f>
        <v>→ View</v>
      </c>
    </row>
    <row r="349" spans="1:14">
      <c r="A349" s="9">
        <f>IF(tblContacts[[#This Row],[First Name]]&lt;&gt;0,ROW()-1,"")</f>
        <v>348</v>
      </c>
      <c r="B349" s="50" t="s">
        <v>1839</v>
      </c>
      <c r="C349" s="50" t="s">
        <v>1840</v>
      </c>
      <c r="D349" s="10"/>
      <c r="E349" s="10" t="s">
        <v>2398</v>
      </c>
      <c r="F349" s="10" t="s">
        <v>1841</v>
      </c>
      <c r="G349" s="10"/>
      <c r="H349" s="10" t="s">
        <v>2824</v>
      </c>
      <c r="I349" s="10" t="s">
        <v>2171</v>
      </c>
      <c r="J349" s="10"/>
      <c r="K349" s="7" t="str" cm="1">
        <f t="array" ref="K349">IFERROR(LOOKUP(2,1/('Outreach Log'!$C$2:$C$9998=F349),'Outreach Log'!$B$2:$B$9998),"")</f>
        <v/>
      </c>
      <c r="L349" s="5" t="str">
        <f>IFERROR(INDEX('Outreach Log'!$F:$F,MATCH(TEXT(K349,"YYYY-MM-DD")&amp;F349,'Outreach Log'!$L:$L,0)),"")</f>
        <v/>
      </c>
      <c r="M349" s="6" t="str">
        <f>IFERROR(HYPERLINK("#'Outreach Log'!A"&amp;MATCH(TEXT(K349,"YYYY-MM-DD")&amp;F349,'Outreach Log'!$L:$L,0),"→ View"),"—")</f>
        <v>—</v>
      </c>
      <c r="N349" s="6" t="str">
        <f>IFERROR(HYPERLINK("#Companies!A"&amp;MATCH(E349,Companies!$B:$B,0),"→ View"),"—")</f>
        <v>→ View</v>
      </c>
    </row>
    <row r="350" spans="1:14">
      <c r="A350" s="9">
        <f>IF(tblContacts[[#This Row],[First Name]]&lt;&gt;0,ROW()-1,"")</f>
        <v>349</v>
      </c>
      <c r="B350" s="50" t="s">
        <v>1842</v>
      </c>
      <c r="C350" s="50" t="s">
        <v>1843</v>
      </c>
      <c r="D350" s="10"/>
      <c r="E350" s="10" t="s">
        <v>654</v>
      </c>
      <c r="F350" s="10" t="s">
        <v>1844</v>
      </c>
      <c r="G350" s="10"/>
      <c r="H350" s="10" t="s">
        <v>2824</v>
      </c>
      <c r="I350" s="10" t="s">
        <v>2171</v>
      </c>
      <c r="J350" s="10"/>
      <c r="K350" s="7" cm="1">
        <f t="array" ref="K350">IFERROR(LOOKUP(2,1/('Outreach Log'!$C$2:$C$9998=F350),'Outreach Log'!$B$2:$B$9998),"")</f>
        <v>46126</v>
      </c>
      <c r="L350" s="5" t="str">
        <f>IFERROR(INDEX('Outreach Log'!$F:$F,MATCH(TEXT(K350,"YYYY-MM-DD")&amp;F350,'Outreach Log'!$L:$L,0)),"")</f>
        <v>Email</v>
      </c>
      <c r="M350" s="6" t="str">
        <f>IFERROR(HYPERLINK("#'Outreach Log'!A"&amp;MATCH(TEXT(K350,"YYYY-MM-DD")&amp;F350,'Outreach Log'!$L:$L,0),"→ View"),"—")</f>
        <v>→ View</v>
      </c>
      <c r="N350" s="6" t="str">
        <f>IFERROR(HYPERLINK("#Companies!A"&amp;MATCH(E350,Companies!$B:$B,0),"→ View"),"—")</f>
        <v>→ View</v>
      </c>
    </row>
    <row r="351" spans="1:14">
      <c r="A351" s="9">
        <f>IF(tblContacts[[#This Row],[First Name]]&lt;&gt;0,ROW()-1,"")</f>
        <v>350</v>
      </c>
      <c r="B351" s="50" t="s">
        <v>1842</v>
      </c>
      <c r="C351" s="50" t="s">
        <v>1845</v>
      </c>
      <c r="D351" s="10" t="s">
        <v>862</v>
      </c>
      <c r="E351" s="10" t="s">
        <v>656</v>
      </c>
      <c r="F351" s="10" t="s">
        <v>1846</v>
      </c>
      <c r="G351" s="10"/>
      <c r="H351" s="10" t="s">
        <v>2824</v>
      </c>
      <c r="I351" s="10" t="s">
        <v>13</v>
      </c>
      <c r="J351" s="10"/>
      <c r="K351" s="7" cm="1">
        <f t="array" ref="K351">IFERROR(LOOKUP(2,1/('Outreach Log'!$C$2:$C$9998=F351),'Outreach Log'!$B$2:$B$9998),"")</f>
        <v>46126</v>
      </c>
      <c r="L351" s="5" t="str">
        <f>IFERROR(INDEX('Outreach Log'!$F:$F,MATCH(TEXT(K351,"YYYY-MM-DD")&amp;F351,'Outreach Log'!$L:$L,0)),"")</f>
        <v>Email</v>
      </c>
      <c r="M351" s="6" t="str">
        <f>IFERROR(HYPERLINK("#'Outreach Log'!A"&amp;MATCH(TEXT(K351,"YYYY-MM-DD")&amp;F351,'Outreach Log'!$L:$L,0),"→ View"),"—")</f>
        <v>→ View</v>
      </c>
      <c r="N351" s="6" t="str">
        <f>IFERROR(HYPERLINK("#Companies!A"&amp;MATCH(E351,Companies!$B:$B,0),"→ View"),"—")</f>
        <v>→ View</v>
      </c>
    </row>
    <row r="352" spans="1:14">
      <c r="A352" s="9">
        <f>IF(tblContacts[[#This Row],[First Name]]&lt;&gt;0,ROW()-1,"")</f>
        <v>351</v>
      </c>
      <c r="B352" s="55" t="s">
        <v>1842</v>
      </c>
      <c r="C352" s="55" t="s">
        <v>1514</v>
      </c>
      <c r="E352" s="10" t="s">
        <v>656</v>
      </c>
      <c r="F352" s="10" t="s">
        <v>2842</v>
      </c>
      <c r="H352" s="10" t="s">
        <v>2824</v>
      </c>
      <c r="I352" s="44" t="s">
        <v>2873</v>
      </c>
      <c r="K352" s="7" cm="1">
        <f t="array" ref="K352">IFERROR(LOOKUP(2,1/('Outreach Log'!$C$2:$C$9998=F352),'Outreach Log'!$B$2:$B$9998),"")</f>
        <v>46126</v>
      </c>
      <c r="L352" s="5" t="str">
        <f>IFERROR(INDEX('Outreach Log'!$F:$F,MATCH(TEXT(K352,"YYYY-MM-DD")&amp;F352,'Outreach Log'!$L:$L,0)),"")</f>
        <v>Email</v>
      </c>
      <c r="M352" s="6" t="str">
        <f>IFERROR(HYPERLINK("#'Outreach Log'!A"&amp;MATCH(TEXT(K352,"YYYY-MM-DD")&amp;F352,'Outreach Log'!$L:$L,0),"→ View"),"—")</f>
        <v>→ View</v>
      </c>
      <c r="N352" s="6" t="str">
        <f>IFERROR(HYPERLINK("#Companies!A"&amp;MATCH(E352,Companies!$B:$B,0),"→ View"),"—")</f>
        <v>→ View</v>
      </c>
    </row>
    <row r="353" spans="1:14">
      <c r="A353" s="9">
        <f>IF(tblContacts[[#This Row],[First Name]]&lt;&gt;0,ROW()-1,"")</f>
        <v>352</v>
      </c>
      <c r="B353" s="50" t="s">
        <v>1847</v>
      </c>
      <c r="C353" s="50" t="s">
        <v>867</v>
      </c>
      <c r="D353" s="10"/>
      <c r="E353" s="10" t="s">
        <v>2399</v>
      </c>
      <c r="F353" s="10" t="s">
        <v>1848</v>
      </c>
      <c r="G353" s="10"/>
      <c r="H353" s="10" t="s">
        <v>2824</v>
      </c>
      <c r="I353" s="10" t="s">
        <v>2171</v>
      </c>
      <c r="J353" s="10"/>
      <c r="K353" s="7" cm="1">
        <f t="array" ref="K353">IFERROR(LOOKUP(2,1/('Outreach Log'!$C$2:$C$9998=F353),'Outreach Log'!$B$2:$B$9998),"")</f>
        <v>46126</v>
      </c>
      <c r="L353" s="5" t="str">
        <f>IFERROR(INDEX('Outreach Log'!$F:$F,MATCH(TEXT(K353,"YYYY-MM-DD")&amp;F353,'Outreach Log'!$L:$L,0)),"")</f>
        <v>Email</v>
      </c>
      <c r="M353" s="6" t="str">
        <f>IFERROR(HYPERLINK("#'Outreach Log'!A"&amp;MATCH(TEXT(K353,"YYYY-MM-DD")&amp;F353,'Outreach Log'!$L:$L,0),"→ View"),"—")</f>
        <v>→ View</v>
      </c>
      <c r="N353" s="6" t="str">
        <f>IFERROR(HYPERLINK("#Companies!A"&amp;MATCH(E353,Companies!$B:$B,0),"→ View"),"—")</f>
        <v>→ View</v>
      </c>
    </row>
    <row r="354" spans="1:14">
      <c r="A354" s="9">
        <f>IF(tblContacts[[#This Row],[First Name]]&lt;&gt;0,ROW()-1,"")</f>
        <v>353</v>
      </c>
      <c r="B354" s="50" t="s">
        <v>1847</v>
      </c>
      <c r="C354" s="50" t="s">
        <v>1239</v>
      </c>
      <c r="D354" s="10"/>
      <c r="E354" s="10" t="s">
        <v>2400</v>
      </c>
      <c r="F354" s="10" t="s">
        <v>1849</v>
      </c>
      <c r="G354" s="10"/>
      <c r="H354" s="10" t="s">
        <v>2824</v>
      </c>
      <c r="I354" s="10" t="s">
        <v>2171</v>
      </c>
      <c r="J354" s="10"/>
      <c r="K354" s="7" cm="1">
        <f t="array" ref="K354">IFERROR(LOOKUP(2,1/('Outreach Log'!$C$2:$C$9998=F354),'Outreach Log'!$B$2:$B$9998),"")</f>
        <v>46126</v>
      </c>
      <c r="L354" s="5" t="str">
        <f>IFERROR(INDEX('Outreach Log'!$F:$F,MATCH(TEXT(K354,"YYYY-MM-DD")&amp;F354,'Outreach Log'!$L:$L,0)),"")</f>
        <v>Email</v>
      </c>
      <c r="M354" s="6" t="str">
        <f>IFERROR(HYPERLINK("#'Outreach Log'!A"&amp;MATCH(TEXT(K354,"YYYY-MM-DD")&amp;F354,'Outreach Log'!$L:$L,0),"→ View"),"—")</f>
        <v>→ View</v>
      </c>
      <c r="N354" s="6" t="str">
        <f>IFERROR(HYPERLINK("#Companies!A"&amp;MATCH(E354,Companies!$B:$B,0),"→ View"),"—")</f>
        <v>→ View</v>
      </c>
    </row>
    <row r="355" spans="1:14">
      <c r="A355" s="9">
        <f>IF(tblContacts[[#This Row],[First Name]]&lt;&gt;0,ROW()-1,"")</f>
        <v>354</v>
      </c>
      <c r="B355" s="50" t="s">
        <v>1278</v>
      </c>
      <c r="C355" s="50" t="s">
        <v>1850</v>
      </c>
      <c r="D355" s="10"/>
      <c r="E355" s="10" t="s">
        <v>2401</v>
      </c>
      <c r="F355" s="10" t="s">
        <v>1851</v>
      </c>
      <c r="G355" s="10"/>
      <c r="H355" s="10" t="s">
        <v>2824</v>
      </c>
      <c r="I355" s="10" t="s">
        <v>2171</v>
      </c>
      <c r="J355" s="10"/>
      <c r="K355" s="7" cm="1">
        <f t="array" ref="K355">IFERROR(LOOKUP(2,1/('Outreach Log'!$C$2:$C$9998=F355),'Outreach Log'!$B$2:$B$9998),"")</f>
        <v>46126</v>
      </c>
      <c r="L355" s="5" t="str">
        <f>IFERROR(INDEX('Outreach Log'!$F:$F,MATCH(TEXT(K355,"YYYY-MM-DD")&amp;F355,'Outreach Log'!$L:$L,0)),"")</f>
        <v>Email</v>
      </c>
      <c r="M355" s="6" t="str">
        <f>IFERROR(HYPERLINK("#'Outreach Log'!A"&amp;MATCH(TEXT(K355,"YYYY-MM-DD")&amp;F355,'Outreach Log'!$L:$L,0),"→ View"),"—")</f>
        <v>→ View</v>
      </c>
      <c r="N355" s="6" t="str">
        <f>IFERROR(HYPERLINK("#Companies!A"&amp;MATCH(E355,Companies!$B:$B,0),"→ View"),"—")</f>
        <v>→ View</v>
      </c>
    </row>
    <row r="356" spans="1:14">
      <c r="A356" s="9">
        <f>IF(tblContacts[[#This Row],[First Name]]&lt;&gt;0,ROW()-1,"")</f>
        <v>355</v>
      </c>
      <c r="B356" s="50" t="s">
        <v>1278</v>
      </c>
      <c r="C356" s="50" t="s">
        <v>1852</v>
      </c>
      <c r="D356" s="10"/>
      <c r="E356" s="10" t="s">
        <v>662</v>
      </c>
      <c r="F356" s="10" t="s">
        <v>1853</v>
      </c>
      <c r="G356" s="10"/>
      <c r="H356" s="10" t="s">
        <v>2824</v>
      </c>
      <c r="I356" s="10" t="s">
        <v>13</v>
      </c>
      <c r="J356" s="10"/>
      <c r="K356" s="7" t="str" cm="1">
        <f t="array" ref="K356">IFERROR(LOOKUP(2,1/('Outreach Log'!$C$2:$C$9998=F356),'Outreach Log'!$B$2:$B$9998),"")</f>
        <v/>
      </c>
      <c r="L356" s="5" t="str">
        <f>IFERROR(INDEX('Outreach Log'!$F:$F,MATCH(TEXT(K356,"YYYY-MM-DD")&amp;F356,'Outreach Log'!$L:$L,0)),"")</f>
        <v/>
      </c>
      <c r="M356" s="6" t="str">
        <f>IFERROR(HYPERLINK("#'Outreach Log'!A"&amp;MATCH(TEXT(K356,"YYYY-MM-DD")&amp;F356,'Outreach Log'!$L:$L,0),"→ View"),"—")</f>
        <v>—</v>
      </c>
      <c r="N356" s="6" t="str">
        <f>IFERROR(HYPERLINK("#Companies!A"&amp;MATCH(E356,Companies!$B:$B,0),"→ View"),"—")</f>
        <v>→ View</v>
      </c>
    </row>
    <row r="357" spans="1:14">
      <c r="A357" s="9">
        <f>IF(tblContacts[[#This Row],[First Name]]&lt;&gt;0,ROW()-1,"")</f>
        <v>356</v>
      </c>
      <c r="B357" s="55" t="s">
        <v>2046</v>
      </c>
      <c r="C357" s="55" t="s">
        <v>2860</v>
      </c>
      <c r="E357" s="10" t="s">
        <v>2872</v>
      </c>
      <c r="F357" s="10" t="s">
        <v>2861</v>
      </c>
      <c r="H357" s="10" t="s">
        <v>2824</v>
      </c>
      <c r="I357" s="44" t="s">
        <v>2873</v>
      </c>
      <c r="K357" s="7" t="str" cm="1">
        <f t="array" ref="K357">IFERROR(LOOKUP(2,1/('Outreach Log'!$C$2:$C$9998=F357),'Outreach Log'!$B$2:$B$9998),"")</f>
        <v/>
      </c>
      <c r="L357" s="5" t="str">
        <f>IFERROR(INDEX('Outreach Log'!$F:$F,MATCH(TEXT(K357,"YYYY-MM-DD")&amp;F357,'Outreach Log'!$L:$L,0)),"")</f>
        <v/>
      </c>
      <c r="M357" s="6" t="str">
        <f>IFERROR(HYPERLINK("#'Outreach Log'!A"&amp;MATCH(TEXT(K357,"YYYY-MM-DD")&amp;F357,'Outreach Log'!$L:$L,0),"→ View"),"—")</f>
        <v>—</v>
      </c>
      <c r="N357" s="6" t="str">
        <f>IFERROR(HYPERLINK("#Companies!A"&amp;MATCH(E357,Companies!$B:$B,0),"→ View"),"—")</f>
        <v>—</v>
      </c>
    </row>
    <row r="358" spans="1:14">
      <c r="A358" s="9">
        <f>IF(tblContacts[[#This Row],[First Name]]&lt;&gt;0,ROW()-1,"")</f>
        <v>357</v>
      </c>
      <c r="B358" s="50" t="s">
        <v>1855</v>
      </c>
      <c r="C358" s="50" t="s">
        <v>846</v>
      </c>
      <c r="D358" s="10"/>
      <c r="E358" s="10" t="s">
        <v>2402</v>
      </c>
      <c r="F358" s="10" t="s">
        <v>1856</v>
      </c>
      <c r="G358" s="10"/>
      <c r="H358" s="10" t="s">
        <v>2824</v>
      </c>
      <c r="I358" s="10" t="s">
        <v>2171</v>
      </c>
      <c r="J358" s="10"/>
      <c r="K358" s="7" cm="1">
        <f t="array" ref="K358">IFERROR(LOOKUP(2,1/('Outreach Log'!$C$2:$C$9998=F358),'Outreach Log'!$B$2:$B$9998),"")</f>
        <v>46126</v>
      </c>
      <c r="L358" s="5" t="str">
        <f>IFERROR(INDEX('Outreach Log'!$F:$F,MATCH(TEXT(K358,"YYYY-MM-DD")&amp;F358,'Outreach Log'!$L:$L,0)),"")</f>
        <v>Email</v>
      </c>
      <c r="M358" s="6" t="str">
        <f>IFERROR(HYPERLINK("#'Outreach Log'!A"&amp;MATCH(TEXT(K358,"YYYY-MM-DD")&amp;F358,'Outreach Log'!$L:$L,0),"→ View"),"—")</f>
        <v>→ View</v>
      </c>
      <c r="N358" s="6" t="str">
        <f>IFERROR(HYPERLINK("#Companies!A"&amp;MATCH(E358,Companies!$B:$B,0),"→ View"),"—")</f>
        <v>→ View</v>
      </c>
    </row>
    <row r="359" spans="1:14">
      <c r="A359" s="9">
        <f>IF(tblContacts[[#This Row],[First Name]]&lt;&gt;0,ROW()-1,"")</f>
        <v>358</v>
      </c>
      <c r="B359" s="50" t="s">
        <v>1855</v>
      </c>
      <c r="C359" s="50" t="s">
        <v>1102</v>
      </c>
      <c r="D359" s="10"/>
      <c r="E359" s="10" t="s">
        <v>2403</v>
      </c>
      <c r="F359" s="10" t="s">
        <v>1857</v>
      </c>
      <c r="G359" s="10"/>
      <c r="H359" s="10" t="s">
        <v>2824</v>
      </c>
      <c r="I359" s="10" t="s">
        <v>2171</v>
      </c>
      <c r="J359" s="10"/>
      <c r="K359" s="7" cm="1">
        <f t="array" ref="K359">IFERROR(LOOKUP(2,1/('Outreach Log'!$C$2:$C$9998=F359),'Outreach Log'!$B$2:$B$9998),"")</f>
        <v>46126</v>
      </c>
      <c r="L359" s="5" t="str">
        <f>IFERROR(INDEX('Outreach Log'!$F:$F,MATCH(TEXT(K359,"YYYY-MM-DD")&amp;F359,'Outreach Log'!$L:$L,0)),"")</f>
        <v>Email</v>
      </c>
      <c r="M359" s="6" t="str">
        <f>IFERROR(HYPERLINK("#'Outreach Log'!A"&amp;MATCH(TEXT(K359,"YYYY-MM-DD")&amp;F359,'Outreach Log'!$L:$L,0),"→ View"),"—")</f>
        <v>→ View</v>
      </c>
      <c r="N359" s="6" t="str">
        <f>IFERROR(HYPERLINK("#Companies!A"&amp;MATCH(E359,Companies!$B:$B,0),"→ View"),"—")</f>
        <v>→ View</v>
      </c>
    </row>
    <row r="360" spans="1:14">
      <c r="A360" s="9">
        <f>IF(tblContacts[[#This Row],[First Name]]&lt;&gt;0,ROW()-1,"")</f>
        <v>359</v>
      </c>
      <c r="B360" s="50" t="s">
        <v>1858</v>
      </c>
      <c r="C360" s="50" t="s">
        <v>1859</v>
      </c>
      <c r="D360" s="10"/>
      <c r="E360" s="10" t="s">
        <v>666</v>
      </c>
      <c r="F360" s="10" t="s">
        <v>1860</v>
      </c>
      <c r="G360" s="10"/>
      <c r="H360" s="10" t="s">
        <v>2824</v>
      </c>
      <c r="I360" s="10" t="s">
        <v>2171</v>
      </c>
      <c r="J360" s="10"/>
      <c r="K360" s="7" t="str" cm="1">
        <f t="array" ref="K360">IFERROR(LOOKUP(2,1/('Outreach Log'!$C$2:$C$9998=F360),'Outreach Log'!$B$2:$B$9998),"")</f>
        <v/>
      </c>
      <c r="L360" s="5" t="str">
        <f>IFERROR(INDEX('Outreach Log'!$F:$F,MATCH(TEXT(K360,"YYYY-MM-DD")&amp;F360,'Outreach Log'!$L:$L,0)),"")</f>
        <v/>
      </c>
      <c r="M360" s="6" t="str">
        <f>IFERROR(HYPERLINK("#'Outreach Log'!A"&amp;MATCH(TEXT(K360,"YYYY-MM-DD")&amp;F360,'Outreach Log'!$L:$L,0),"→ View"),"—")</f>
        <v>—</v>
      </c>
      <c r="N360" s="6" t="str">
        <f>IFERROR(HYPERLINK("#Companies!A"&amp;MATCH(E360,Companies!$B:$B,0),"→ View"),"—")</f>
        <v>→ View</v>
      </c>
    </row>
    <row r="361" spans="1:14">
      <c r="A361" s="9">
        <f>IF(tblContacts[[#This Row],[First Name]]&lt;&gt;0,ROW()-1,"")</f>
        <v>360</v>
      </c>
      <c r="B361" s="55" t="s">
        <v>2857</v>
      </c>
      <c r="C361" s="55" t="s">
        <v>2858</v>
      </c>
      <c r="E361" s="10" t="s">
        <v>2867</v>
      </c>
      <c r="F361" s="10" t="s">
        <v>2859</v>
      </c>
      <c r="H361" s="10" t="s">
        <v>2824</v>
      </c>
      <c r="I361" s="44" t="s">
        <v>2873</v>
      </c>
      <c r="K361" s="7" t="str" cm="1">
        <f t="array" ref="K361">IFERROR(LOOKUP(2,1/('Outreach Log'!$C$2:$C$9998=F361),'Outreach Log'!$B$2:$B$9998),"")</f>
        <v/>
      </c>
      <c r="L361" s="5" t="str">
        <f>IFERROR(INDEX('Outreach Log'!$F:$F,MATCH(TEXT(K361,"YYYY-MM-DD")&amp;F361,'Outreach Log'!$L:$L,0)),"")</f>
        <v/>
      </c>
      <c r="M361" s="6" t="str">
        <f>IFERROR(HYPERLINK("#'Outreach Log'!A"&amp;MATCH(TEXT(K361,"YYYY-MM-DD")&amp;F361,'Outreach Log'!$L:$L,0),"→ View"),"—")</f>
        <v>—</v>
      </c>
      <c r="N361" s="6" t="str">
        <f>IFERROR(HYPERLINK("#Companies!A"&amp;MATCH(E361,Companies!$B:$B,0),"→ View"),"—")</f>
        <v>—</v>
      </c>
    </row>
    <row r="362" spans="1:14">
      <c r="A362" s="9">
        <f>IF(tblContacts[[#This Row],[First Name]]&lt;&gt;0,ROW()-1,"")</f>
        <v>361</v>
      </c>
      <c r="B362" s="50" t="s">
        <v>1471</v>
      </c>
      <c r="C362" s="50" t="s">
        <v>1861</v>
      </c>
      <c r="D362" s="10"/>
      <c r="E362" s="10" t="s">
        <v>2404</v>
      </c>
      <c r="F362" s="10" t="s">
        <v>1862</v>
      </c>
      <c r="G362" s="10"/>
      <c r="H362" s="10" t="s">
        <v>2824</v>
      </c>
      <c r="I362" s="10" t="s">
        <v>2171</v>
      </c>
      <c r="J362" s="10"/>
      <c r="K362" s="7" cm="1">
        <f t="array" ref="K362">IFERROR(LOOKUP(2,1/('Outreach Log'!$C$2:$C$9998=F362),'Outreach Log'!$B$2:$B$9998),"")</f>
        <v>46126</v>
      </c>
      <c r="L362" s="5" t="str">
        <f>IFERROR(INDEX('Outreach Log'!$F:$F,MATCH(TEXT(K362,"YYYY-MM-DD")&amp;F362,'Outreach Log'!$L:$L,0)),"")</f>
        <v>Email</v>
      </c>
      <c r="M362" s="6" t="str">
        <f>IFERROR(HYPERLINK("#'Outreach Log'!A"&amp;MATCH(TEXT(K362,"YYYY-MM-DD")&amp;F362,'Outreach Log'!$L:$L,0),"→ View"),"—")</f>
        <v>→ View</v>
      </c>
      <c r="N362" s="6" t="str">
        <f>IFERROR(HYPERLINK("#Companies!A"&amp;MATCH(E362,Companies!$B:$B,0),"→ View"),"—")</f>
        <v>→ View</v>
      </c>
    </row>
    <row r="363" spans="1:14">
      <c r="A363" s="9">
        <f>IF(tblContacts[[#This Row],[First Name]]&lt;&gt;0,ROW()-1,"")</f>
        <v>362</v>
      </c>
      <c r="B363" s="50" t="s">
        <v>1863</v>
      </c>
      <c r="C363" s="50" t="s">
        <v>2405</v>
      </c>
      <c r="D363" s="10"/>
      <c r="E363" s="10" t="s">
        <v>2406</v>
      </c>
      <c r="F363" s="10" t="s">
        <v>1864</v>
      </c>
      <c r="G363" s="10"/>
      <c r="H363" s="10" t="s">
        <v>2824</v>
      </c>
      <c r="I363" s="10" t="s">
        <v>2171</v>
      </c>
      <c r="J363" s="10"/>
      <c r="K363" s="7" cm="1">
        <f t="array" ref="K363">IFERROR(LOOKUP(2,1/('Outreach Log'!$C$2:$C$9998=F363),'Outreach Log'!$B$2:$B$9998),"")</f>
        <v>46126</v>
      </c>
      <c r="L363" s="5" t="str">
        <f>IFERROR(INDEX('Outreach Log'!$F:$F,MATCH(TEXT(K363,"YYYY-MM-DD")&amp;F363,'Outreach Log'!$L:$L,0)),"")</f>
        <v>Email</v>
      </c>
      <c r="M363" s="6" t="str">
        <f>IFERROR(HYPERLINK("#'Outreach Log'!A"&amp;MATCH(TEXT(K363,"YYYY-MM-DD")&amp;F363,'Outreach Log'!$L:$L,0),"→ View"),"—")</f>
        <v>→ View</v>
      </c>
      <c r="N363" s="6" t="str">
        <f>IFERROR(HYPERLINK("#Companies!A"&amp;MATCH(E363,Companies!$B:$B,0),"→ View"),"—")</f>
        <v>→ View</v>
      </c>
    </row>
    <row r="364" spans="1:14">
      <c r="A364" s="9">
        <f>IF(tblContacts[[#This Row],[First Name]]&lt;&gt;0,ROW()-1,"")</f>
        <v>363</v>
      </c>
      <c r="B364" s="50" t="s">
        <v>1296</v>
      </c>
      <c r="C364" s="50" t="s">
        <v>1865</v>
      </c>
      <c r="D364" s="10"/>
      <c r="E364" s="10" t="s">
        <v>2407</v>
      </c>
      <c r="F364" s="10" t="s">
        <v>1866</v>
      </c>
      <c r="G364" s="10"/>
      <c r="H364" s="10" t="s">
        <v>2824</v>
      </c>
      <c r="I364" s="10" t="s">
        <v>2171</v>
      </c>
      <c r="J364" s="10"/>
      <c r="K364" s="7" cm="1">
        <f t="array" ref="K364">IFERROR(LOOKUP(2,1/('Outreach Log'!$C$2:$C$9998=F364),'Outreach Log'!$B$2:$B$9998),"")</f>
        <v>46126</v>
      </c>
      <c r="L364" s="5" t="str">
        <f>IFERROR(INDEX('Outreach Log'!$F:$F,MATCH(TEXT(K364,"YYYY-MM-DD")&amp;F364,'Outreach Log'!$L:$L,0)),"")</f>
        <v>Email</v>
      </c>
      <c r="M364" s="6" t="str">
        <f>IFERROR(HYPERLINK("#'Outreach Log'!A"&amp;MATCH(TEXT(K364,"YYYY-MM-DD")&amp;F364,'Outreach Log'!$L:$L,0),"→ View"),"—")</f>
        <v>→ View</v>
      </c>
      <c r="N364" s="6" t="str">
        <f>IFERROR(HYPERLINK("#Companies!A"&amp;MATCH(E364,Companies!$B:$B,0),"→ View"),"—")</f>
        <v>→ View</v>
      </c>
    </row>
    <row r="365" spans="1:14">
      <c r="A365" s="9">
        <f>IF(tblContacts[[#This Row],[First Name]]&lt;&gt;0,ROW()-1,"")</f>
        <v>364</v>
      </c>
      <c r="B365" s="50" t="s">
        <v>1296</v>
      </c>
      <c r="C365" s="50" t="s">
        <v>3276</v>
      </c>
      <c r="D365" s="10" t="s">
        <v>3277</v>
      </c>
      <c r="E365" s="10" t="s">
        <v>3076</v>
      </c>
      <c r="F365" s="10"/>
      <c r="G365" s="10" t="s">
        <v>3279</v>
      </c>
      <c r="H365" s="10" t="s">
        <v>2824</v>
      </c>
      <c r="I365" s="44" t="s">
        <v>3363</v>
      </c>
      <c r="K365" s="7" cm="1">
        <f t="array" ref="K365">IFERROR(LOOKUP(2,1/('Outreach Log'!$C$2:$C$9998=F365),'Outreach Log'!$B$2:$B$9998),"")</f>
        <v>0</v>
      </c>
      <c r="L365" s="5" t="str">
        <f>IFERROR(INDEX('Outreach Log'!$F:$F,MATCH(TEXT(K365,"YYYY-MM-DD")&amp;F365,'Outreach Log'!$L:$L,0)),"")</f>
        <v/>
      </c>
      <c r="M365" s="6" t="str">
        <f>IFERROR(HYPERLINK("#'Outreach Log'!A"&amp;MATCH(TEXT(K365,"YYYY-MM-DD")&amp;F365,'Outreach Log'!$L:$L,0),"→ View"),"—")</f>
        <v>—</v>
      </c>
      <c r="N365" s="6" t="str">
        <f>IFERROR(HYPERLINK("#Companies!A"&amp;MATCH(E365,Companies!$B:$B,0),"→ View"),"—")</f>
        <v>→ View</v>
      </c>
    </row>
    <row r="366" spans="1:14">
      <c r="A366" s="9">
        <f>IF(tblContacts[[#This Row],[First Name]]&lt;&gt;0,ROW()-1,"")</f>
        <v>365</v>
      </c>
      <c r="B366" s="50" t="s">
        <v>1296</v>
      </c>
      <c r="C366" s="50" t="s">
        <v>1867</v>
      </c>
      <c r="D366" s="10"/>
      <c r="E366" s="10" t="s">
        <v>2408</v>
      </c>
      <c r="F366" s="10" t="s">
        <v>1868</v>
      </c>
      <c r="G366" s="10"/>
      <c r="H366" s="10" t="s">
        <v>2824</v>
      </c>
      <c r="I366" s="10" t="s">
        <v>2171</v>
      </c>
      <c r="J366" s="10"/>
      <c r="K366" s="7" t="str" cm="1">
        <f t="array" ref="K366">IFERROR(LOOKUP(2,1/('Outreach Log'!$C$2:$C$9998=F366),'Outreach Log'!$B$2:$B$9998),"")</f>
        <v/>
      </c>
      <c r="L366" s="5" t="str">
        <f>IFERROR(INDEX('Outreach Log'!$F:$F,MATCH(TEXT(K366,"YYYY-MM-DD")&amp;F366,'Outreach Log'!$L:$L,0)),"")</f>
        <v/>
      </c>
      <c r="M366" s="6" t="str">
        <f>IFERROR(HYPERLINK("#'Outreach Log'!A"&amp;MATCH(TEXT(K366,"YYYY-MM-DD")&amp;F366,'Outreach Log'!$L:$L,0),"→ View"),"—")</f>
        <v>—</v>
      </c>
      <c r="N366" s="6" t="str">
        <f>IFERROR(HYPERLINK("#Companies!A"&amp;MATCH(E366,Companies!$B:$B,0),"→ View"),"—")</f>
        <v>→ View</v>
      </c>
    </row>
    <row r="367" spans="1:14">
      <c r="A367" s="9">
        <f>IF(tblContacts[[#This Row],[First Name]]&lt;&gt;0,ROW()-1,"")</f>
        <v>366</v>
      </c>
      <c r="B367" s="50" t="s">
        <v>1269</v>
      </c>
      <c r="C367" s="50" t="s">
        <v>1869</v>
      </c>
      <c r="D367" s="10" t="s">
        <v>1870</v>
      </c>
      <c r="E367" s="10" t="s">
        <v>673</v>
      </c>
      <c r="F367" s="10" t="s">
        <v>1871</v>
      </c>
      <c r="G367" s="10"/>
      <c r="H367" s="10" t="s">
        <v>2824</v>
      </c>
      <c r="I367" s="10" t="s">
        <v>13</v>
      </c>
      <c r="J367" s="10"/>
      <c r="K367" s="7" t="str" cm="1">
        <f t="array" ref="K367">IFERROR(LOOKUP(2,1/('Outreach Log'!$C$2:$C$9998=F367),'Outreach Log'!$B$2:$B$9998),"")</f>
        <v/>
      </c>
      <c r="L367" s="5" t="str">
        <f>IFERROR(INDEX('Outreach Log'!$F:$F,MATCH(TEXT(K367,"YYYY-MM-DD")&amp;F367,'Outreach Log'!$L:$L,0)),"")</f>
        <v/>
      </c>
      <c r="M367" s="6" t="str">
        <f>IFERROR(HYPERLINK("#'Outreach Log'!A"&amp;MATCH(TEXT(K367,"YYYY-MM-DD")&amp;F367,'Outreach Log'!$L:$L,0),"→ View"),"—")</f>
        <v>—</v>
      </c>
      <c r="N367" s="6" t="str">
        <f>IFERROR(HYPERLINK("#Companies!A"&amp;MATCH(E367,Companies!$B:$B,0),"→ View"),"—")</f>
        <v>→ View</v>
      </c>
    </row>
    <row r="368" spans="1:14">
      <c r="A368" s="9">
        <f>IF(tblContacts[[#This Row],[First Name]]&lt;&gt;0,ROW()-1,"")</f>
        <v>367</v>
      </c>
      <c r="B368" s="50" t="s">
        <v>1269</v>
      </c>
      <c r="C368" s="50" t="s">
        <v>1872</v>
      </c>
      <c r="D368" s="10"/>
      <c r="E368" s="10" t="s">
        <v>521</v>
      </c>
      <c r="F368" s="10" t="s">
        <v>1873</v>
      </c>
      <c r="G368" s="10"/>
      <c r="H368" s="10" t="s">
        <v>2824</v>
      </c>
      <c r="I368" s="10" t="s">
        <v>2171</v>
      </c>
      <c r="J368" s="10"/>
      <c r="K368" s="7" cm="1">
        <f t="array" ref="K368">IFERROR(LOOKUP(2,1/('Outreach Log'!$C$2:$C$9998=F368),'Outreach Log'!$B$2:$B$9998),"")</f>
        <v>46126</v>
      </c>
      <c r="L368" s="5" t="str">
        <f>IFERROR(INDEX('Outreach Log'!$F:$F,MATCH(TEXT(K368,"YYYY-MM-DD")&amp;F368,'Outreach Log'!$L:$L,0)),"")</f>
        <v>Email</v>
      </c>
      <c r="M368" s="6" t="str">
        <f>IFERROR(HYPERLINK("#'Outreach Log'!A"&amp;MATCH(TEXT(K368,"YYYY-MM-DD")&amp;F368,'Outreach Log'!$L:$L,0),"→ View"),"—")</f>
        <v>→ View</v>
      </c>
      <c r="N368" s="6" t="str">
        <f>IFERROR(HYPERLINK("#Companies!A"&amp;MATCH(E368,Companies!$B:$B,0),"→ View"),"—")</f>
        <v>→ View</v>
      </c>
    </row>
    <row r="369" spans="1:14">
      <c r="A369" s="9">
        <f>IF(tblContacts[[#This Row],[First Name]]&lt;&gt;0,ROW()-1,"")</f>
        <v>368</v>
      </c>
      <c r="B369" s="50" t="s">
        <v>1269</v>
      </c>
      <c r="C369" s="50"/>
      <c r="D369" s="10"/>
      <c r="E369" s="10" t="s">
        <v>650</v>
      </c>
      <c r="F369" s="10" t="s">
        <v>1874</v>
      </c>
      <c r="G369" s="10"/>
      <c r="H369" s="10" t="s">
        <v>2824</v>
      </c>
      <c r="I369" s="10" t="s">
        <v>14</v>
      </c>
      <c r="J369" s="10"/>
      <c r="K369" s="7" t="str" cm="1">
        <f t="array" ref="K369">IFERROR(LOOKUP(2,1/('Outreach Log'!$C$2:$C$9998=F369),'Outreach Log'!$B$2:$B$9998),"")</f>
        <v/>
      </c>
      <c r="L369" s="5" t="str">
        <f>IFERROR(INDEX('Outreach Log'!$F:$F,MATCH(TEXT(K369,"YYYY-MM-DD")&amp;F369,'Outreach Log'!$L:$L,0)),"")</f>
        <v/>
      </c>
      <c r="M369" s="6" t="str">
        <f>IFERROR(HYPERLINK("#'Outreach Log'!A"&amp;MATCH(TEXT(K369,"YYYY-MM-DD")&amp;F369,'Outreach Log'!$L:$L,0),"→ View"),"—")</f>
        <v>—</v>
      </c>
      <c r="N369" s="6" t="str">
        <f>IFERROR(HYPERLINK("#Companies!A"&amp;MATCH(E369,Companies!$B:$B,0),"→ View"),"—")</f>
        <v>→ View</v>
      </c>
    </row>
    <row r="370" spans="1:14">
      <c r="A370" s="9">
        <f>IF(tblContacts[[#This Row],[First Name]]&lt;&gt;0,ROW()-1,"")</f>
        <v>369</v>
      </c>
      <c r="B370" s="50" t="s">
        <v>1275</v>
      </c>
      <c r="C370" s="50" t="s">
        <v>1876</v>
      </c>
      <c r="D370" s="10"/>
      <c r="E370" s="10" t="s">
        <v>2409</v>
      </c>
      <c r="F370" s="10" t="s">
        <v>1877</v>
      </c>
      <c r="G370" s="10"/>
      <c r="H370" s="10" t="s">
        <v>2824</v>
      </c>
      <c r="I370" s="10" t="s">
        <v>2171</v>
      </c>
      <c r="J370" s="10"/>
      <c r="K370" s="7" t="str" cm="1">
        <f t="array" ref="K370">IFERROR(LOOKUP(2,1/('Outreach Log'!$C$2:$C$9998=F370),'Outreach Log'!$B$2:$B$9998),"")</f>
        <v/>
      </c>
      <c r="L370" s="5" t="str">
        <f>IFERROR(INDEX('Outreach Log'!$F:$F,MATCH(TEXT(K370,"YYYY-MM-DD")&amp;F370,'Outreach Log'!$L:$L,0)),"")</f>
        <v/>
      </c>
      <c r="M370" s="6" t="str">
        <f>IFERROR(HYPERLINK("#'Outreach Log'!A"&amp;MATCH(TEXT(K370,"YYYY-MM-DD")&amp;F370,'Outreach Log'!$L:$L,0),"→ View"),"—")</f>
        <v>—</v>
      </c>
      <c r="N370" s="6" t="str">
        <f>IFERROR(HYPERLINK("#Companies!A"&amp;MATCH(E370,Companies!$B:$B,0),"→ View"),"—")</f>
        <v>→ View</v>
      </c>
    </row>
    <row r="371" spans="1:14">
      <c r="A371" s="9">
        <f>IF(tblContacts[[#This Row],[First Name]]&lt;&gt;0,ROW()-1,"")</f>
        <v>370</v>
      </c>
      <c r="B371" s="50" t="s">
        <v>1311</v>
      </c>
      <c r="C371" s="50" t="s">
        <v>1881</v>
      </c>
      <c r="D371" s="10"/>
      <c r="E371" s="10" t="s">
        <v>678</v>
      </c>
      <c r="F371" s="10" t="s">
        <v>1882</v>
      </c>
      <c r="G371" s="10"/>
      <c r="H371" s="10" t="s">
        <v>2824</v>
      </c>
      <c r="I371" s="10" t="s">
        <v>2171</v>
      </c>
      <c r="J371" s="10"/>
      <c r="K371" s="7" cm="1">
        <f t="array" ref="K371">IFERROR(LOOKUP(2,1/('Outreach Log'!$C$2:$C$9998=F371),'Outreach Log'!$B$2:$B$9998),"")</f>
        <v>46126</v>
      </c>
      <c r="L371" s="5" t="str">
        <f>IFERROR(INDEX('Outreach Log'!$F:$F,MATCH(TEXT(K371,"YYYY-MM-DD")&amp;F371,'Outreach Log'!$L:$L,0)),"")</f>
        <v>Email</v>
      </c>
      <c r="M371" s="6" t="str">
        <f>IFERROR(HYPERLINK("#'Outreach Log'!A"&amp;MATCH(TEXT(K371,"YYYY-MM-DD")&amp;F371,'Outreach Log'!$L:$L,0),"→ View"),"—")</f>
        <v>→ View</v>
      </c>
      <c r="N371" s="6" t="str">
        <f>IFERROR(HYPERLINK("#Companies!A"&amp;MATCH(E371,Companies!$B:$B,0),"→ View"),"—")</f>
        <v>→ View</v>
      </c>
    </row>
    <row r="372" spans="1:14">
      <c r="A372" s="9">
        <f>IF(tblContacts[[#This Row],[First Name]]&lt;&gt;0,ROW()-1,"")</f>
        <v>371</v>
      </c>
      <c r="B372" s="50" t="s">
        <v>1883</v>
      </c>
      <c r="C372" s="50" t="s">
        <v>1884</v>
      </c>
      <c r="D372" s="10"/>
      <c r="E372" s="10" t="s">
        <v>2410</v>
      </c>
      <c r="F372" s="10" t="s">
        <v>1885</v>
      </c>
      <c r="G372" s="10"/>
      <c r="H372" s="10" t="s">
        <v>2824</v>
      </c>
      <c r="I372" s="10" t="s">
        <v>14</v>
      </c>
      <c r="J372" s="10"/>
      <c r="K372" s="7" t="str" cm="1">
        <f t="array" ref="K372">IFERROR(LOOKUP(2,1/('Outreach Log'!$C$2:$C$9998=F372),'Outreach Log'!$B$2:$B$9998),"")</f>
        <v/>
      </c>
      <c r="L372" s="5" t="str">
        <f>IFERROR(INDEX('Outreach Log'!$F:$F,MATCH(TEXT(K372,"YYYY-MM-DD")&amp;F372,'Outreach Log'!$L:$L,0)),"")</f>
        <v/>
      </c>
      <c r="M372" s="6" t="str">
        <f>IFERROR(HYPERLINK("#'Outreach Log'!A"&amp;MATCH(TEXT(K372,"YYYY-MM-DD")&amp;F372,'Outreach Log'!$L:$L,0),"→ View"),"—")</f>
        <v>—</v>
      </c>
      <c r="N372" s="6" t="str">
        <f>IFERROR(HYPERLINK("#Companies!A"&amp;MATCH(E372,Companies!$B:$B,0),"→ View"),"—")</f>
        <v>→ View</v>
      </c>
    </row>
    <row r="373" spans="1:14">
      <c r="A373" s="9">
        <f>IF(tblContacts[[#This Row],[First Name]]&lt;&gt;0,ROW()-1,"")</f>
        <v>372</v>
      </c>
      <c r="B373" s="50" t="s">
        <v>1258</v>
      </c>
      <c r="C373" s="50" t="s">
        <v>1889</v>
      </c>
      <c r="D373" s="10"/>
      <c r="E373" s="10" t="s">
        <v>2411</v>
      </c>
      <c r="F373" s="10" t="s">
        <v>1890</v>
      </c>
      <c r="G373" s="10"/>
      <c r="H373" s="10" t="s">
        <v>2824</v>
      </c>
      <c r="I373" s="10" t="s">
        <v>2171</v>
      </c>
      <c r="J373" s="10"/>
      <c r="K373" s="7" cm="1">
        <f t="array" ref="K373">IFERROR(LOOKUP(2,1/('Outreach Log'!$C$2:$C$9998=F373),'Outreach Log'!$B$2:$B$9998),"")</f>
        <v>46126</v>
      </c>
      <c r="L373" s="5" t="str">
        <f>IFERROR(INDEX('Outreach Log'!$F:$F,MATCH(TEXT(K373,"YYYY-MM-DD")&amp;F373,'Outreach Log'!$L:$L,0)),"")</f>
        <v>Email</v>
      </c>
      <c r="M373" s="6" t="str">
        <f>IFERROR(HYPERLINK("#'Outreach Log'!A"&amp;MATCH(TEXT(K373,"YYYY-MM-DD")&amp;F373,'Outreach Log'!$L:$L,0),"→ View"),"—")</f>
        <v>→ View</v>
      </c>
      <c r="N373" s="6" t="str">
        <f>IFERROR(HYPERLINK("#Companies!A"&amp;MATCH(E373,Companies!$B:$B,0),"→ View"),"—")</f>
        <v>→ View</v>
      </c>
    </row>
    <row r="374" spans="1:14">
      <c r="A374" s="9">
        <f>IF(tblContacts[[#This Row],[First Name]]&lt;&gt;0,ROW()-1,"")</f>
        <v>373</v>
      </c>
      <c r="B374" s="50" t="s">
        <v>1261</v>
      </c>
      <c r="C374" s="50" t="s">
        <v>1891</v>
      </c>
      <c r="D374" s="10"/>
      <c r="E374" s="10" t="s">
        <v>684</v>
      </c>
      <c r="F374" s="10" t="s">
        <v>1892</v>
      </c>
      <c r="G374" s="10"/>
      <c r="H374" s="10" t="s">
        <v>2824</v>
      </c>
      <c r="I374" s="10" t="s">
        <v>2171</v>
      </c>
      <c r="J374" s="10"/>
      <c r="K374" s="7" t="str" cm="1">
        <f t="array" ref="K374">IFERROR(LOOKUP(2,1/('Outreach Log'!$C$2:$C$9998=F374),'Outreach Log'!$B$2:$B$9998),"")</f>
        <v/>
      </c>
      <c r="L374" s="5" t="str">
        <f>IFERROR(INDEX('Outreach Log'!$F:$F,MATCH(TEXT(K374,"YYYY-MM-DD")&amp;F374,'Outreach Log'!$L:$L,0)),"")</f>
        <v/>
      </c>
      <c r="M374" s="6" t="str">
        <f>IFERROR(HYPERLINK("#'Outreach Log'!A"&amp;MATCH(TEXT(K374,"YYYY-MM-DD")&amp;F374,'Outreach Log'!$L:$L,0),"→ View"),"—")</f>
        <v>—</v>
      </c>
      <c r="N374" s="6" t="str">
        <f>IFERROR(HYPERLINK("#Companies!A"&amp;MATCH(E374,Companies!$B:$B,0),"→ View"),"—")</f>
        <v>→ View</v>
      </c>
    </row>
    <row r="375" spans="1:14">
      <c r="A375" s="9">
        <f>IF(tblContacts[[#This Row],[First Name]]&lt;&gt;0,ROW()-1,"")</f>
        <v>374</v>
      </c>
      <c r="B375" s="50" t="s">
        <v>1893</v>
      </c>
      <c r="C375" s="50" t="s">
        <v>1896</v>
      </c>
      <c r="D375" s="10"/>
      <c r="E375" s="10" t="s">
        <v>2151</v>
      </c>
      <c r="F375" s="10" t="s">
        <v>1897</v>
      </c>
      <c r="G375" s="10"/>
      <c r="H375" s="10" t="s">
        <v>2824</v>
      </c>
      <c r="I375" s="10" t="s">
        <v>2171</v>
      </c>
      <c r="J375" s="10"/>
      <c r="K375" s="7" cm="1">
        <f t="array" ref="K375">IFERROR(LOOKUP(2,1/('Outreach Log'!$C$2:$C$9998=F375),'Outreach Log'!$B$2:$B$9998),"")</f>
        <v>46126</v>
      </c>
      <c r="L375" s="5" t="str">
        <f>IFERROR(INDEX('Outreach Log'!$F:$F,MATCH(TEXT(K375,"YYYY-MM-DD")&amp;F375,'Outreach Log'!$L:$L,0)),"")</f>
        <v>Email</v>
      </c>
      <c r="M375" s="6" t="str">
        <f>IFERROR(HYPERLINK("#'Outreach Log'!A"&amp;MATCH(TEXT(K375,"YYYY-MM-DD")&amp;F375,'Outreach Log'!$L:$L,0),"→ View"),"—")</f>
        <v>→ View</v>
      </c>
      <c r="N375" s="6" t="str">
        <f>IFERROR(HYPERLINK("#Companies!A"&amp;MATCH(E375,Companies!$B:$B,0),"→ View"),"—")</f>
        <v>→ View</v>
      </c>
    </row>
    <row r="376" spans="1:14">
      <c r="A376" s="9">
        <f>IF(tblContacts[[#This Row],[First Name]]&lt;&gt;0,ROW()-1,"")</f>
        <v>375</v>
      </c>
      <c r="B376" s="50" t="s">
        <v>1893</v>
      </c>
      <c r="C376" s="50" t="s">
        <v>1898</v>
      </c>
      <c r="D376" s="10"/>
      <c r="E376" s="10" t="s">
        <v>2413</v>
      </c>
      <c r="F376" s="10" t="s">
        <v>1899</v>
      </c>
      <c r="G376" s="10"/>
      <c r="H376" s="10" t="s">
        <v>2824</v>
      </c>
      <c r="I376" s="10" t="s">
        <v>2171</v>
      </c>
      <c r="J376" s="10"/>
      <c r="K376" s="7" t="str" cm="1">
        <f t="array" ref="K376">IFERROR(LOOKUP(2,1/('Outreach Log'!$C$2:$C$9998=F376),'Outreach Log'!$B$2:$B$9998),"")</f>
        <v/>
      </c>
      <c r="L376" s="5" t="str">
        <f>IFERROR(INDEX('Outreach Log'!$F:$F,MATCH(TEXT(K376,"YYYY-MM-DD")&amp;F376,'Outreach Log'!$L:$L,0)),"")</f>
        <v/>
      </c>
      <c r="M376" s="6" t="str">
        <f>IFERROR(HYPERLINK("#'Outreach Log'!A"&amp;MATCH(TEXT(K376,"YYYY-MM-DD")&amp;F376,'Outreach Log'!$L:$L,0),"→ View"),"—")</f>
        <v>—</v>
      </c>
      <c r="N376" s="6" t="str">
        <f>IFERROR(HYPERLINK("#Companies!A"&amp;MATCH(E376,Companies!$B:$B,0),"→ View"),"—")</f>
        <v>→ View</v>
      </c>
    </row>
    <row r="377" spans="1:14">
      <c r="A377" s="9">
        <f>IF(tblContacts[[#This Row],[First Name]]&lt;&gt;0,ROW()-1,"")</f>
        <v>376</v>
      </c>
      <c r="B377" s="50" t="s">
        <v>1900</v>
      </c>
      <c r="C377" s="50" t="s">
        <v>1148</v>
      </c>
      <c r="D377" s="10"/>
      <c r="E377" s="10" t="s">
        <v>2414</v>
      </c>
      <c r="F377" s="10" t="s">
        <v>1901</v>
      </c>
      <c r="G377" s="10"/>
      <c r="H377" s="10" t="s">
        <v>2824</v>
      </c>
      <c r="I377" s="10" t="s">
        <v>2171</v>
      </c>
      <c r="J377" s="10"/>
      <c r="K377" s="7" cm="1">
        <f t="array" ref="K377">IFERROR(LOOKUP(2,1/('Outreach Log'!$C$2:$C$9998=F377),'Outreach Log'!$B$2:$B$9998),"")</f>
        <v>46126</v>
      </c>
      <c r="L377" s="5" t="str">
        <f>IFERROR(INDEX('Outreach Log'!$F:$F,MATCH(TEXT(K377,"YYYY-MM-DD")&amp;F377,'Outreach Log'!$L:$L,0)),"")</f>
        <v>Email</v>
      </c>
      <c r="M377" s="6" t="str">
        <f>IFERROR(HYPERLINK("#'Outreach Log'!A"&amp;MATCH(TEXT(K377,"YYYY-MM-DD")&amp;F377,'Outreach Log'!$L:$L,0),"→ View"),"—")</f>
        <v>→ View</v>
      </c>
      <c r="N377" s="6" t="str">
        <f>IFERROR(HYPERLINK("#Companies!A"&amp;MATCH(E377,Companies!$B:$B,0),"→ View"),"—")</f>
        <v>→ View</v>
      </c>
    </row>
    <row r="378" spans="1:14">
      <c r="A378" s="9">
        <f>IF(tblContacts[[#This Row],[First Name]]&lt;&gt;0,ROW()-1,"")</f>
        <v>377</v>
      </c>
      <c r="B378" s="50" t="s">
        <v>1902</v>
      </c>
      <c r="C378" s="50" t="s">
        <v>1616</v>
      </c>
      <c r="D378" s="10"/>
      <c r="E378" s="10" t="s">
        <v>2415</v>
      </c>
      <c r="F378" s="10" t="s">
        <v>1903</v>
      </c>
      <c r="G378" s="10"/>
      <c r="H378" s="10" t="s">
        <v>2824</v>
      </c>
      <c r="I378" s="10" t="s">
        <v>2171</v>
      </c>
      <c r="J378" s="10"/>
      <c r="K378" s="7" cm="1">
        <f t="array" ref="K378">IFERROR(LOOKUP(2,1/('Outreach Log'!$C$2:$C$9998=F378),'Outreach Log'!$B$2:$B$9998),"")</f>
        <v>46126</v>
      </c>
      <c r="L378" s="5" t="str">
        <f>IFERROR(INDEX('Outreach Log'!$F:$F,MATCH(TEXT(K378,"YYYY-MM-DD")&amp;F378,'Outreach Log'!$L:$L,0)),"")</f>
        <v>Email</v>
      </c>
      <c r="M378" s="6" t="str">
        <f>IFERROR(HYPERLINK("#'Outreach Log'!A"&amp;MATCH(TEXT(K378,"YYYY-MM-DD")&amp;F378,'Outreach Log'!$L:$L,0),"→ View"),"—")</f>
        <v>→ View</v>
      </c>
      <c r="N378" s="6" t="str">
        <f>IFERROR(HYPERLINK("#Companies!A"&amp;MATCH(E378,Companies!$B:$B,0),"→ View"),"—")</f>
        <v>→ View</v>
      </c>
    </row>
    <row r="379" spans="1:14">
      <c r="A379" s="9">
        <f>IF(tblContacts[[#This Row],[First Name]]&lt;&gt;0,ROW()-1,"")</f>
        <v>378</v>
      </c>
      <c r="B379" s="50" t="s">
        <v>1852</v>
      </c>
      <c r="C379" s="50" t="s">
        <v>1881</v>
      </c>
      <c r="D379" s="10"/>
      <c r="E379" s="10" t="s">
        <v>2416</v>
      </c>
      <c r="F379" s="10" t="s">
        <v>1904</v>
      </c>
      <c r="G379" s="10"/>
      <c r="H379" s="10" t="s">
        <v>2824</v>
      </c>
      <c r="I379" s="10" t="s">
        <v>2171</v>
      </c>
      <c r="J379" s="10"/>
      <c r="K379" s="7" t="str" cm="1">
        <f t="array" ref="K379">IFERROR(LOOKUP(2,1/('Outreach Log'!$C$2:$C$9998=F379),'Outreach Log'!$B$2:$B$9998),"")</f>
        <v/>
      </c>
      <c r="L379" s="5" t="str">
        <f>IFERROR(INDEX('Outreach Log'!$F:$F,MATCH(TEXT(K379,"YYYY-MM-DD")&amp;F379,'Outreach Log'!$L:$L,0)),"")</f>
        <v/>
      </c>
      <c r="M379" s="6" t="str">
        <f>IFERROR(HYPERLINK("#'Outreach Log'!A"&amp;MATCH(TEXT(K379,"YYYY-MM-DD")&amp;F379,'Outreach Log'!$L:$L,0),"→ View"),"—")</f>
        <v>—</v>
      </c>
      <c r="N379" s="6" t="str">
        <f>IFERROR(HYPERLINK("#Companies!A"&amp;MATCH(E379,Companies!$B:$B,0),"→ View"),"—")</f>
        <v>→ View</v>
      </c>
    </row>
    <row r="380" spans="1:14">
      <c r="A380" s="9">
        <f>IF(tblContacts[[#This Row],[First Name]]&lt;&gt;0,ROW()-1,"")</f>
        <v>379</v>
      </c>
      <c r="B380" s="50" t="s">
        <v>1306</v>
      </c>
      <c r="C380" s="50" t="s">
        <v>1905</v>
      </c>
      <c r="D380" s="10"/>
      <c r="E380" s="10" t="s">
        <v>2417</v>
      </c>
      <c r="F380" s="10" t="s">
        <v>1906</v>
      </c>
      <c r="G380" s="10"/>
      <c r="H380" s="10" t="s">
        <v>2824</v>
      </c>
      <c r="I380" s="10" t="s">
        <v>2171</v>
      </c>
      <c r="J380" s="10"/>
      <c r="K380" s="7" t="str" cm="1">
        <f t="array" ref="K380">IFERROR(LOOKUP(2,1/('Outreach Log'!$C$2:$C$9998=F380),'Outreach Log'!$B$2:$B$9998),"")</f>
        <v/>
      </c>
      <c r="L380" s="5" t="str">
        <f>IFERROR(INDEX('Outreach Log'!$F:$F,MATCH(TEXT(K380,"YYYY-MM-DD")&amp;F380,'Outreach Log'!$L:$L,0)),"")</f>
        <v/>
      </c>
      <c r="M380" s="6" t="str">
        <f>IFERROR(HYPERLINK("#'Outreach Log'!A"&amp;MATCH(TEXT(K380,"YYYY-MM-DD")&amp;F380,'Outreach Log'!$L:$L,0),"→ View"),"—")</f>
        <v>—</v>
      </c>
      <c r="N380" s="6" t="str">
        <f>IFERROR(HYPERLINK("#Companies!A"&amp;MATCH(E380,Companies!$B:$B,0),"→ View"),"—")</f>
        <v>→ View</v>
      </c>
    </row>
    <row r="381" spans="1:14">
      <c r="A381" s="9">
        <f>IF(tblContacts[[#This Row],[First Name]]&lt;&gt;0,ROW()-1,"")</f>
        <v>380</v>
      </c>
      <c r="B381" s="50" t="s">
        <v>1910</v>
      </c>
      <c r="C381" s="50" t="s">
        <v>791</v>
      </c>
      <c r="D381" s="10" t="s">
        <v>1911</v>
      </c>
      <c r="E381" s="10" t="s">
        <v>693</v>
      </c>
      <c r="F381" s="10" t="s">
        <v>1912</v>
      </c>
      <c r="G381" s="10"/>
      <c r="H381" s="10" t="s">
        <v>2824</v>
      </c>
      <c r="I381" s="10" t="s">
        <v>13</v>
      </c>
      <c r="J381" s="10"/>
      <c r="K381" s="7" t="str" cm="1">
        <f t="array" ref="K381">IFERROR(LOOKUP(2,1/('Outreach Log'!$C$2:$C$9998=F381),'Outreach Log'!$B$2:$B$9998),"")</f>
        <v/>
      </c>
      <c r="L381" s="5" t="str">
        <f>IFERROR(INDEX('Outreach Log'!$F:$F,MATCH(TEXT(K381,"YYYY-MM-DD")&amp;F381,'Outreach Log'!$L:$L,0)),"")</f>
        <v/>
      </c>
      <c r="M381" s="6" t="str">
        <f>IFERROR(HYPERLINK("#'Outreach Log'!A"&amp;MATCH(TEXT(K381,"YYYY-MM-DD")&amp;F381,'Outreach Log'!$L:$L,0),"→ View"),"—")</f>
        <v>—</v>
      </c>
      <c r="N381" s="6" t="str">
        <f>IFERROR(HYPERLINK("#Companies!A"&amp;MATCH(E381,Companies!$B:$B,0),"→ View"),"—")</f>
        <v>→ View</v>
      </c>
    </row>
    <row r="382" spans="1:14">
      <c r="A382" s="9">
        <f>IF(tblContacts[[#This Row],[First Name]]&lt;&gt;0,ROW()-1,"")</f>
        <v>381</v>
      </c>
      <c r="B382" s="50" t="s">
        <v>872</v>
      </c>
      <c r="C382" s="50" t="s">
        <v>1528</v>
      </c>
      <c r="D382" s="10" t="s">
        <v>1068</v>
      </c>
      <c r="E382" s="10" t="s">
        <v>696</v>
      </c>
      <c r="F382" s="10" t="s">
        <v>1913</v>
      </c>
      <c r="G382" s="10"/>
      <c r="H382" s="10" t="s">
        <v>2824</v>
      </c>
      <c r="I382" s="10" t="s">
        <v>13</v>
      </c>
      <c r="J382" s="10"/>
      <c r="K382" s="7" cm="1">
        <f t="array" ref="K382">IFERROR(LOOKUP(2,1/('Outreach Log'!$C$2:$C$9998=F382),'Outreach Log'!$B$2:$B$9998),"")</f>
        <v>46126</v>
      </c>
      <c r="L382" s="5" t="str">
        <f>IFERROR(INDEX('Outreach Log'!$F:$F,MATCH(TEXT(K382,"YYYY-MM-DD")&amp;F382,'Outreach Log'!$L:$L,0)),"")</f>
        <v>Email</v>
      </c>
      <c r="M382" s="6" t="str">
        <f>IFERROR(HYPERLINK("#'Outreach Log'!A"&amp;MATCH(TEXT(K382,"YYYY-MM-DD")&amp;F382,'Outreach Log'!$L:$L,0),"→ View"),"—")</f>
        <v>→ View</v>
      </c>
      <c r="N382" s="6" t="str">
        <f>IFERROR(HYPERLINK("#Companies!A"&amp;MATCH(E382,Companies!$B:$B,0),"→ View"),"—")</f>
        <v>→ View</v>
      </c>
    </row>
    <row r="383" spans="1:14">
      <c r="A383" s="9">
        <f>IF(tblContacts[[#This Row],[First Name]]&lt;&gt;0,ROW()-1,"")</f>
        <v>382</v>
      </c>
      <c r="B383" s="50" t="s">
        <v>1914</v>
      </c>
      <c r="C383" s="50" t="s">
        <v>1697</v>
      </c>
      <c r="D383" s="10"/>
      <c r="E383" s="10" t="s">
        <v>2418</v>
      </c>
      <c r="F383" s="10" t="s">
        <v>1915</v>
      </c>
      <c r="G383" s="10"/>
      <c r="H383" s="10" t="s">
        <v>2824</v>
      </c>
      <c r="I383" s="10" t="s">
        <v>2171</v>
      </c>
      <c r="J383" s="10"/>
      <c r="K383" s="7" t="str" cm="1">
        <f t="array" ref="K383">IFERROR(LOOKUP(2,1/('Outreach Log'!$C$2:$C$9998=F383),'Outreach Log'!$B$2:$B$9998),"")</f>
        <v/>
      </c>
      <c r="L383" s="5" t="str">
        <f>IFERROR(INDEX('Outreach Log'!$F:$F,MATCH(TEXT(K383,"YYYY-MM-DD")&amp;F383,'Outreach Log'!$L:$L,0)),"")</f>
        <v/>
      </c>
      <c r="M383" s="6" t="str">
        <f>IFERROR(HYPERLINK("#'Outreach Log'!A"&amp;MATCH(TEXT(K383,"YYYY-MM-DD")&amp;F383,'Outreach Log'!$L:$L,0),"→ View"),"—")</f>
        <v>—</v>
      </c>
      <c r="N383" s="6" t="str">
        <f>IFERROR(HYPERLINK("#Companies!A"&amp;MATCH(E383,Companies!$B:$B,0),"→ View"),"—")</f>
        <v>→ View</v>
      </c>
    </row>
    <row r="384" spans="1:14">
      <c r="A384" s="9">
        <f>IF(tblContacts[[#This Row],[First Name]]&lt;&gt;0,ROW()-1,"")</f>
        <v>383</v>
      </c>
      <c r="B384" s="50" t="s">
        <v>872</v>
      </c>
      <c r="C384" s="50" t="s">
        <v>1916</v>
      </c>
      <c r="D384" s="10"/>
      <c r="E384" s="10" t="s">
        <v>2116</v>
      </c>
      <c r="F384" s="10" t="s">
        <v>1917</v>
      </c>
      <c r="G384" s="10"/>
      <c r="H384" s="10" t="s">
        <v>2824</v>
      </c>
      <c r="I384" s="10" t="s">
        <v>2171</v>
      </c>
      <c r="J384" s="10"/>
      <c r="K384" s="7" t="str" cm="1">
        <f t="array" ref="K384">IFERROR(LOOKUP(2,1/('Outreach Log'!$C$2:$C$9998=F384),'Outreach Log'!$B$2:$B$9998),"")</f>
        <v/>
      </c>
      <c r="L384" s="5" t="str">
        <f>IFERROR(INDEX('Outreach Log'!$F:$F,MATCH(TEXT(K384,"YYYY-MM-DD")&amp;F384,'Outreach Log'!$L:$L,0)),"")</f>
        <v/>
      </c>
      <c r="M384" s="6" t="str">
        <f>IFERROR(HYPERLINK("#'Outreach Log'!A"&amp;MATCH(TEXT(K384,"YYYY-MM-DD")&amp;F384,'Outreach Log'!$L:$L,0),"→ View"),"—")</f>
        <v>—</v>
      </c>
      <c r="N384" s="6" t="str">
        <f>IFERROR(HYPERLINK("#Companies!A"&amp;MATCH(E384,Companies!$B:$B,0),"→ View"),"—")</f>
        <v>→ View</v>
      </c>
    </row>
    <row r="385" spans="1:14">
      <c r="A385" s="9">
        <f>IF(tblContacts[[#This Row],[First Name]]&lt;&gt;0,ROW()-1,"")</f>
        <v>384</v>
      </c>
      <c r="B385" s="50" t="s">
        <v>872</v>
      </c>
      <c r="C385" s="50" t="s">
        <v>1918</v>
      </c>
      <c r="D385" s="10"/>
      <c r="E385" s="10" t="s">
        <v>2419</v>
      </c>
      <c r="F385" s="10" t="s">
        <v>1919</v>
      </c>
      <c r="G385" s="10"/>
      <c r="H385" s="10" t="s">
        <v>2824</v>
      </c>
      <c r="I385" s="10" t="s">
        <v>2171</v>
      </c>
      <c r="J385" s="10"/>
      <c r="K385" s="7" cm="1">
        <f t="array" ref="K385">IFERROR(LOOKUP(2,1/('Outreach Log'!$C$2:$C$9998=F385),'Outreach Log'!$B$2:$B$9998),"")</f>
        <v>46126</v>
      </c>
      <c r="L385" s="5" t="str">
        <f>IFERROR(INDEX('Outreach Log'!$F:$F,MATCH(TEXT(K385,"YYYY-MM-DD")&amp;F385,'Outreach Log'!$L:$L,0)),"")</f>
        <v>Email</v>
      </c>
      <c r="M385" s="6" t="str">
        <f>IFERROR(HYPERLINK("#'Outreach Log'!A"&amp;MATCH(TEXT(K385,"YYYY-MM-DD")&amp;F385,'Outreach Log'!$L:$L,0),"→ View"),"—")</f>
        <v>→ View</v>
      </c>
      <c r="N385" s="6" t="str">
        <f>IFERROR(HYPERLINK("#Companies!A"&amp;MATCH(E385,Companies!$B:$B,0),"→ View"),"—")</f>
        <v>→ View</v>
      </c>
    </row>
    <row r="386" spans="1:14">
      <c r="A386" s="9">
        <f>IF(tblContacts[[#This Row],[First Name]]&lt;&gt;0,ROW()-1,"")</f>
        <v>385</v>
      </c>
      <c r="B386" s="50" t="s">
        <v>872</v>
      </c>
      <c r="C386" s="50" t="s">
        <v>3207</v>
      </c>
      <c r="D386" s="10" t="s">
        <v>3208</v>
      </c>
      <c r="E386" s="10" t="s">
        <v>3011</v>
      </c>
      <c r="F386" s="10" t="s">
        <v>3209</v>
      </c>
      <c r="G386" s="10"/>
      <c r="H386" s="10" t="s">
        <v>2824</v>
      </c>
      <c r="I386" s="44" t="s">
        <v>3363</v>
      </c>
      <c r="K386" s="7" cm="1">
        <f t="array" ref="K386">IFERROR(LOOKUP(2,1/('Outreach Log'!$C$2:$C$9998=F386),'Outreach Log'!$B$2:$B$9998),"")</f>
        <v>46126</v>
      </c>
      <c r="L386" s="5" t="str">
        <f>IFERROR(INDEX('Outreach Log'!$F:$F,MATCH(TEXT(K386,"YYYY-MM-DD")&amp;F386,'Outreach Log'!$L:$L,0)),"")</f>
        <v>Email</v>
      </c>
      <c r="M386" s="6" t="str">
        <f>IFERROR(HYPERLINK("#'Outreach Log'!A"&amp;MATCH(TEXT(K386,"YYYY-MM-DD")&amp;F386,'Outreach Log'!$L:$L,0),"→ View"),"—")</f>
        <v>→ View</v>
      </c>
      <c r="N386" s="6" t="str">
        <f>IFERROR(HYPERLINK("#Companies!A"&amp;MATCH(E386,Companies!$B:$B,0),"→ View"),"—")</f>
        <v>→ View</v>
      </c>
    </row>
    <row r="387" spans="1:14">
      <c r="A387" s="9">
        <f>IF(tblContacts[[#This Row],[First Name]]&lt;&gt;0,ROW()-1,"")</f>
        <v>386</v>
      </c>
      <c r="B387" s="50" t="s">
        <v>872</v>
      </c>
      <c r="C387" s="50" t="s">
        <v>1920</v>
      </c>
      <c r="D387" s="10"/>
      <c r="E387" s="10" t="s">
        <v>2420</v>
      </c>
      <c r="F387" s="10" t="s">
        <v>1921</v>
      </c>
      <c r="G387" s="10"/>
      <c r="H387" s="10" t="s">
        <v>2824</v>
      </c>
      <c r="I387" s="10" t="s">
        <v>2171</v>
      </c>
      <c r="J387" s="10"/>
      <c r="K387" s="7" cm="1">
        <f t="array" ref="K387">IFERROR(LOOKUP(2,1/('Outreach Log'!$C$2:$C$9998=F387),'Outreach Log'!$B$2:$B$9998),"")</f>
        <v>46126</v>
      </c>
      <c r="L387" s="5" t="str">
        <f>IFERROR(INDEX('Outreach Log'!$F:$F,MATCH(TEXT(K387,"YYYY-MM-DD")&amp;F387,'Outreach Log'!$L:$L,0)),"")</f>
        <v>Email</v>
      </c>
      <c r="M387" s="6" t="str">
        <f>IFERROR(HYPERLINK("#'Outreach Log'!A"&amp;MATCH(TEXT(K387,"YYYY-MM-DD")&amp;F387,'Outreach Log'!$L:$L,0),"→ View"),"—")</f>
        <v>→ View</v>
      </c>
      <c r="N387" s="6" t="str">
        <f>IFERROR(HYPERLINK("#Companies!A"&amp;MATCH(E387,Companies!$B:$B,0),"→ View"),"—")</f>
        <v>→ View</v>
      </c>
    </row>
    <row r="388" spans="1:14">
      <c r="A388" s="9">
        <f>IF(tblContacts[[#This Row],[First Name]]&lt;&gt;0,ROW()-1,"")</f>
        <v>387</v>
      </c>
      <c r="B388" s="50" t="s">
        <v>872</v>
      </c>
      <c r="C388" s="50" t="s">
        <v>1922</v>
      </c>
      <c r="D388" s="10"/>
      <c r="E388" s="10" t="s">
        <v>2421</v>
      </c>
      <c r="F388" s="10" t="s">
        <v>1923</v>
      </c>
      <c r="G388" s="10"/>
      <c r="H388" s="10" t="s">
        <v>2824</v>
      </c>
      <c r="I388" s="10" t="s">
        <v>2171</v>
      </c>
      <c r="J388" s="10" t="s">
        <v>205</v>
      </c>
      <c r="K388" s="7" cm="1">
        <f t="array" ref="K388">IFERROR(LOOKUP(2,1/('Outreach Log'!$C$2:$C$9998=F388),'Outreach Log'!$B$2:$B$9998),"")</f>
        <v>46126</v>
      </c>
      <c r="L388" s="5" t="str">
        <f>IFERROR(INDEX('Outreach Log'!$F:$F,MATCH(TEXT(K388,"YYYY-MM-DD")&amp;F388,'Outreach Log'!$L:$L,0)),"")</f>
        <v>Email</v>
      </c>
      <c r="M388" s="6" t="str">
        <f>IFERROR(HYPERLINK("#'Outreach Log'!A"&amp;MATCH(TEXT(K388,"YYYY-MM-DD")&amp;F388,'Outreach Log'!$L:$L,0),"→ View"),"—")</f>
        <v>→ View</v>
      </c>
      <c r="N388" s="6" t="str">
        <f>IFERROR(HYPERLINK("#Companies!A"&amp;MATCH(E388,Companies!$B:$B,0),"→ View"),"—")</f>
        <v>→ View</v>
      </c>
    </row>
    <row r="389" spans="1:14">
      <c r="A389" s="9">
        <f>IF(tblContacts[[#This Row],[First Name]]&lt;&gt;0,ROW()-1,"")</f>
        <v>388</v>
      </c>
      <c r="B389" s="50" t="s">
        <v>1924</v>
      </c>
      <c r="C389" s="50" t="s">
        <v>1925</v>
      </c>
      <c r="D389" s="10"/>
      <c r="E389" s="10" t="s">
        <v>2422</v>
      </c>
      <c r="F389" s="10" t="s">
        <v>1926</v>
      </c>
      <c r="G389" s="10"/>
      <c r="H389" s="10" t="s">
        <v>2824</v>
      </c>
      <c r="I389" s="10" t="s">
        <v>2171</v>
      </c>
      <c r="J389" s="10"/>
      <c r="K389" s="7" t="str" cm="1">
        <f t="array" ref="K389">IFERROR(LOOKUP(2,1/('Outreach Log'!$C$2:$C$9998=F389),'Outreach Log'!$B$2:$B$9998),"")</f>
        <v/>
      </c>
      <c r="L389" s="5" t="str">
        <f>IFERROR(INDEX('Outreach Log'!$F:$F,MATCH(TEXT(K389,"YYYY-MM-DD")&amp;F389,'Outreach Log'!$L:$L,0)),"")</f>
        <v/>
      </c>
      <c r="M389" s="6" t="str">
        <f>IFERROR(HYPERLINK("#'Outreach Log'!A"&amp;MATCH(TEXT(K389,"YYYY-MM-DD")&amp;F389,'Outreach Log'!$L:$L,0),"→ View"),"—")</f>
        <v>—</v>
      </c>
      <c r="N389" s="6" t="str">
        <f>IFERROR(HYPERLINK("#Companies!A"&amp;MATCH(E389,Companies!$B:$B,0),"→ View"),"—")</f>
        <v>→ View</v>
      </c>
    </row>
    <row r="390" spans="1:14">
      <c r="A390" s="9">
        <f>IF(tblContacts[[#This Row],[First Name]]&lt;&gt;0,ROW()-1,"")</f>
        <v>389</v>
      </c>
      <c r="B390" s="50" t="s">
        <v>1914</v>
      </c>
      <c r="C390" s="50" t="s">
        <v>2423</v>
      </c>
      <c r="D390" s="10"/>
      <c r="E390" s="10" t="s">
        <v>2424</v>
      </c>
      <c r="F390" s="10" t="s">
        <v>1927</v>
      </c>
      <c r="G390" s="10"/>
      <c r="H390" s="10" t="s">
        <v>2824</v>
      </c>
      <c r="I390" s="10" t="s">
        <v>2171</v>
      </c>
      <c r="J390" s="10"/>
      <c r="K390" s="7" cm="1">
        <f t="array" ref="K390">IFERROR(LOOKUP(2,1/('Outreach Log'!$C$2:$C$9998=F390),'Outreach Log'!$B$2:$B$9998),"")</f>
        <v>46126</v>
      </c>
      <c r="L390" s="5" t="str">
        <f>IFERROR(INDEX('Outreach Log'!$F:$F,MATCH(TEXT(K390,"YYYY-MM-DD")&amp;F390,'Outreach Log'!$L:$L,0)),"")</f>
        <v>Email</v>
      </c>
      <c r="M390" s="6" t="str">
        <f>IFERROR(HYPERLINK("#'Outreach Log'!A"&amp;MATCH(TEXT(K390,"YYYY-MM-DD")&amp;F390,'Outreach Log'!$L:$L,0),"→ View"),"—")</f>
        <v>→ View</v>
      </c>
      <c r="N390" s="6" t="str">
        <f>IFERROR(HYPERLINK("#Companies!A"&amp;MATCH(E390,Companies!$B:$B,0),"→ View"),"—")</f>
        <v>→ View</v>
      </c>
    </row>
    <row r="391" spans="1:14">
      <c r="A391" s="9">
        <f>IF(tblContacts[[#This Row],[First Name]]&lt;&gt;0,ROW()-1,"")</f>
        <v>390</v>
      </c>
      <c r="B391" s="50" t="s">
        <v>1928</v>
      </c>
      <c r="C391" s="50" t="s">
        <v>1929</v>
      </c>
      <c r="D391" s="10"/>
      <c r="E391" s="10" t="s">
        <v>706</v>
      </c>
      <c r="F391" s="10" t="s">
        <v>1930</v>
      </c>
      <c r="G391" s="10"/>
      <c r="H391" s="10" t="s">
        <v>2824</v>
      </c>
      <c r="I391" s="10" t="s">
        <v>2171</v>
      </c>
      <c r="J391" s="10"/>
      <c r="K391" s="7" cm="1">
        <f t="array" ref="K391">IFERROR(LOOKUP(2,1/('Outreach Log'!$C$2:$C$9998=F391),'Outreach Log'!$B$2:$B$9998),"")</f>
        <v>46126</v>
      </c>
      <c r="L391" s="5" t="str">
        <f>IFERROR(INDEX('Outreach Log'!$F:$F,MATCH(TEXT(K391,"YYYY-MM-DD")&amp;F391,'Outreach Log'!$L:$L,0)),"")</f>
        <v>Email</v>
      </c>
      <c r="M391" s="6" t="str">
        <f>IFERROR(HYPERLINK("#'Outreach Log'!A"&amp;MATCH(TEXT(K391,"YYYY-MM-DD")&amp;F391,'Outreach Log'!$L:$L,0),"→ View"),"—")</f>
        <v>→ View</v>
      </c>
      <c r="N391" s="6" t="str">
        <f>IFERROR(HYPERLINK("#Companies!A"&amp;MATCH(E391,Companies!$B:$B,0),"→ View"),"—")</f>
        <v>→ View</v>
      </c>
    </row>
    <row r="392" spans="1:14">
      <c r="A392" s="9">
        <f>IF(tblContacts[[#This Row],[First Name]]&lt;&gt;0,ROW()-1,"")</f>
        <v>391</v>
      </c>
      <c r="B392" s="50" t="s">
        <v>1928</v>
      </c>
      <c r="C392" s="50" t="s">
        <v>1931</v>
      </c>
      <c r="D392" s="10"/>
      <c r="E392" s="10" t="s">
        <v>2425</v>
      </c>
      <c r="F392" s="10" t="s">
        <v>1932</v>
      </c>
      <c r="G392" s="10"/>
      <c r="H392" s="10" t="s">
        <v>2824</v>
      </c>
      <c r="I392" s="10" t="s">
        <v>2171</v>
      </c>
      <c r="J392" s="10"/>
      <c r="K392" s="7" t="str" cm="1">
        <f t="array" ref="K392">IFERROR(LOOKUP(2,1/('Outreach Log'!$C$2:$C$9998=F392),'Outreach Log'!$B$2:$B$9998),"")</f>
        <v/>
      </c>
      <c r="L392" s="5" t="str">
        <f>IFERROR(INDEX('Outreach Log'!$F:$F,MATCH(TEXT(K392,"YYYY-MM-DD")&amp;F392,'Outreach Log'!$L:$L,0)),"")</f>
        <v/>
      </c>
      <c r="M392" s="6" t="str">
        <f>IFERROR(HYPERLINK("#'Outreach Log'!A"&amp;MATCH(TEXT(K392,"YYYY-MM-DD")&amp;F392,'Outreach Log'!$L:$L,0),"→ View"),"—")</f>
        <v>—</v>
      </c>
      <c r="N392" s="6" t="str">
        <f>IFERROR(HYPERLINK("#Companies!A"&amp;MATCH(E392,Companies!$B:$B,0),"→ View"),"—")</f>
        <v>→ View</v>
      </c>
    </row>
    <row r="393" spans="1:14">
      <c r="A393" s="9">
        <f>IF(tblContacts[[#This Row],[First Name]]&lt;&gt;0,ROW()-1,"")</f>
        <v>392</v>
      </c>
      <c r="B393" s="50" t="s">
        <v>1804</v>
      </c>
      <c r="C393" s="50" t="s">
        <v>1933</v>
      </c>
      <c r="D393" s="10"/>
      <c r="E393" s="10" t="s">
        <v>2426</v>
      </c>
      <c r="F393" s="10" t="s">
        <v>1934</v>
      </c>
      <c r="G393" s="10"/>
      <c r="H393" s="10" t="s">
        <v>2824</v>
      </c>
      <c r="I393" s="10" t="s">
        <v>2171</v>
      </c>
      <c r="J393" s="10" t="s">
        <v>205</v>
      </c>
      <c r="K393" s="7" cm="1">
        <f t="array" ref="K393">IFERROR(LOOKUP(2,1/('Outreach Log'!$C$2:$C$9998=F393),'Outreach Log'!$B$2:$B$9998),"")</f>
        <v>46126</v>
      </c>
      <c r="L393" s="5" t="str">
        <f>IFERROR(INDEX('Outreach Log'!$F:$F,MATCH(TEXT(K393,"YYYY-MM-DD")&amp;F393,'Outreach Log'!$L:$L,0)),"")</f>
        <v>Email</v>
      </c>
      <c r="M393" s="6" t="str">
        <f>IFERROR(HYPERLINK("#'Outreach Log'!A"&amp;MATCH(TEXT(K393,"YYYY-MM-DD")&amp;F393,'Outreach Log'!$L:$L,0),"→ View"),"—")</f>
        <v>→ View</v>
      </c>
      <c r="N393" s="6" t="str">
        <f>IFERROR(HYPERLINK("#Companies!A"&amp;MATCH(E393,Companies!$B:$B,0),"→ View"),"—")</f>
        <v>→ View</v>
      </c>
    </row>
    <row r="394" spans="1:14">
      <c r="A394" s="9">
        <f>IF(tblContacts[[#This Row],[First Name]]&lt;&gt;0,ROW()-1,"")</f>
        <v>393</v>
      </c>
      <c r="B394" s="50" t="s">
        <v>1893</v>
      </c>
      <c r="C394" s="50" t="s">
        <v>1935</v>
      </c>
      <c r="D394" s="10"/>
      <c r="E394" s="10" t="s">
        <v>710</v>
      </c>
      <c r="F394" s="10" t="s">
        <v>1936</v>
      </c>
      <c r="G394" s="10"/>
      <c r="H394" s="10" t="s">
        <v>2824</v>
      </c>
      <c r="I394" s="10" t="s">
        <v>2171</v>
      </c>
      <c r="J394" s="10"/>
      <c r="K394" s="7" t="str" cm="1">
        <f t="array" ref="K394">IFERROR(LOOKUP(2,1/('Outreach Log'!$C$2:$C$9998=F394),'Outreach Log'!$B$2:$B$9998),"")</f>
        <v/>
      </c>
      <c r="L394" s="5" t="str">
        <f>IFERROR(INDEX('Outreach Log'!$F:$F,MATCH(TEXT(K394,"YYYY-MM-DD")&amp;F394,'Outreach Log'!$L:$L,0)),"")</f>
        <v/>
      </c>
      <c r="M394" s="6" t="str">
        <f>IFERROR(HYPERLINK("#'Outreach Log'!A"&amp;MATCH(TEXT(K394,"YYYY-MM-DD")&amp;F394,'Outreach Log'!$L:$L,0),"→ View"),"—")</f>
        <v>—</v>
      </c>
      <c r="N394" s="6" t="str">
        <f>IFERROR(HYPERLINK("#Companies!A"&amp;MATCH(E394,Companies!$B:$B,0),"→ View"),"—")</f>
        <v>→ View</v>
      </c>
    </row>
    <row r="395" spans="1:14">
      <c r="A395" s="9">
        <f>IF(tblContacts[[#This Row],[First Name]]&lt;&gt;0,ROW()-1,"")</f>
        <v>394</v>
      </c>
      <c r="B395" s="50" t="s">
        <v>1937</v>
      </c>
      <c r="C395" s="50" t="s">
        <v>1940</v>
      </c>
      <c r="D395" s="10" t="s">
        <v>768</v>
      </c>
      <c r="E395" s="10" t="s">
        <v>712</v>
      </c>
      <c r="F395" s="10" t="s">
        <v>1941</v>
      </c>
      <c r="G395" s="10"/>
      <c r="H395" s="10" t="s">
        <v>2824</v>
      </c>
      <c r="I395" s="10" t="s">
        <v>13</v>
      </c>
      <c r="J395" s="10"/>
      <c r="K395" s="7" t="str" cm="1">
        <f t="array" ref="K395">IFERROR(LOOKUP(2,1/('Outreach Log'!$C$2:$C$9998=F395),'Outreach Log'!$B$2:$B$9998),"")</f>
        <v/>
      </c>
      <c r="L395" s="5" t="str">
        <f>IFERROR(INDEX('Outreach Log'!$F:$F,MATCH(TEXT(K395,"YYYY-MM-DD")&amp;F395,'Outreach Log'!$L:$L,0)),"")</f>
        <v/>
      </c>
      <c r="M395" s="6" t="str">
        <f>IFERROR(HYPERLINK("#'Outreach Log'!A"&amp;MATCH(TEXT(K395,"YYYY-MM-DD")&amp;F395,'Outreach Log'!$L:$L,0),"→ View"),"—")</f>
        <v>—</v>
      </c>
      <c r="N395" s="6" t="str">
        <f>IFERROR(HYPERLINK("#Companies!A"&amp;MATCH(E395,Companies!$B:$B,0),"→ View"),"—")</f>
        <v>→ View</v>
      </c>
    </row>
    <row r="396" spans="1:14">
      <c r="A396" s="9">
        <f>IF(tblContacts[[#This Row],[First Name]]&lt;&gt;0,ROW()-1,"")</f>
        <v>395</v>
      </c>
      <c r="B396" s="50" t="s">
        <v>1942</v>
      </c>
      <c r="C396" s="50" t="s">
        <v>1313</v>
      </c>
      <c r="D396" s="10" t="s">
        <v>1709</v>
      </c>
      <c r="E396" s="10" t="s">
        <v>715</v>
      </c>
      <c r="F396" s="10" t="s">
        <v>1943</v>
      </c>
      <c r="G396" s="10"/>
      <c r="H396" s="10" t="s">
        <v>2824</v>
      </c>
      <c r="I396" s="10" t="s">
        <v>13</v>
      </c>
      <c r="J396" s="10"/>
      <c r="K396" s="7" t="str" cm="1">
        <f t="array" ref="K396">IFERROR(LOOKUP(2,1/('Outreach Log'!$C$2:$C$9998=F396),'Outreach Log'!$B$2:$B$9998),"")</f>
        <v/>
      </c>
      <c r="L396" s="5" t="str">
        <f>IFERROR(INDEX('Outreach Log'!$F:$F,MATCH(TEXT(K396,"YYYY-MM-DD")&amp;F396,'Outreach Log'!$L:$L,0)),"")</f>
        <v/>
      </c>
      <c r="M396" s="6" t="str">
        <f>IFERROR(HYPERLINK("#'Outreach Log'!A"&amp;MATCH(TEXT(K396,"YYYY-MM-DD")&amp;F396,'Outreach Log'!$L:$L,0),"→ View"),"—")</f>
        <v>—</v>
      </c>
      <c r="N396" s="6" t="str">
        <f>IFERROR(HYPERLINK("#Companies!A"&amp;MATCH(E396,Companies!$B:$B,0),"→ View"),"—")</f>
        <v>→ View</v>
      </c>
    </row>
    <row r="397" spans="1:14">
      <c r="A397" s="9">
        <f>IF(tblContacts[[#This Row],[First Name]]&lt;&gt;0,ROW()-1,"")</f>
        <v>396</v>
      </c>
      <c r="B397" s="50" t="s">
        <v>1942</v>
      </c>
      <c r="C397" s="50" t="s">
        <v>1944</v>
      </c>
      <c r="D397" s="10"/>
      <c r="E397" s="10" t="s">
        <v>716</v>
      </c>
      <c r="F397" s="10" t="s">
        <v>1945</v>
      </c>
      <c r="G397" s="10"/>
      <c r="H397" s="10" t="s">
        <v>2824</v>
      </c>
      <c r="I397" s="10" t="s">
        <v>2171</v>
      </c>
      <c r="J397" s="10"/>
      <c r="K397" s="7" cm="1">
        <f t="array" ref="K397">IFERROR(LOOKUP(2,1/('Outreach Log'!$C$2:$C$9998=F397),'Outreach Log'!$B$2:$B$9998),"")</f>
        <v>46126</v>
      </c>
      <c r="L397" s="5" t="str">
        <f>IFERROR(INDEX('Outreach Log'!$F:$F,MATCH(TEXT(K397,"YYYY-MM-DD")&amp;F397,'Outreach Log'!$L:$L,0)),"")</f>
        <v>Email</v>
      </c>
      <c r="M397" s="6" t="str">
        <f>IFERROR(HYPERLINK("#'Outreach Log'!A"&amp;MATCH(TEXT(K397,"YYYY-MM-DD")&amp;F397,'Outreach Log'!$L:$L,0),"→ View"),"—")</f>
        <v>→ View</v>
      </c>
      <c r="N397" s="6" t="str">
        <f>IFERROR(HYPERLINK("#Companies!A"&amp;MATCH(E397,Companies!$B:$B,0),"→ View"),"—")</f>
        <v>→ View</v>
      </c>
    </row>
    <row r="398" spans="1:14">
      <c r="A398" s="9">
        <f>IF(tblContacts[[#This Row],[First Name]]&lt;&gt;0,ROW()-1,"")</f>
        <v>397</v>
      </c>
      <c r="B398" s="50" t="s">
        <v>1707</v>
      </c>
      <c r="C398" s="50" t="s">
        <v>1946</v>
      </c>
      <c r="D398" s="10"/>
      <c r="E398" s="10" t="s">
        <v>2112</v>
      </c>
      <c r="F398" s="10" t="s">
        <v>1947</v>
      </c>
      <c r="G398" s="10"/>
      <c r="H398" s="10" t="s">
        <v>2824</v>
      </c>
      <c r="I398" s="10" t="s">
        <v>2171</v>
      </c>
      <c r="J398" s="10"/>
      <c r="K398" s="7" t="str" cm="1">
        <f t="array" ref="K398">IFERROR(LOOKUP(2,1/('Outreach Log'!$C$2:$C$9998=F398),'Outreach Log'!$B$2:$B$9998),"")</f>
        <v/>
      </c>
      <c r="L398" s="5" t="str">
        <f>IFERROR(INDEX('Outreach Log'!$F:$F,MATCH(TEXT(K398,"YYYY-MM-DD")&amp;F398,'Outreach Log'!$L:$L,0)),"")</f>
        <v/>
      </c>
      <c r="M398" s="6" t="str">
        <f>IFERROR(HYPERLINK("#'Outreach Log'!A"&amp;MATCH(TEXT(K398,"YYYY-MM-DD")&amp;F398,'Outreach Log'!$L:$L,0),"→ View"),"—")</f>
        <v>—</v>
      </c>
      <c r="N398" s="6" t="str">
        <f>IFERROR(HYPERLINK("#Companies!A"&amp;MATCH(E398,Companies!$B:$B,0),"→ View"),"—")</f>
        <v>→ View</v>
      </c>
    </row>
    <row r="399" spans="1:14">
      <c r="A399" s="9">
        <f>IF(tblContacts[[#This Row],[First Name]]&lt;&gt;0,ROW()-1,"")</f>
        <v>398</v>
      </c>
      <c r="B399" s="50" t="s">
        <v>735</v>
      </c>
      <c r="C399" s="50" t="s">
        <v>1483</v>
      </c>
      <c r="D399" s="10" t="s">
        <v>862</v>
      </c>
      <c r="E399" s="10" t="s">
        <v>3158</v>
      </c>
      <c r="F399" s="10" t="s">
        <v>3344</v>
      </c>
      <c r="G399" s="10" t="s">
        <v>3345</v>
      </c>
      <c r="H399" s="10" t="s">
        <v>2824</v>
      </c>
      <c r="I399" s="44" t="s">
        <v>3363</v>
      </c>
      <c r="K399" s="7" cm="1">
        <f t="array" ref="K399">IFERROR(LOOKUP(2,1/('Outreach Log'!$C$2:$C$9998=F399),'Outreach Log'!$B$2:$B$9998),"")</f>
        <v>46104</v>
      </c>
      <c r="L399" s="5" t="str">
        <f>IFERROR(INDEX('Outreach Log'!$F:$F,MATCH(TEXT(K399,"YYYY-MM-DD")&amp;F399,'Outreach Log'!$L:$L,0)),"")</f>
        <v>Email</v>
      </c>
      <c r="M399" s="6" t="str">
        <f>IFERROR(HYPERLINK("#'Outreach Log'!A"&amp;MATCH(TEXT(K399,"YYYY-MM-DD")&amp;F399,'Outreach Log'!$L:$L,0),"→ View"),"—")</f>
        <v>→ View</v>
      </c>
      <c r="N399" s="6" t="str">
        <f>IFERROR(HYPERLINK("#Companies!A"&amp;MATCH(E399,Companies!$B:$B,0),"→ View"),"—")</f>
        <v>→ View</v>
      </c>
    </row>
    <row r="400" spans="1:14">
      <c r="A400" s="9">
        <f>IF(tblContacts[[#This Row],[First Name]]&lt;&gt;0,ROW()-1,"")</f>
        <v>399</v>
      </c>
      <c r="B400" s="50" t="s">
        <v>735</v>
      </c>
      <c r="C400" s="50" t="s">
        <v>738</v>
      </c>
      <c r="D400" s="49" t="s">
        <v>768</v>
      </c>
      <c r="E400" s="10" t="s">
        <v>2118</v>
      </c>
      <c r="F400" s="10" t="s">
        <v>739</v>
      </c>
      <c r="G400" s="10" t="s">
        <v>3250</v>
      </c>
      <c r="H400" s="10" t="s">
        <v>2824</v>
      </c>
      <c r="I400" s="44" t="s">
        <v>3363</v>
      </c>
      <c r="K400" s="7" cm="1">
        <f t="array" ref="K400">IFERROR(LOOKUP(2,1/('Outreach Log'!$C$2:$C$9998=F400),'Outreach Log'!$B$2:$B$9998),"")</f>
        <v>46104</v>
      </c>
      <c r="L400" s="5" t="str">
        <f>IFERROR(INDEX('Outreach Log'!$F:$F,MATCH(TEXT(K400,"YYYY-MM-DD")&amp;F400,'Outreach Log'!$L:$L,0)),"")</f>
        <v>Email</v>
      </c>
      <c r="M400" s="6" t="str">
        <f>IFERROR(HYPERLINK("#'Outreach Log'!A"&amp;MATCH(TEXT(K400,"YYYY-MM-DD")&amp;F400,'Outreach Log'!$L:$L,0),"→ View"),"—")</f>
        <v>→ View</v>
      </c>
      <c r="N400" s="6" t="str">
        <f>IFERROR(HYPERLINK("#Companies!A"&amp;MATCH(E400,Companies!$B:$B,0),"→ View"),"—")</f>
        <v>→ View</v>
      </c>
    </row>
    <row r="401" spans="1:14">
      <c r="A401" s="9">
        <f>IF(tblContacts[[#This Row],[First Name]]&lt;&gt;0,ROW()-1,"")</f>
        <v>400</v>
      </c>
      <c r="B401" s="50" t="s">
        <v>860</v>
      </c>
      <c r="C401" s="50" t="s">
        <v>3274</v>
      </c>
      <c r="D401" s="10" t="s">
        <v>3190</v>
      </c>
      <c r="E401" s="10" t="s">
        <v>3076</v>
      </c>
      <c r="F401" s="10" t="s">
        <v>3275</v>
      </c>
      <c r="G401" s="10" t="s">
        <v>3279</v>
      </c>
      <c r="H401" s="10" t="s">
        <v>2824</v>
      </c>
      <c r="I401" s="44" t="s">
        <v>3363</v>
      </c>
      <c r="K401" s="7" cm="1">
        <f t="array" ref="K401">IFERROR(LOOKUP(2,1/('Outreach Log'!$C$2:$C$9998=F401),'Outreach Log'!$B$2:$B$9998),"")</f>
        <v>46104</v>
      </c>
      <c r="L401" s="5" t="str">
        <f>IFERROR(INDEX('Outreach Log'!$F:$F,MATCH(TEXT(K401,"YYYY-MM-DD")&amp;F401,'Outreach Log'!$L:$L,0)),"")</f>
        <v>Email</v>
      </c>
      <c r="M401" s="6" t="str">
        <f>IFERROR(HYPERLINK("#'Outreach Log'!A"&amp;MATCH(TEXT(K401,"YYYY-MM-DD")&amp;F401,'Outreach Log'!$L:$L,0),"→ View"),"—")</f>
        <v>→ View</v>
      </c>
      <c r="N401" s="6" t="str">
        <f>IFERROR(HYPERLINK("#Companies!A"&amp;MATCH(E401,Companies!$B:$B,0),"→ View"),"—")</f>
        <v>→ View</v>
      </c>
    </row>
    <row r="402" spans="1:14">
      <c r="A402" s="9">
        <f>IF(tblContacts[[#This Row],[First Name]]&lt;&gt;0,ROW()-1,"")</f>
        <v>401</v>
      </c>
      <c r="B402" s="50" t="s">
        <v>766</v>
      </c>
      <c r="C402" s="50" t="s">
        <v>2431</v>
      </c>
      <c r="D402" s="10" t="s">
        <v>768</v>
      </c>
      <c r="E402" s="10" t="s">
        <v>327</v>
      </c>
      <c r="F402" s="10" t="s">
        <v>1967</v>
      </c>
      <c r="G402" s="10"/>
      <c r="H402" s="10" t="s">
        <v>2824</v>
      </c>
      <c r="I402" s="10" t="s">
        <v>14</v>
      </c>
      <c r="J402" s="10"/>
      <c r="K402" s="7" cm="1">
        <f t="array" ref="K402">IFERROR(LOOKUP(2,1/('Outreach Log'!$C$2:$C$9998=F402),'Outreach Log'!$B$2:$B$9998),"")</f>
        <v>46093</v>
      </c>
      <c r="L402" s="5" t="str">
        <f>IFERROR(INDEX('Outreach Log'!$F:$F,MATCH(TEXT(K402,"YYYY-MM-DD")&amp;F402,'Outreach Log'!$L:$L,0)),"")</f>
        <v>Email</v>
      </c>
      <c r="M402" s="6" t="str">
        <f>IFERROR(HYPERLINK("#'Outreach Log'!A"&amp;MATCH(TEXT(K402,"YYYY-MM-DD")&amp;F402,'Outreach Log'!$L:$L,0),"→ View"),"—")</f>
        <v>→ View</v>
      </c>
      <c r="N402" s="6" t="str">
        <f>IFERROR(HYPERLINK("#Companies!A"&amp;MATCH(E402,Companies!$B:$B,0),"→ View"),"—")</f>
        <v>→ View</v>
      </c>
    </row>
    <row r="403" spans="1:14">
      <c r="A403" s="9">
        <f>IF(tblContacts[[#This Row],[First Name]]&lt;&gt;0,ROW()-1,"")</f>
        <v>402</v>
      </c>
      <c r="B403" s="50" t="s">
        <v>776</v>
      </c>
      <c r="C403" s="50" t="s">
        <v>777</v>
      </c>
      <c r="D403" s="10"/>
      <c r="E403" s="10" t="s">
        <v>2114</v>
      </c>
      <c r="F403" s="10" t="s">
        <v>778</v>
      </c>
      <c r="G403" s="10"/>
      <c r="H403" s="10" t="s">
        <v>2824</v>
      </c>
      <c r="I403" s="10" t="s">
        <v>14</v>
      </c>
      <c r="J403" s="10"/>
      <c r="K403" s="7" cm="1">
        <f t="array" ref="K403">IFERROR(LOOKUP(2,1/('Outreach Log'!$C$2:$C$9998=F403),'Outreach Log'!$B$2:$B$9998),"")</f>
        <v>46093</v>
      </c>
      <c r="L403" s="5" t="str">
        <f>IFERROR(INDEX('Outreach Log'!$F:$F,MATCH(TEXT(K403,"YYYY-MM-DD")&amp;F403,'Outreach Log'!$L:$L,0)),"")</f>
        <v>Email</v>
      </c>
      <c r="M403" s="6" t="str">
        <f>IFERROR(HYPERLINK("#'Outreach Log'!A"&amp;MATCH(TEXT(K403,"YYYY-MM-DD")&amp;F403,'Outreach Log'!$L:$L,0),"→ View"),"—")</f>
        <v>→ View</v>
      </c>
      <c r="N403" s="6" t="str">
        <f>IFERROR(HYPERLINK("#Companies!A"&amp;MATCH(E403,Companies!$B:$B,0),"→ View"),"—")</f>
        <v>→ View</v>
      </c>
    </row>
    <row r="404" spans="1:14">
      <c r="A404" s="9">
        <f>IF(tblContacts[[#This Row],[First Name]]&lt;&gt;0,ROW()-1,"")</f>
        <v>403</v>
      </c>
      <c r="B404" s="50" t="s">
        <v>779</v>
      </c>
      <c r="C404" s="50" t="s">
        <v>780</v>
      </c>
      <c r="D404" s="10"/>
      <c r="E404" s="10" t="s">
        <v>2110</v>
      </c>
      <c r="F404" s="10" t="s">
        <v>781</v>
      </c>
      <c r="G404" s="10"/>
      <c r="H404" s="10" t="s">
        <v>2824</v>
      </c>
      <c r="I404" s="10" t="s">
        <v>14</v>
      </c>
      <c r="J404" s="10"/>
      <c r="K404" s="7" cm="1">
        <f t="array" ref="K404">IFERROR(LOOKUP(2,1/('Outreach Log'!$C$2:$C$9998=F404),'Outreach Log'!$B$2:$B$9998),"")</f>
        <v>46093</v>
      </c>
      <c r="L404" s="5" t="str">
        <f>IFERROR(INDEX('Outreach Log'!$F:$F,MATCH(TEXT(K404,"YYYY-MM-DD")&amp;F404,'Outreach Log'!$L:$L,0)),"")</f>
        <v>Email</v>
      </c>
      <c r="M404" s="6" t="str">
        <f>IFERROR(HYPERLINK("#'Outreach Log'!A"&amp;MATCH(TEXT(K404,"YYYY-MM-DD")&amp;F404,'Outreach Log'!$L:$L,0),"→ View"),"—")</f>
        <v>→ View</v>
      </c>
      <c r="N404" s="6" t="str">
        <f>IFERROR(HYPERLINK("#Companies!A"&amp;MATCH(E404,Companies!$B:$B,0),"→ View"),"—")</f>
        <v>→ View</v>
      </c>
    </row>
    <row r="405" spans="1:14">
      <c r="A405" s="9">
        <f>IF(tblContacts[[#This Row],[First Name]]&lt;&gt;0,ROW()-1,"")</f>
        <v>404</v>
      </c>
      <c r="B405" s="50" t="s">
        <v>779</v>
      </c>
      <c r="C405" s="50" t="s">
        <v>1998</v>
      </c>
      <c r="D405" s="10" t="s">
        <v>768</v>
      </c>
      <c r="E405" s="10" t="s">
        <v>2124</v>
      </c>
      <c r="F405" s="10" t="s">
        <v>1999</v>
      </c>
      <c r="G405" s="10"/>
      <c r="H405" s="10" t="s">
        <v>2824</v>
      </c>
      <c r="I405" s="10" t="s">
        <v>14</v>
      </c>
      <c r="J405" s="10"/>
      <c r="K405" s="7" cm="1">
        <f t="array" ref="K405">IFERROR(LOOKUP(2,1/('Outreach Log'!$C$2:$C$9998=F405),'Outreach Log'!$B$2:$B$9998),"")</f>
        <v>46093</v>
      </c>
      <c r="L405" s="5" t="str">
        <f>IFERROR(INDEX('Outreach Log'!$F:$F,MATCH(TEXT(K405,"YYYY-MM-DD")&amp;F405,'Outreach Log'!$L:$L,0)),"")</f>
        <v>Email</v>
      </c>
      <c r="M405" s="6" t="str">
        <f>IFERROR(HYPERLINK("#'Outreach Log'!A"&amp;MATCH(TEXT(K405,"YYYY-MM-DD")&amp;F405,'Outreach Log'!$L:$L,0),"→ View"),"—")</f>
        <v>→ View</v>
      </c>
      <c r="N405" s="6" t="str">
        <f>IFERROR(HYPERLINK("#Companies!A"&amp;MATCH(E405,Companies!$B:$B,0),"→ View"),"—")</f>
        <v>→ View</v>
      </c>
    </row>
    <row r="406" spans="1:14">
      <c r="A406" s="9">
        <f>IF(tblContacts[[#This Row],[First Name]]&lt;&gt;0,ROW()-1,"")</f>
        <v>405</v>
      </c>
      <c r="B406" s="50" t="s">
        <v>779</v>
      </c>
      <c r="C406" s="50" t="s">
        <v>2034</v>
      </c>
      <c r="D406" s="10" t="s">
        <v>749</v>
      </c>
      <c r="E406" s="10" t="s">
        <v>2141</v>
      </c>
      <c r="F406" s="10" t="s">
        <v>2035</v>
      </c>
      <c r="G406" s="10"/>
      <c r="H406" s="10" t="s">
        <v>2824</v>
      </c>
      <c r="I406" s="10" t="s">
        <v>14</v>
      </c>
      <c r="J406" s="10"/>
      <c r="K406" s="7" cm="1">
        <f t="array" ref="K406">IFERROR(LOOKUP(2,1/('Outreach Log'!$C$2:$C$9998=F406),'Outreach Log'!$B$2:$B$9998),"")</f>
        <v>46093</v>
      </c>
      <c r="L406" s="5" t="str">
        <f>IFERROR(INDEX('Outreach Log'!$F:$F,MATCH(TEXT(K406,"YYYY-MM-DD")&amp;F406,'Outreach Log'!$L:$L,0)),"")</f>
        <v>Email</v>
      </c>
      <c r="M406" s="6" t="str">
        <f>IFERROR(HYPERLINK("#'Outreach Log'!A"&amp;MATCH(TEXT(K406,"YYYY-MM-DD")&amp;F406,'Outreach Log'!$L:$L,0),"→ View"),"—")</f>
        <v>→ View</v>
      </c>
      <c r="N406" s="6" t="str">
        <f>IFERROR(HYPERLINK("#Companies!A"&amp;MATCH(E406,Companies!$B:$B,0),"→ View"),"—")</f>
        <v>→ View</v>
      </c>
    </row>
    <row r="407" spans="1:14">
      <c r="A407" s="9">
        <f>IF(tblContacts[[#This Row],[First Name]]&lt;&gt;0,ROW()-1,"")</f>
        <v>406</v>
      </c>
      <c r="B407" s="50" t="s">
        <v>784</v>
      </c>
      <c r="C407" s="50" t="s">
        <v>785</v>
      </c>
      <c r="D407" s="10"/>
      <c r="E407" s="10" t="s">
        <v>2143</v>
      </c>
      <c r="F407" s="10" t="s">
        <v>786</v>
      </c>
      <c r="G407" s="10"/>
      <c r="H407" s="10" t="s">
        <v>2824</v>
      </c>
      <c r="I407" s="10" t="s">
        <v>14</v>
      </c>
      <c r="J407" s="10"/>
      <c r="K407" s="7" cm="1">
        <f t="array" ref="K407">IFERROR(LOOKUP(2,1/('Outreach Log'!$C$2:$C$9998=F407),'Outreach Log'!$B$2:$B$9998),"")</f>
        <v>46093</v>
      </c>
      <c r="L407" s="5" t="str">
        <f>IFERROR(INDEX('Outreach Log'!$F:$F,MATCH(TEXT(K407,"YYYY-MM-DD")&amp;F407,'Outreach Log'!$L:$L,0)),"")</f>
        <v>Email</v>
      </c>
      <c r="M407" s="6" t="str">
        <f>IFERROR(HYPERLINK("#'Outreach Log'!A"&amp;MATCH(TEXT(K407,"YYYY-MM-DD")&amp;F407,'Outreach Log'!$L:$L,0),"→ View"),"—")</f>
        <v>→ View</v>
      </c>
      <c r="N407" s="6" t="str">
        <f>IFERROR(HYPERLINK("#Companies!A"&amp;MATCH(E407,Companies!$B:$B,0),"→ View"),"—")</f>
        <v>→ View</v>
      </c>
    </row>
    <row r="408" spans="1:14">
      <c r="A408" s="9">
        <f>IF(tblContacts[[#This Row],[First Name]]&lt;&gt;0,ROW()-1,"")</f>
        <v>407</v>
      </c>
      <c r="B408" s="50" t="s">
        <v>779</v>
      </c>
      <c r="C408" s="50" t="s">
        <v>798</v>
      </c>
      <c r="D408" s="10" t="s">
        <v>768</v>
      </c>
      <c r="E408" s="10" t="s">
        <v>2142</v>
      </c>
      <c r="F408" s="10" t="s">
        <v>2036</v>
      </c>
      <c r="G408" s="10"/>
      <c r="H408" s="10" t="s">
        <v>2824</v>
      </c>
      <c r="I408" s="10" t="s">
        <v>14</v>
      </c>
      <c r="J408" s="10"/>
      <c r="K408" s="7" cm="1">
        <f t="array" ref="K408">IFERROR(LOOKUP(2,1/('Outreach Log'!$C$2:$C$9998=F408),'Outreach Log'!$B$2:$B$9998),"")</f>
        <v>46093</v>
      </c>
      <c r="L408" s="5" t="str">
        <f>IFERROR(INDEX('Outreach Log'!$F:$F,MATCH(TEXT(K408,"YYYY-MM-DD")&amp;F408,'Outreach Log'!$L:$L,0)),"")</f>
        <v>Email</v>
      </c>
      <c r="M408" s="6" t="str">
        <f>IFERROR(HYPERLINK("#'Outreach Log'!A"&amp;MATCH(TEXT(K408,"YYYY-MM-DD")&amp;F408,'Outreach Log'!$L:$L,0),"→ View"),"—")</f>
        <v>→ View</v>
      </c>
      <c r="N408" s="6" t="str">
        <f>IFERROR(HYPERLINK("#Companies!A"&amp;MATCH(E408,Companies!$B:$B,0),"→ View"),"—")</f>
        <v>→ View</v>
      </c>
    </row>
    <row r="409" spans="1:14">
      <c r="A409" s="9">
        <f>IF(tblContacts[[#This Row],[First Name]]&lt;&gt;0,ROW()-1,"")</f>
        <v>408</v>
      </c>
      <c r="B409" s="50" t="s">
        <v>799</v>
      </c>
      <c r="C409" s="50" t="s">
        <v>800</v>
      </c>
      <c r="D409" s="10"/>
      <c r="E409" s="10" t="s">
        <v>2163</v>
      </c>
      <c r="F409" s="10" t="s">
        <v>801</v>
      </c>
      <c r="G409" s="10"/>
      <c r="H409" s="10" t="s">
        <v>2824</v>
      </c>
      <c r="I409" s="10" t="s">
        <v>14</v>
      </c>
      <c r="J409" s="10"/>
      <c r="K409" s="7" cm="1">
        <f t="array" ref="K409">IFERROR(LOOKUP(2,1/('Outreach Log'!$C$2:$C$9998=F409),'Outreach Log'!$B$2:$B$9998),"")</f>
        <v>46093</v>
      </c>
      <c r="L409" s="5" t="str">
        <f>IFERROR(INDEX('Outreach Log'!$F:$F,MATCH(TEXT(K409,"YYYY-MM-DD")&amp;F409,'Outreach Log'!$L:$L,0)),"")</f>
        <v>Email</v>
      </c>
      <c r="M409" s="6" t="str">
        <f>IFERROR(HYPERLINK("#'Outreach Log'!A"&amp;MATCH(TEXT(K409,"YYYY-MM-DD")&amp;F409,'Outreach Log'!$L:$L,0),"→ View"),"—")</f>
        <v>→ View</v>
      </c>
      <c r="N409" s="6" t="str">
        <f>IFERROR(HYPERLINK("#Companies!A"&amp;MATCH(E409,Companies!$B:$B,0),"→ View"),"—")</f>
        <v>→ View</v>
      </c>
    </row>
    <row r="410" spans="1:14">
      <c r="A410" s="9">
        <f>IF(tblContacts[[#This Row],[First Name]]&lt;&gt;0,ROW()-1,"")</f>
        <v>409</v>
      </c>
      <c r="B410" s="50" t="s">
        <v>799</v>
      </c>
      <c r="C410" s="50" t="s">
        <v>804</v>
      </c>
      <c r="D410" s="10"/>
      <c r="E410" s="10" t="s">
        <v>2150</v>
      </c>
      <c r="F410" s="10" t="s">
        <v>805</v>
      </c>
      <c r="G410" s="10"/>
      <c r="H410" s="10" t="s">
        <v>2824</v>
      </c>
      <c r="I410" s="10" t="s">
        <v>14</v>
      </c>
      <c r="J410" s="10"/>
      <c r="K410" s="7" cm="1">
        <f t="array" ref="K410">IFERROR(LOOKUP(2,1/('Outreach Log'!$C$2:$C$9998=F410),'Outreach Log'!$B$2:$B$9998),"")</f>
        <v>46093</v>
      </c>
      <c r="L410" s="5" t="str">
        <f>IFERROR(INDEX('Outreach Log'!$F:$F,MATCH(TEXT(K410,"YYYY-MM-DD")&amp;F410,'Outreach Log'!$L:$L,0)),"")</f>
        <v>Email</v>
      </c>
      <c r="M410" s="6" t="str">
        <f>IFERROR(HYPERLINK("#'Outreach Log'!A"&amp;MATCH(TEXT(K410,"YYYY-MM-DD")&amp;F410,'Outreach Log'!$L:$L,0),"→ View"),"—")</f>
        <v>→ View</v>
      </c>
      <c r="N410" s="6" t="str">
        <f>IFERROR(HYPERLINK("#Companies!A"&amp;MATCH(E410,Companies!$B:$B,0),"→ View"),"—")</f>
        <v>→ View</v>
      </c>
    </row>
    <row r="411" spans="1:14">
      <c r="A411" s="9">
        <f>IF(tblContacts[[#This Row],[First Name]]&lt;&gt;0,ROW()-1,"")</f>
        <v>410</v>
      </c>
      <c r="B411" s="56" t="s">
        <v>799</v>
      </c>
      <c r="C411" s="56" t="s">
        <v>3308</v>
      </c>
      <c r="D411" s="10" t="s">
        <v>1950</v>
      </c>
      <c r="E411" s="10" t="s">
        <v>3122</v>
      </c>
      <c r="F411" s="10" t="s">
        <v>3309</v>
      </c>
      <c r="G411" s="10"/>
      <c r="H411" s="10" t="s">
        <v>2824</v>
      </c>
      <c r="I411" s="44" t="s">
        <v>3363</v>
      </c>
      <c r="K411" s="7" cm="1">
        <f t="array" ref="K411">IFERROR(LOOKUP(2,1/('Outreach Log'!$C$2:$C$9998=F411),'Outreach Log'!$B$2:$B$9998),"")</f>
        <v>46104</v>
      </c>
      <c r="L411" s="5" t="str">
        <f>IFERROR(INDEX('Outreach Log'!$F:$F,MATCH(TEXT(K411,"YYYY-MM-DD")&amp;F411,'Outreach Log'!$L:$L,0)),"")</f>
        <v>Email</v>
      </c>
      <c r="M411" s="6" t="str">
        <f>IFERROR(HYPERLINK("#'Outreach Log'!A"&amp;MATCH(TEXT(K411,"YYYY-MM-DD")&amp;F411,'Outreach Log'!$L:$L,0),"→ View"),"—")</f>
        <v>→ View</v>
      </c>
      <c r="N411" s="6" t="str">
        <f>IFERROR(HYPERLINK("#Companies!A"&amp;MATCH(E411,Companies!$B:$B,0),"→ View"),"—")</f>
        <v>→ View</v>
      </c>
    </row>
    <row r="412" spans="1:14">
      <c r="A412" s="9">
        <f>IF(tblContacts[[#This Row],[First Name]]&lt;&gt;0,ROW()-1,"")</f>
        <v>411</v>
      </c>
      <c r="B412" s="50" t="s">
        <v>3251</v>
      </c>
      <c r="C412" s="50" t="s">
        <v>807</v>
      </c>
      <c r="D412" s="10" t="s">
        <v>3190</v>
      </c>
      <c r="E412" s="10" t="s">
        <v>84</v>
      </c>
      <c r="F412" s="10" t="s">
        <v>808</v>
      </c>
      <c r="G412" s="10" t="s">
        <v>3252</v>
      </c>
      <c r="H412" s="10" t="s">
        <v>2824</v>
      </c>
      <c r="I412" s="44" t="s">
        <v>3363</v>
      </c>
      <c r="K412" s="7" cm="1">
        <f t="array" ref="K412">IFERROR(LOOKUP(2,1/('Outreach Log'!$C$2:$C$9998=F412),'Outreach Log'!$B$2:$B$9998),"")</f>
        <v>46104</v>
      </c>
      <c r="L412" s="5" t="str">
        <f>IFERROR(INDEX('Outreach Log'!$F:$F,MATCH(TEXT(K412,"YYYY-MM-DD")&amp;F412,'Outreach Log'!$L:$L,0)),"")</f>
        <v>Email</v>
      </c>
      <c r="M412" s="6" t="str">
        <f>IFERROR(HYPERLINK("#'Outreach Log'!A"&amp;MATCH(TEXT(K412,"YYYY-MM-DD")&amp;F412,'Outreach Log'!$L:$L,0),"→ View"),"—")</f>
        <v>→ View</v>
      </c>
      <c r="N412" s="6" t="str">
        <f>IFERROR(HYPERLINK("#Companies!A"&amp;MATCH(E412,Companies!$B:$B,0),"→ View"),"—")</f>
        <v>→ View</v>
      </c>
    </row>
    <row r="413" spans="1:14">
      <c r="A413" s="9">
        <f>IF(tblContacts[[#This Row],[First Name]]&lt;&gt;0,ROW()-1,"")</f>
        <v>412</v>
      </c>
      <c r="B413" s="50" t="s">
        <v>2030</v>
      </c>
      <c r="C413" s="50" t="s">
        <v>1989</v>
      </c>
      <c r="D413" s="10" t="s">
        <v>768</v>
      </c>
      <c r="E413" s="10" t="s">
        <v>2139</v>
      </c>
      <c r="F413" s="10" t="s">
        <v>2031</v>
      </c>
      <c r="G413" s="10"/>
      <c r="H413" s="10" t="s">
        <v>2824</v>
      </c>
      <c r="I413" s="10" t="s">
        <v>14</v>
      </c>
      <c r="J413" s="10"/>
      <c r="K413" s="7" cm="1">
        <f t="array" ref="K413">IFERROR(LOOKUP(2,1/('Outreach Log'!$C$2:$C$9998=F413),'Outreach Log'!$B$2:$B$9998),"")</f>
        <v>46093</v>
      </c>
      <c r="L413" s="5" t="str">
        <f>IFERROR(INDEX('Outreach Log'!$F:$F,MATCH(TEXT(K413,"YYYY-MM-DD")&amp;F413,'Outreach Log'!$L:$L,0)),"")</f>
        <v>Email</v>
      </c>
      <c r="M413" s="6" t="str">
        <f>IFERROR(HYPERLINK("#'Outreach Log'!A"&amp;MATCH(TEXT(K413,"YYYY-MM-DD")&amp;F413,'Outreach Log'!$L:$L,0),"→ View"),"—")</f>
        <v>→ View</v>
      </c>
      <c r="N413" s="6" t="str">
        <f>IFERROR(HYPERLINK("#Companies!A"&amp;MATCH(E413,Companies!$B:$B,0),"→ View"),"—")</f>
        <v>→ View</v>
      </c>
    </row>
    <row r="414" spans="1:14">
      <c r="A414" s="9">
        <f>IF(tblContacts[[#This Row],[First Name]]&lt;&gt;0,ROW()-1,"")</f>
        <v>413</v>
      </c>
      <c r="B414" s="50" t="s">
        <v>3335</v>
      </c>
      <c r="C414" s="50" t="s">
        <v>3336</v>
      </c>
      <c r="D414" s="10" t="s">
        <v>3195</v>
      </c>
      <c r="E414" s="10" t="s">
        <v>3151</v>
      </c>
      <c r="F414" s="10" t="s">
        <v>3337</v>
      </c>
      <c r="G414" s="10" t="s">
        <v>3338</v>
      </c>
      <c r="H414" s="10" t="s">
        <v>2824</v>
      </c>
      <c r="I414" s="44" t="s">
        <v>3363</v>
      </c>
      <c r="K414" s="7" cm="1">
        <f t="array" ref="K414">IFERROR(LOOKUP(2,1/('Outreach Log'!$C$2:$C$9998=F414),'Outreach Log'!$B$2:$B$9998),"")</f>
        <v>46104</v>
      </c>
      <c r="L414" s="5" t="str">
        <f>IFERROR(INDEX('Outreach Log'!$F:$F,MATCH(TEXT(K414,"YYYY-MM-DD")&amp;F414,'Outreach Log'!$L:$L,0)),"")</f>
        <v>Email</v>
      </c>
      <c r="M414" s="6" t="str">
        <f>IFERROR(HYPERLINK("#'Outreach Log'!A"&amp;MATCH(TEXT(K414,"YYYY-MM-DD")&amp;F414,'Outreach Log'!$L:$L,0),"→ View"),"—")</f>
        <v>→ View</v>
      </c>
      <c r="N414" s="6" t="str">
        <f>IFERROR(HYPERLINK("#Companies!A"&amp;MATCH(E414,Companies!$B:$B,0),"→ View"),"—")</f>
        <v>→ View</v>
      </c>
    </row>
    <row r="415" spans="1:14">
      <c r="A415" s="9">
        <f>IF(tblContacts[[#This Row],[First Name]]&lt;&gt;0,ROW()-1,"")</f>
        <v>414</v>
      </c>
      <c r="B415" s="50" t="s">
        <v>812</v>
      </c>
      <c r="C415" s="50" t="s">
        <v>813</v>
      </c>
      <c r="D415" s="10"/>
      <c r="E415" s="10" t="s">
        <v>2126</v>
      </c>
      <c r="F415" s="10" t="s">
        <v>814</v>
      </c>
      <c r="G415" s="10"/>
      <c r="H415" s="10" t="s">
        <v>2824</v>
      </c>
      <c r="I415" s="10" t="s">
        <v>14</v>
      </c>
      <c r="J415" s="10"/>
      <c r="K415" s="7" cm="1">
        <f t="array" ref="K415">IFERROR(LOOKUP(2,1/('Outreach Log'!$C$2:$C$9998=F415),'Outreach Log'!$B$2:$B$9998),"")</f>
        <v>46093</v>
      </c>
      <c r="L415" s="5" t="str">
        <f>IFERROR(INDEX('Outreach Log'!$F:$F,MATCH(TEXT(K415,"YYYY-MM-DD")&amp;F415,'Outreach Log'!$L:$L,0)),"")</f>
        <v>Email</v>
      </c>
      <c r="M415" s="6" t="str">
        <f>IFERROR(HYPERLINK("#'Outreach Log'!A"&amp;MATCH(TEXT(K415,"YYYY-MM-DD")&amp;F415,'Outreach Log'!$L:$L,0),"→ View"),"—")</f>
        <v>→ View</v>
      </c>
      <c r="N415" s="6" t="str">
        <f>IFERROR(HYPERLINK("#Companies!A"&amp;MATCH(E415,Companies!$B:$B,0),"→ View"),"—")</f>
        <v>→ View</v>
      </c>
    </row>
    <row r="416" spans="1:14">
      <c r="A416" s="9">
        <f>IF(tblContacts[[#This Row],[First Name]]&lt;&gt;0,ROW()-1,"")</f>
        <v>415</v>
      </c>
      <c r="B416" s="50" t="s">
        <v>835</v>
      </c>
      <c r="C416" s="50" t="s">
        <v>2194</v>
      </c>
      <c r="D416" s="10"/>
      <c r="E416" s="10" t="s">
        <v>2124</v>
      </c>
      <c r="F416" s="10" t="s">
        <v>836</v>
      </c>
      <c r="G416" s="10"/>
      <c r="H416" s="10" t="s">
        <v>2824</v>
      </c>
      <c r="I416" s="10" t="s">
        <v>14</v>
      </c>
      <c r="J416" s="10"/>
      <c r="K416" s="7" cm="1">
        <f t="array" ref="K416">IFERROR(LOOKUP(2,1/('Outreach Log'!$C$2:$C$9998=F416),'Outreach Log'!$B$2:$B$9998),"")</f>
        <v>46093</v>
      </c>
      <c r="L416" s="5" t="str">
        <f>IFERROR(INDEX('Outreach Log'!$F:$F,MATCH(TEXT(K416,"YYYY-MM-DD")&amp;F416,'Outreach Log'!$L:$L,0)),"")</f>
        <v>Email</v>
      </c>
      <c r="M416" s="6" t="str">
        <f>IFERROR(HYPERLINK("#'Outreach Log'!A"&amp;MATCH(TEXT(K416,"YYYY-MM-DD")&amp;F416,'Outreach Log'!$L:$L,0),"→ View"),"—")</f>
        <v>→ View</v>
      </c>
      <c r="N416" s="6" t="str">
        <f>IFERROR(HYPERLINK("#Companies!A"&amp;MATCH(E416,Companies!$B:$B,0),"→ View"),"—")</f>
        <v>→ View</v>
      </c>
    </row>
    <row r="417" spans="1:14">
      <c r="A417" s="9">
        <f>IF(tblContacts[[#This Row],[First Name]]&lt;&gt;0,ROW()-1,"")</f>
        <v>416</v>
      </c>
      <c r="B417" s="50" t="s">
        <v>826</v>
      </c>
      <c r="C417" s="50" t="s">
        <v>839</v>
      </c>
      <c r="D417" s="10"/>
      <c r="E417" s="10" t="s">
        <v>2113</v>
      </c>
      <c r="F417" s="10" t="s">
        <v>840</v>
      </c>
      <c r="G417" s="10"/>
      <c r="H417" s="10" t="s">
        <v>2824</v>
      </c>
      <c r="I417" s="10" t="s">
        <v>14</v>
      </c>
      <c r="J417" s="10"/>
      <c r="K417" s="7" cm="1">
        <f t="array" ref="K417">IFERROR(LOOKUP(2,1/('Outreach Log'!$C$2:$C$9998=F417),'Outreach Log'!$B$2:$B$9998),"")</f>
        <v>46093</v>
      </c>
      <c r="L417" s="5" t="str">
        <f>IFERROR(INDEX('Outreach Log'!$F:$F,MATCH(TEXT(K417,"YYYY-MM-DD")&amp;F417,'Outreach Log'!$L:$L,0)),"")</f>
        <v>Email</v>
      </c>
      <c r="M417" s="6" t="str">
        <f>IFERROR(HYPERLINK("#'Outreach Log'!A"&amp;MATCH(TEXT(K417,"YYYY-MM-DD")&amp;F417,'Outreach Log'!$L:$L,0),"→ View"),"—")</f>
        <v>→ View</v>
      </c>
      <c r="N417" s="6" t="str">
        <f>IFERROR(HYPERLINK("#Companies!A"&amp;MATCH(E417,Companies!$B:$B,0),"→ View"),"—")</f>
        <v>→ View</v>
      </c>
    </row>
    <row r="418" spans="1:14">
      <c r="A418" s="9">
        <f>IF(tblContacts[[#This Row],[First Name]]&lt;&gt;0,ROW()-1,"")</f>
        <v>417</v>
      </c>
      <c r="B418" s="50" t="s">
        <v>857</v>
      </c>
      <c r="C418" s="50" t="s">
        <v>858</v>
      </c>
      <c r="D418" s="10" t="s">
        <v>2202</v>
      </c>
      <c r="E418" s="10" t="s">
        <v>109</v>
      </c>
      <c r="F418" s="10" t="s">
        <v>859</v>
      </c>
      <c r="G418" s="10"/>
      <c r="H418" s="10" t="s">
        <v>2824</v>
      </c>
      <c r="I418" s="10" t="s">
        <v>13</v>
      </c>
      <c r="J418" s="10"/>
      <c r="K418" s="7">
        <f>IFERROR(LOOKUP(2,1/('Outreach Log'!$C$2:$C$9998=F418),'Outreach Log'!$B$2:$B$9998),"")</f>
        <v>46084</v>
      </c>
      <c r="L418" s="5" t="str">
        <f>IFERROR(INDEX('Outreach Log'!$F:$F,MATCH(TEXT(K418,"YYYY-MM-DD")&amp;F418,'Outreach Log'!$L:$L,0)),"")</f>
        <v>Email</v>
      </c>
      <c r="M418" s="6" t="str">
        <f>IFERROR(HYPERLINK("#'Outreach Log'!A"&amp;MATCH(TEXT(K418,"YYYY-MM-DD")&amp;F418,'Outreach Log'!$L:$L,0),"→ View"),"—")</f>
        <v>→ View</v>
      </c>
      <c r="N418" s="6" t="str">
        <f>IFERROR(HYPERLINK("#Companies!A"&amp;MATCH(E418,Companies!$B:$B,0),"→ View"),"—")</f>
        <v>→ View</v>
      </c>
    </row>
    <row r="419" spans="1:14">
      <c r="A419" s="9">
        <f>IF(tblContacts[[#This Row],[First Name]]&lt;&gt;0,ROW()-1,"")</f>
        <v>418</v>
      </c>
      <c r="B419" s="50" t="s">
        <v>860</v>
      </c>
      <c r="C419" s="50" t="s">
        <v>861</v>
      </c>
      <c r="D419" s="10" t="s">
        <v>862</v>
      </c>
      <c r="E419" s="10" t="s">
        <v>111</v>
      </c>
      <c r="F419" s="10" t="s">
        <v>863</v>
      </c>
      <c r="G419" s="10"/>
      <c r="H419" s="10" t="s">
        <v>2824</v>
      </c>
      <c r="I419" s="10" t="s">
        <v>13</v>
      </c>
      <c r="J419" s="10"/>
      <c r="K419" s="7" cm="1">
        <f t="array" ref="K419">IFERROR(LOOKUP(2,1/('Outreach Log'!$C$2:$C$9998=F419),'Outreach Log'!$B$2:$B$9998),"")</f>
        <v>46084</v>
      </c>
      <c r="L419" s="5" t="str">
        <f>IFERROR(INDEX('Outreach Log'!$F:$F,MATCH(TEXT(K419,"YYYY-MM-DD")&amp;F419,'Outreach Log'!$L:$L,0)),"")</f>
        <v>Email</v>
      </c>
      <c r="M419" s="6" t="str">
        <f>IFERROR(HYPERLINK("#'Outreach Log'!A"&amp;MATCH(TEXT(K419,"YYYY-MM-DD")&amp;F419,'Outreach Log'!$L:$L,0),"→ View"),"—")</f>
        <v>→ View</v>
      </c>
      <c r="N419" s="6" t="str">
        <f>IFERROR(HYPERLINK("#Companies!A"&amp;MATCH(E419,Companies!$B:$B,0),"→ View"),"—")</f>
        <v>→ View</v>
      </c>
    </row>
    <row r="420" spans="1:14">
      <c r="A420" s="9">
        <f>IF(tblContacts[[#This Row],[First Name]]&lt;&gt;0,ROW()-1,"")</f>
        <v>419</v>
      </c>
      <c r="B420" s="50" t="s">
        <v>860</v>
      </c>
      <c r="C420" s="50" t="s">
        <v>864</v>
      </c>
      <c r="D420" s="10" t="s">
        <v>768</v>
      </c>
      <c r="E420" s="10" t="s">
        <v>2203</v>
      </c>
      <c r="F420" s="10" t="s">
        <v>865</v>
      </c>
      <c r="G420" s="10" t="s">
        <v>3359</v>
      </c>
      <c r="H420" s="10" t="s">
        <v>2824</v>
      </c>
      <c r="I420" s="10" t="s">
        <v>2171</v>
      </c>
      <c r="J420" s="10"/>
      <c r="K420" s="7" cm="1">
        <f t="array" ref="K420">IFERROR(LOOKUP(2,1/('Outreach Log'!$C$2:$C$9998=F420),'Outreach Log'!$B$2:$B$9998),"")</f>
        <v>46104</v>
      </c>
      <c r="L420" s="5" t="str">
        <f>IFERROR(INDEX('Outreach Log'!$F:$F,MATCH(TEXT(K420,"YYYY-MM-DD")&amp;F420,'Outreach Log'!$L:$L,0)),"")</f>
        <v>Email</v>
      </c>
      <c r="M420" s="6" t="str">
        <f>IFERROR(HYPERLINK("#'Outreach Log'!A"&amp;MATCH(TEXT(K420,"YYYY-MM-DD")&amp;F420,'Outreach Log'!$L:$L,0),"→ View"),"—")</f>
        <v>→ View</v>
      </c>
      <c r="N420" s="6" t="str">
        <f>IFERROR(HYPERLINK("#Companies!A"&amp;MATCH(E420,Companies!$B:$B,0),"→ View"),"—")</f>
        <v>→ View</v>
      </c>
    </row>
    <row r="421" spans="1:14">
      <c r="A421" s="9">
        <f>IF(tblContacts[[#This Row],[First Name]]&lt;&gt;0,ROW()-1,"")</f>
        <v>420</v>
      </c>
      <c r="B421" s="50" t="s">
        <v>866</v>
      </c>
      <c r="C421" s="50" t="s">
        <v>867</v>
      </c>
      <c r="D421" s="10"/>
      <c r="E421" s="10" t="s">
        <v>2138</v>
      </c>
      <c r="F421" s="10" t="s">
        <v>868</v>
      </c>
      <c r="G421" s="10"/>
      <c r="H421" s="10" t="s">
        <v>2824</v>
      </c>
      <c r="I421" s="10" t="s">
        <v>14</v>
      </c>
      <c r="J421" s="10"/>
      <c r="K421" s="7" cm="1">
        <f t="array" ref="K421">IFERROR(LOOKUP(2,1/('Outreach Log'!$C$2:$C$9998=F421),'Outreach Log'!$B$2:$B$9998),"")</f>
        <v>46093</v>
      </c>
      <c r="L421" s="5" t="str">
        <f>IFERROR(INDEX('Outreach Log'!$F:$F,MATCH(TEXT(K421,"YYYY-MM-DD")&amp;F421,'Outreach Log'!$L:$L,0)),"")</f>
        <v>Email</v>
      </c>
      <c r="M421" s="6" t="str">
        <f>IFERROR(HYPERLINK("#'Outreach Log'!A"&amp;MATCH(TEXT(K421,"YYYY-MM-DD")&amp;F421,'Outreach Log'!$L:$L,0),"→ View"),"—")</f>
        <v>→ View</v>
      </c>
      <c r="N421" s="6" t="str">
        <f>IFERROR(HYPERLINK("#Companies!A"&amp;MATCH(E421,Companies!$B:$B,0),"→ View"),"—")</f>
        <v>→ View</v>
      </c>
    </row>
    <row r="422" spans="1:14">
      <c r="A422" s="9">
        <f>IF(tblContacts[[#This Row],[First Name]]&lt;&gt;0,ROW()-1,"")</f>
        <v>421</v>
      </c>
      <c r="B422" s="50" t="s">
        <v>872</v>
      </c>
      <c r="C422" s="50" t="s">
        <v>873</v>
      </c>
      <c r="D422" s="10" t="s">
        <v>1987</v>
      </c>
      <c r="E422" s="10" t="s">
        <v>2204</v>
      </c>
      <c r="F422" s="10" t="s">
        <v>1988</v>
      </c>
      <c r="G422" s="10"/>
      <c r="H422" s="10" t="s">
        <v>2824</v>
      </c>
      <c r="I422" s="10" t="s">
        <v>14</v>
      </c>
      <c r="J422" s="10"/>
      <c r="K422" s="7" cm="1">
        <f t="array" ref="K422">IFERROR(LOOKUP(2,1/('Outreach Log'!$C$2:$C$9998=F422),'Outreach Log'!$B$2:$B$9998),"")</f>
        <v>46093</v>
      </c>
      <c r="L422" s="5" t="str">
        <f>IFERROR(INDEX('Outreach Log'!$F:$F,MATCH(TEXT(K422,"YYYY-MM-DD")&amp;F422,'Outreach Log'!$L:$L,0)),"")</f>
        <v>Email</v>
      </c>
      <c r="M422" s="6" t="str">
        <f>IFERROR(HYPERLINK("#'Outreach Log'!A"&amp;MATCH(TEXT(K422,"YYYY-MM-DD")&amp;F422,'Outreach Log'!$L:$L,0),"→ View"),"—")</f>
        <v>→ View</v>
      </c>
      <c r="N422" s="6" t="str">
        <f>IFERROR(HYPERLINK("#Companies!A"&amp;MATCH(E422,Companies!$B:$B,0),"→ View"),"—")</f>
        <v>→ View</v>
      </c>
    </row>
    <row r="423" spans="1:14">
      <c r="A423" s="9">
        <f>IF(tblContacts[[#This Row],[First Name]]&lt;&gt;0,ROW()-1,"")</f>
        <v>422</v>
      </c>
      <c r="B423" s="50" t="s">
        <v>874</v>
      </c>
      <c r="C423" s="50" t="s">
        <v>2004</v>
      </c>
      <c r="D423" s="10" t="s">
        <v>749</v>
      </c>
      <c r="E423" s="10" t="s">
        <v>2127</v>
      </c>
      <c r="F423" s="10" t="s">
        <v>2005</v>
      </c>
      <c r="G423" s="10"/>
      <c r="H423" s="10" t="s">
        <v>2824</v>
      </c>
      <c r="I423" s="10" t="s">
        <v>14</v>
      </c>
      <c r="J423" s="10"/>
      <c r="K423" s="7" cm="1">
        <f t="array" ref="K423">IFERROR(LOOKUP(2,1/('Outreach Log'!$C$2:$C$9998=F423),'Outreach Log'!$B$2:$B$9998),"")</f>
        <v>46093</v>
      </c>
      <c r="L423" s="5" t="str">
        <f>IFERROR(INDEX('Outreach Log'!$F:$F,MATCH(TEXT(K423,"YYYY-MM-DD")&amp;F423,'Outreach Log'!$L:$L,0)),"")</f>
        <v>Email</v>
      </c>
      <c r="M423" s="6" t="str">
        <f>IFERROR(HYPERLINK("#'Outreach Log'!A"&amp;MATCH(TEXT(K423,"YYYY-MM-DD")&amp;F423,'Outreach Log'!$L:$L,0),"→ View"),"—")</f>
        <v>→ View</v>
      </c>
      <c r="N423" s="6" t="str">
        <f>IFERROR(HYPERLINK("#Companies!A"&amp;MATCH(E423,Companies!$B:$B,0),"→ View"),"—")</f>
        <v>→ View</v>
      </c>
    </row>
    <row r="424" spans="1:14">
      <c r="A424" s="9">
        <f>IF(tblContacts[[#This Row],[First Name]]&lt;&gt;0,ROW()-1,"")</f>
        <v>423</v>
      </c>
      <c r="B424" s="50" t="s">
        <v>877</v>
      </c>
      <c r="C424" s="50" t="s">
        <v>2080</v>
      </c>
      <c r="D424" s="10" t="s">
        <v>862</v>
      </c>
      <c r="E424" s="10" t="s">
        <v>2160</v>
      </c>
      <c r="F424" s="10" t="s">
        <v>2081</v>
      </c>
      <c r="G424" s="10"/>
      <c r="H424" s="10" t="s">
        <v>2824</v>
      </c>
      <c r="I424" s="10" t="s">
        <v>14</v>
      </c>
      <c r="J424" s="10"/>
      <c r="K424" s="7" cm="1">
        <f t="array" ref="K424">IFERROR(LOOKUP(2,1/('Outreach Log'!$C$2:$C$9998=F424),'Outreach Log'!$B$2:$B$9998),"")</f>
        <v>46093</v>
      </c>
      <c r="L424" s="5" t="str">
        <f>IFERROR(INDEX('Outreach Log'!$F:$F,MATCH(TEXT(K424,"YYYY-MM-DD")&amp;F424,'Outreach Log'!$L:$L,0)),"")</f>
        <v>Email</v>
      </c>
      <c r="M424" s="6" t="str">
        <f>IFERROR(HYPERLINK("#'Outreach Log'!A"&amp;MATCH(TEXT(K424,"YYYY-MM-DD")&amp;F424,'Outreach Log'!$L:$L,0),"→ View"),"—")</f>
        <v>→ View</v>
      </c>
      <c r="N424" s="6" t="str">
        <f>IFERROR(HYPERLINK("#Companies!A"&amp;MATCH(E424,Companies!$B:$B,0),"→ View"),"—")</f>
        <v>→ View</v>
      </c>
    </row>
    <row r="425" spans="1:14">
      <c r="A425" s="9">
        <f>IF(tblContacts[[#This Row],[First Name]]&lt;&gt;0,ROW()-1,"")</f>
        <v>424</v>
      </c>
      <c r="B425" s="50" t="s">
        <v>882</v>
      </c>
      <c r="C425" s="50" t="s">
        <v>2021</v>
      </c>
      <c r="D425" s="10" t="s">
        <v>768</v>
      </c>
      <c r="E425" s="10" t="s">
        <v>386</v>
      </c>
      <c r="F425" s="10" t="s">
        <v>2022</v>
      </c>
      <c r="G425" s="10"/>
      <c r="H425" s="10" t="s">
        <v>2824</v>
      </c>
      <c r="I425" s="10" t="s">
        <v>14</v>
      </c>
      <c r="J425" s="10"/>
      <c r="K425" s="7" cm="1">
        <f t="array" ref="K425">IFERROR(LOOKUP(2,1/('Outreach Log'!$C$2:$C$9998=F425),'Outreach Log'!$B$2:$B$9998),"")</f>
        <v>46093</v>
      </c>
      <c r="L425" s="5" t="str">
        <f>IFERROR(INDEX('Outreach Log'!$F:$F,MATCH(TEXT(K425,"YYYY-MM-DD")&amp;F425,'Outreach Log'!$L:$L,0)),"")</f>
        <v>Email</v>
      </c>
      <c r="M425" s="6" t="str">
        <f>IFERROR(HYPERLINK("#'Outreach Log'!A"&amp;MATCH(TEXT(K425,"YYYY-MM-DD")&amp;F425,'Outreach Log'!$L:$L,0),"→ View"),"—")</f>
        <v>→ View</v>
      </c>
      <c r="N425" s="6" t="str">
        <f>IFERROR(HYPERLINK("#Companies!A"&amp;MATCH(E425,Companies!$B:$B,0),"→ View"),"—")</f>
        <v>→ View</v>
      </c>
    </row>
    <row r="426" spans="1:14">
      <c r="A426" s="9">
        <f>IF(tblContacts[[#This Row],[First Name]]&lt;&gt;0,ROW()-1,"")</f>
        <v>425</v>
      </c>
      <c r="B426" s="50" t="s">
        <v>882</v>
      </c>
      <c r="C426" s="50" t="s">
        <v>2083</v>
      </c>
      <c r="D426" s="10" t="s">
        <v>768</v>
      </c>
      <c r="E426" s="10" t="s">
        <v>2162</v>
      </c>
      <c r="F426" s="10" t="s">
        <v>2084</v>
      </c>
      <c r="G426" s="10"/>
      <c r="H426" s="10" t="s">
        <v>2824</v>
      </c>
      <c r="I426" s="10" t="s">
        <v>14</v>
      </c>
      <c r="J426" s="10"/>
      <c r="K426" s="7" cm="1">
        <f t="array" ref="K426">IFERROR(LOOKUP(2,1/('Outreach Log'!$C$2:$C$9998=F426),'Outreach Log'!$B$2:$B$9998),"")</f>
        <v>46093</v>
      </c>
      <c r="L426" s="5" t="str">
        <f>IFERROR(INDEX('Outreach Log'!$F:$F,MATCH(TEXT(K426,"YYYY-MM-DD")&amp;F426,'Outreach Log'!$L:$L,0)),"")</f>
        <v>Email</v>
      </c>
      <c r="M426" s="6" t="str">
        <f>IFERROR(HYPERLINK("#'Outreach Log'!A"&amp;MATCH(TEXT(K426,"YYYY-MM-DD")&amp;F426,'Outreach Log'!$L:$L,0),"→ View"),"—")</f>
        <v>→ View</v>
      </c>
      <c r="N426" s="6" t="str">
        <f>IFERROR(HYPERLINK("#Companies!A"&amp;MATCH(E426,Companies!$B:$B,0),"→ View"),"—")</f>
        <v>→ View</v>
      </c>
    </row>
    <row r="427" spans="1:14">
      <c r="A427" s="9">
        <f>IF(tblContacts[[#This Row],[First Name]]&lt;&gt;0,ROW()-1,"")</f>
        <v>426</v>
      </c>
      <c r="B427" s="50" t="s">
        <v>887</v>
      </c>
      <c r="C427" s="50" t="s">
        <v>888</v>
      </c>
      <c r="D427" s="10" t="s">
        <v>768</v>
      </c>
      <c r="E427" s="10" t="s">
        <v>2204</v>
      </c>
      <c r="F427" s="10" t="s">
        <v>1991</v>
      </c>
      <c r="G427" s="10"/>
      <c r="H427" s="10" t="s">
        <v>2824</v>
      </c>
      <c r="I427" s="10" t="s">
        <v>14</v>
      </c>
      <c r="J427" s="10"/>
      <c r="K427" s="7" cm="1">
        <f t="array" ref="K427">IFERROR(LOOKUP(2,1/('Outreach Log'!$C$2:$C$9998=F427),'Outreach Log'!$B$2:$B$9998),"")</f>
        <v>46093</v>
      </c>
      <c r="L427" s="5" t="str">
        <f>IFERROR(INDEX('Outreach Log'!$F:$F,MATCH(TEXT(K427,"YYYY-MM-DD")&amp;F427,'Outreach Log'!$L:$L,0)),"")</f>
        <v>Email</v>
      </c>
      <c r="M427" s="6" t="str">
        <f>IFERROR(HYPERLINK("#'Outreach Log'!A"&amp;MATCH(TEXT(K427,"YYYY-MM-DD")&amp;F427,'Outreach Log'!$L:$L,0),"→ View"),"—")</f>
        <v>→ View</v>
      </c>
      <c r="N427" s="6" t="str">
        <f>IFERROR(HYPERLINK("#Companies!A"&amp;MATCH(E427,Companies!$B:$B,0),"→ View"),"—")</f>
        <v>→ View</v>
      </c>
    </row>
    <row r="428" spans="1:14">
      <c r="A428" s="9">
        <f>IF(tblContacts[[#This Row],[First Name]]&lt;&gt;0,ROW()-1,"")</f>
        <v>427</v>
      </c>
      <c r="B428" s="50" t="s">
        <v>2061</v>
      </c>
      <c r="C428" s="50" t="s">
        <v>2059</v>
      </c>
      <c r="D428" s="10" t="s">
        <v>1950</v>
      </c>
      <c r="E428" s="10" t="s">
        <v>2150</v>
      </c>
      <c r="F428" s="10" t="s">
        <v>2062</v>
      </c>
      <c r="G428" s="10"/>
      <c r="H428" s="10" t="s">
        <v>2824</v>
      </c>
      <c r="I428" s="10" t="s">
        <v>14</v>
      </c>
      <c r="J428" s="10"/>
      <c r="K428" s="7" cm="1">
        <f t="array" ref="K428">IFERROR(LOOKUP(2,1/('Outreach Log'!$C$2:$C$9998=F428),'Outreach Log'!$B$2:$B$9998),"")</f>
        <v>46093</v>
      </c>
      <c r="L428" s="5" t="str">
        <f>IFERROR(INDEX('Outreach Log'!$F:$F,MATCH(TEXT(K428,"YYYY-MM-DD")&amp;F428,'Outreach Log'!$L:$L,0)),"")</f>
        <v>Email</v>
      </c>
      <c r="M428" s="6" t="str">
        <f>IFERROR(HYPERLINK("#'Outreach Log'!A"&amp;MATCH(TEXT(K428,"YYYY-MM-DD")&amp;F428,'Outreach Log'!$L:$L,0),"→ View"),"—")</f>
        <v>→ View</v>
      </c>
      <c r="N428" s="6" t="str">
        <f>IFERROR(HYPERLINK("#Companies!A"&amp;MATCH(E428,Companies!$B:$B,0),"→ View"),"—")</f>
        <v>→ View</v>
      </c>
    </row>
    <row r="429" spans="1:14">
      <c r="A429" s="9">
        <f>IF(tblContacts[[#This Row],[First Name]]&lt;&gt;0,ROW()-1,"")</f>
        <v>428</v>
      </c>
      <c r="B429" s="50" t="s">
        <v>2087</v>
      </c>
      <c r="C429" s="50" t="s">
        <v>2088</v>
      </c>
      <c r="D429" s="10" t="s">
        <v>749</v>
      </c>
      <c r="E429" s="10" t="s">
        <v>2166</v>
      </c>
      <c r="F429" s="10" t="s">
        <v>2089</v>
      </c>
      <c r="G429" s="10"/>
      <c r="H429" s="10" t="s">
        <v>2824</v>
      </c>
      <c r="I429" s="10" t="s">
        <v>14</v>
      </c>
      <c r="J429" s="10"/>
      <c r="K429" s="7" cm="1">
        <f t="array" ref="K429">IFERROR(LOOKUP(2,1/('Outreach Log'!$C$2:$C$9998=F429),'Outreach Log'!$B$2:$B$9998),"")</f>
        <v>46093</v>
      </c>
      <c r="L429" s="5" t="str">
        <f>IFERROR(INDEX('Outreach Log'!$F:$F,MATCH(TEXT(K429,"YYYY-MM-DD")&amp;F429,'Outreach Log'!$L:$L,0)),"")</f>
        <v>Email</v>
      </c>
      <c r="M429" s="6" t="str">
        <f>IFERROR(HYPERLINK("#'Outreach Log'!A"&amp;MATCH(TEXT(K429,"YYYY-MM-DD")&amp;F429,'Outreach Log'!$L:$L,0),"→ View"),"—")</f>
        <v>→ View</v>
      </c>
      <c r="N429" s="6" t="str">
        <f>IFERROR(HYPERLINK("#Companies!A"&amp;MATCH(E429,Companies!$B:$B,0),"→ View"),"—")</f>
        <v>→ View</v>
      </c>
    </row>
    <row r="430" spans="1:14">
      <c r="A430" s="9">
        <f>IF(tblContacts[[#This Row],[First Name]]&lt;&gt;0,ROW()-1,"")</f>
        <v>429</v>
      </c>
      <c r="B430" s="50" t="s">
        <v>898</v>
      </c>
      <c r="C430" s="50" t="s">
        <v>899</v>
      </c>
      <c r="D430" s="10" t="s">
        <v>900</v>
      </c>
      <c r="E430" s="10" t="s">
        <v>134</v>
      </c>
      <c r="F430" s="10" t="s">
        <v>901</v>
      </c>
      <c r="G430" s="10"/>
      <c r="H430" s="10" t="s">
        <v>2824</v>
      </c>
      <c r="I430" s="10" t="s">
        <v>13</v>
      </c>
      <c r="J430" s="10"/>
      <c r="K430" s="7" cm="1">
        <f t="array" ref="K430">IFERROR(LOOKUP(2,1/('Outreach Log'!$C$2:$C$9998=F430),'Outreach Log'!$B$2:$B$9998),"")</f>
        <v>46084</v>
      </c>
      <c r="L430" s="5" t="str">
        <f>IFERROR(INDEX('Outreach Log'!$F:$F,MATCH(TEXT(K430,"YYYY-MM-DD")&amp;F430,'Outreach Log'!$L:$L,0)),"")</f>
        <v>Email</v>
      </c>
      <c r="M430" s="6" t="str">
        <f>IFERROR(HYPERLINK("#'Outreach Log'!A"&amp;MATCH(TEXT(K430,"YYYY-MM-DD")&amp;F430,'Outreach Log'!$L:$L,0),"→ View"),"—")</f>
        <v>→ View</v>
      </c>
      <c r="N430" s="6" t="str">
        <f>IFERROR(HYPERLINK("#Companies!A"&amp;MATCH(E430,Companies!$B:$B,0),"→ View"),"—")</f>
        <v>→ View</v>
      </c>
    </row>
    <row r="431" spans="1:14">
      <c r="A431" s="9">
        <f>IF(tblContacts[[#This Row],[First Name]]&lt;&gt;0,ROW()-1,"")</f>
        <v>430</v>
      </c>
      <c r="B431" s="50" t="s">
        <v>907</v>
      </c>
      <c r="C431" s="50" t="s">
        <v>908</v>
      </c>
      <c r="D431" s="10"/>
      <c r="E431" s="10" t="s">
        <v>2161</v>
      </c>
      <c r="F431" s="10" t="s">
        <v>909</v>
      </c>
      <c r="G431" s="10"/>
      <c r="H431" s="10" t="s">
        <v>2824</v>
      </c>
      <c r="I431" s="10" t="s">
        <v>14</v>
      </c>
      <c r="J431" s="10"/>
      <c r="K431" s="7" cm="1">
        <f t="array" ref="K431">IFERROR(LOOKUP(2,1/('Outreach Log'!$C$2:$C$9998=F431),'Outreach Log'!$B$2:$B$9998),"")</f>
        <v>46093</v>
      </c>
      <c r="L431" s="5" t="str">
        <f>IFERROR(INDEX('Outreach Log'!$F:$F,MATCH(TEXT(K431,"YYYY-MM-DD")&amp;F431,'Outreach Log'!$L:$L,0)),"")</f>
        <v>Email</v>
      </c>
      <c r="M431" s="6" t="str">
        <f>IFERROR(HYPERLINK("#'Outreach Log'!A"&amp;MATCH(TEXT(K431,"YYYY-MM-DD")&amp;F431,'Outreach Log'!$L:$L,0),"→ View"),"—")</f>
        <v>→ View</v>
      </c>
      <c r="N431" s="6" t="str">
        <f>IFERROR(HYPERLINK("#Companies!A"&amp;MATCH(E431,Companies!$B:$B,0),"→ View"),"—")</f>
        <v>→ View</v>
      </c>
    </row>
    <row r="432" spans="1:14">
      <c r="A432" s="9">
        <f>IF(tblContacts[[#This Row],[First Name]]&lt;&gt;0,ROW()-1,"")</f>
        <v>431</v>
      </c>
      <c r="B432" s="50" t="s">
        <v>917</v>
      </c>
      <c r="C432" s="50" t="s">
        <v>2211</v>
      </c>
      <c r="D432" s="10"/>
      <c r="E432" s="10" t="s">
        <v>2108</v>
      </c>
      <c r="F432" s="10" t="s">
        <v>918</v>
      </c>
      <c r="G432" s="10"/>
      <c r="H432" s="10" t="s">
        <v>2824</v>
      </c>
      <c r="I432" s="10" t="s">
        <v>14</v>
      </c>
      <c r="J432" s="10"/>
      <c r="K432" s="7" cm="1">
        <f t="array" ref="K432">IFERROR(LOOKUP(2,1/('Outreach Log'!$C$2:$C$9998=F432),'Outreach Log'!$B$2:$B$9998),"")</f>
        <v>46093</v>
      </c>
      <c r="L432" s="5" t="str">
        <f>IFERROR(INDEX('Outreach Log'!$F:$F,MATCH(TEXT(K432,"YYYY-MM-DD")&amp;F432,'Outreach Log'!$L:$L,0)),"")</f>
        <v>Email</v>
      </c>
      <c r="M432" s="6" t="str">
        <f>IFERROR(HYPERLINK("#'Outreach Log'!A"&amp;MATCH(TEXT(K432,"YYYY-MM-DD")&amp;F432,'Outreach Log'!$L:$L,0),"→ View"),"—")</f>
        <v>→ View</v>
      </c>
      <c r="N432" s="6" t="str">
        <f>IFERROR(HYPERLINK("#Companies!A"&amp;MATCH(E432,Companies!$B:$B,0),"→ View"),"—")</f>
        <v>→ View</v>
      </c>
    </row>
    <row r="433" spans="1:14">
      <c r="A433" s="9">
        <f>IF(tblContacts[[#This Row],[First Name]]&lt;&gt;0,ROW()-1,"")</f>
        <v>432</v>
      </c>
      <c r="B433" s="50" t="s">
        <v>919</v>
      </c>
      <c r="C433" s="50" t="s">
        <v>920</v>
      </c>
      <c r="D433" s="10"/>
      <c r="E433" s="10" t="s">
        <v>148</v>
      </c>
      <c r="F433" s="10" t="s">
        <v>921</v>
      </c>
      <c r="G433" s="10"/>
      <c r="H433" s="10" t="s">
        <v>2824</v>
      </c>
      <c r="I433" s="10" t="s">
        <v>13</v>
      </c>
      <c r="J433" s="10"/>
      <c r="K433" s="7" cm="1">
        <f t="array" ref="K433">IFERROR(LOOKUP(2,1/('Outreach Log'!$C$2:$C$9998=F433),'Outreach Log'!$B$2:$B$9998),"")</f>
        <v>46084</v>
      </c>
      <c r="L433" s="5" t="str">
        <f>IFERROR(INDEX('Outreach Log'!$F:$F,MATCH(TEXT(K433,"YYYY-MM-DD")&amp;F433,'Outreach Log'!$L:$L,0)),"")</f>
        <v>Email</v>
      </c>
      <c r="M433" s="6" t="str">
        <f>IFERROR(HYPERLINK("#'Outreach Log'!A"&amp;MATCH(TEXT(K433,"YYYY-MM-DD")&amp;F433,'Outreach Log'!$L:$L,0),"→ View"),"—")</f>
        <v>→ View</v>
      </c>
      <c r="N433" s="6" t="str">
        <f>IFERROR(HYPERLINK("#Companies!A"&amp;MATCH(E433,Companies!$B:$B,0),"→ View"),"—")</f>
        <v>→ View</v>
      </c>
    </row>
    <row r="434" spans="1:14">
      <c r="A434" s="9">
        <f>IF(tblContacts[[#This Row],[First Name]]&lt;&gt;0,ROW()-1,"")</f>
        <v>433</v>
      </c>
      <c r="B434" s="50" t="s">
        <v>3229</v>
      </c>
      <c r="C434" s="50" t="s">
        <v>3230</v>
      </c>
      <c r="D434" s="10" t="s">
        <v>3231</v>
      </c>
      <c r="E434" s="10" t="s">
        <v>3040</v>
      </c>
      <c r="F434" s="10" t="s">
        <v>3232</v>
      </c>
      <c r="G434" s="10"/>
      <c r="H434" s="10" t="s">
        <v>2824</v>
      </c>
      <c r="I434" s="44" t="s">
        <v>3363</v>
      </c>
      <c r="K434" s="7" cm="1">
        <f t="array" ref="K434">IFERROR(LOOKUP(2,1/('Outreach Log'!$C$2:$C$9998=F434),'Outreach Log'!$B$2:$B$9998),"")</f>
        <v>46104</v>
      </c>
      <c r="L434" s="5" t="str">
        <f>IFERROR(INDEX('Outreach Log'!$F:$F,MATCH(TEXT(K434,"YYYY-MM-DD")&amp;F434,'Outreach Log'!$L:$L,0)),"")</f>
        <v>Email</v>
      </c>
      <c r="M434" s="6" t="str">
        <f>IFERROR(HYPERLINK("#'Outreach Log'!A"&amp;MATCH(TEXT(K434,"YYYY-MM-DD")&amp;F434,'Outreach Log'!$L:$L,0),"→ View"),"—")</f>
        <v>→ View</v>
      </c>
      <c r="N434" s="6" t="str">
        <f>IFERROR(HYPERLINK("#Companies!A"&amp;MATCH(E434,Companies!$B:$B,0),"→ View"),"—")</f>
        <v>→ View</v>
      </c>
    </row>
    <row r="435" spans="1:14">
      <c r="A435" s="9">
        <f>IF(tblContacts[[#This Row],[First Name]]&lt;&gt;0,ROW()-1,"")</f>
        <v>434</v>
      </c>
      <c r="B435" s="50" t="s">
        <v>926</v>
      </c>
      <c r="C435" s="50" t="s">
        <v>929</v>
      </c>
      <c r="D435" s="10"/>
      <c r="E435" s="10" t="s">
        <v>2130</v>
      </c>
      <c r="F435" s="10" t="s">
        <v>930</v>
      </c>
      <c r="G435" s="10"/>
      <c r="H435" s="10" t="s">
        <v>2824</v>
      </c>
      <c r="I435" s="10" t="s">
        <v>14</v>
      </c>
      <c r="J435" s="10"/>
      <c r="K435" s="7" cm="1">
        <f t="array" ref="K435">IFERROR(LOOKUP(2,1/('Outreach Log'!$C$2:$C$9998=F435),'Outreach Log'!$B$2:$B$9998),"")</f>
        <v>46093</v>
      </c>
      <c r="L435" s="5" t="str">
        <f>IFERROR(INDEX('Outreach Log'!$F:$F,MATCH(TEXT(K435,"YYYY-MM-DD")&amp;F435,'Outreach Log'!$L:$L,0)),"")</f>
        <v>Email</v>
      </c>
      <c r="M435" s="6" t="str">
        <f>IFERROR(HYPERLINK("#'Outreach Log'!A"&amp;MATCH(TEXT(K435,"YYYY-MM-DD")&amp;F435,'Outreach Log'!$L:$L,0),"→ View"),"—")</f>
        <v>→ View</v>
      </c>
      <c r="N435" s="6" t="str">
        <f>IFERROR(HYPERLINK("#Companies!A"&amp;MATCH(E435,Companies!$B:$B,0),"→ View"),"—")</f>
        <v>→ View</v>
      </c>
    </row>
    <row r="436" spans="1:14">
      <c r="A436" s="9">
        <f>IF(tblContacts[[#This Row],[First Name]]&lt;&gt;0,ROW()-1,"")</f>
        <v>435</v>
      </c>
      <c r="B436" s="50" t="s">
        <v>935</v>
      </c>
      <c r="C436" s="50" t="s">
        <v>936</v>
      </c>
      <c r="D436" s="10" t="s">
        <v>862</v>
      </c>
      <c r="E436" s="10" t="s">
        <v>157</v>
      </c>
      <c r="F436" s="10" t="s">
        <v>937</v>
      </c>
      <c r="G436" s="10"/>
      <c r="H436" s="10" t="s">
        <v>2824</v>
      </c>
      <c r="I436" s="10" t="s">
        <v>13</v>
      </c>
      <c r="J436" s="10"/>
      <c r="K436" s="7" cm="1">
        <f t="array" ref="K436">IFERROR(LOOKUP(2,1/('Outreach Log'!$C$2:$C$9998=F436),'Outreach Log'!$B$2:$B$9998),"")</f>
        <v>46084</v>
      </c>
      <c r="L436" s="5" t="str">
        <f>IFERROR(INDEX('Outreach Log'!$F:$F,MATCH(TEXT(K436,"YYYY-MM-DD")&amp;F436,'Outreach Log'!$L:$L,0)),"")</f>
        <v>Email</v>
      </c>
      <c r="M436" s="6" t="str">
        <f>IFERROR(HYPERLINK("#'Outreach Log'!A"&amp;MATCH(TEXT(K436,"YYYY-MM-DD")&amp;F436,'Outreach Log'!$L:$L,0),"→ View"),"—")</f>
        <v>→ View</v>
      </c>
      <c r="N436" s="6" t="str">
        <f>IFERROR(HYPERLINK("#Companies!A"&amp;MATCH(E436,Companies!$B:$B,0),"→ View"),"—")</f>
        <v>→ View</v>
      </c>
    </row>
    <row r="437" spans="1:14">
      <c r="A437" s="9">
        <f>IF(tblContacts[[#This Row],[First Name]]&lt;&gt;0,ROW()-1,"")</f>
        <v>436</v>
      </c>
      <c r="B437" s="50" t="s">
        <v>938</v>
      </c>
      <c r="C437" s="50" t="s">
        <v>1833</v>
      </c>
      <c r="D437" s="10" t="s">
        <v>749</v>
      </c>
      <c r="E437" s="10" t="s">
        <v>2271</v>
      </c>
      <c r="F437" s="10" t="s">
        <v>2073</v>
      </c>
      <c r="G437" s="10"/>
      <c r="H437" s="10" t="s">
        <v>2824</v>
      </c>
      <c r="I437" s="10" t="s">
        <v>14</v>
      </c>
      <c r="J437" s="10"/>
      <c r="K437" s="7" cm="1">
        <f t="array" ref="K437">IFERROR(LOOKUP(2,1/('Outreach Log'!$C$2:$C$9998=F437),'Outreach Log'!$B$2:$B$9998),"")</f>
        <v>46093</v>
      </c>
      <c r="L437" s="5" t="str">
        <f>IFERROR(INDEX('Outreach Log'!$F:$F,MATCH(TEXT(K437,"YYYY-MM-DD")&amp;F437,'Outreach Log'!$L:$L,0)),"")</f>
        <v>Email</v>
      </c>
      <c r="M437" s="6" t="str">
        <f>IFERROR(HYPERLINK("#'Outreach Log'!A"&amp;MATCH(TEXT(K437,"YYYY-MM-DD")&amp;F437,'Outreach Log'!$L:$L,0),"→ View"),"—")</f>
        <v>→ View</v>
      </c>
      <c r="N437" s="6" t="str">
        <f>IFERROR(HYPERLINK("#Companies!A"&amp;MATCH(E437,Companies!$B:$B,0),"→ View"),"—")</f>
        <v>→ View</v>
      </c>
    </row>
    <row r="438" spans="1:14">
      <c r="A438" s="9">
        <f>IF(tblContacts[[#This Row],[First Name]]&lt;&gt;0,ROW()-1,"")</f>
        <v>437</v>
      </c>
      <c r="B438" s="50" t="s">
        <v>938</v>
      </c>
      <c r="C438" s="50" t="s">
        <v>2048</v>
      </c>
      <c r="D438" s="10" t="s">
        <v>768</v>
      </c>
      <c r="E438" s="10" t="s">
        <v>2147</v>
      </c>
      <c r="F438" s="10" t="s">
        <v>2049</v>
      </c>
      <c r="G438" s="10"/>
      <c r="H438" s="10" t="s">
        <v>2824</v>
      </c>
      <c r="I438" s="10" t="s">
        <v>14</v>
      </c>
      <c r="J438" s="10"/>
      <c r="K438" s="7" cm="1">
        <f t="array" ref="K438">IFERROR(LOOKUP(2,1/('Outreach Log'!$C$2:$C$9998=F438),'Outreach Log'!$B$2:$B$9998),"")</f>
        <v>46093</v>
      </c>
      <c r="L438" s="5" t="str">
        <f>IFERROR(INDEX('Outreach Log'!$F:$F,MATCH(TEXT(K438,"YYYY-MM-DD")&amp;F438,'Outreach Log'!$L:$L,0)),"")</f>
        <v>Email</v>
      </c>
      <c r="M438" s="6" t="str">
        <f>IFERROR(HYPERLINK("#'Outreach Log'!A"&amp;MATCH(TEXT(K438,"YYYY-MM-DD")&amp;F438,'Outreach Log'!$L:$L,0),"→ View"),"—")</f>
        <v>→ View</v>
      </c>
      <c r="N438" s="6" t="str">
        <f>IFERROR(HYPERLINK("#Companies!A"&amp;MATCH(E438,Companies!$B:$B,0),"→ View"),"—")</f>
        <v>→ View</v>
      </c>
    </row>
    <row r="439" spans="1:14">
      <c r="A439" s="9">
        <f>IF(tblContacts[[#This Row],[First Name]]&lt;&gt;0,ROW()-1,"")</f>
        <v>438</v>
      </c>
      <c r="B439" s="50" t="s">
        <v>938</v>
      </c>
      <c r="C439" s="50" t="s">
        <v>939</v>
      </c>
      <c r="D439" s="10"/>
      <c r="E439" s="10" t="s">
        <v>2119</v>
      </c>
      <c r="F439" s="10" t="s">
        <v>940</v>
      </c>
      <c r="G439" s="10"/>
      <c r="H439" s="10" t="s">
        <v>2824</v>
      </c>
      <c r="I439" s="10" t="s">
        <v>14</v>
      </c>
      <c r="J439" s="10"/>
      <c r="K439" s="7" cm="1">
        <f t="array" ref="K439">IFERROR(LOOKUP(2,1/('Outreach Log'!$C$2:$C$9998=F439),'Outreach Log'!$B$2:$B$9998),"")</f>
        <v>46093</v>
      </c>
      <c r="L439" s="5" t="str">
        <f>IFERROR(INDEX('Outreach Log'!$F:$F,MATCH(TEXT(K439,"YYYY-MM-DD")&amp;F439,'Outreach Log'!$L:$L,0)),"")</f>
        <v>Email</v>
      </c>
      <c r="M439" s="6" t="str">
        <f>IFERROR(HYPERLINK("#'Outreach Log'!A"&amp;MATCH(TEXT(K439,"YYYY-MM-DD")&amp;F439,'Outreach Log'!$L:$L,0),"→ View"),"—")</f>
        <v>→ View</v>
      </c>
      <c r="N439" s="6" t="str">
        <f>IFERROR(HYPERLINK("#Companies!A"&amp;MATCH(E439,Companies!$B:$B,0),"→ View"),"—")</f>
        <v>→ View</v>
      </c>
    </row>
    <row r="440" spans="1:14">
      <c r="A440" s="9">
        <f>IF(tblContacts[[#This Row],[First Name]]&lt;&gt;0,ROW()-1,"")</f>
        <v>439</v>
      </c>
      <c r="B440" s="50" t="s">
        <v>938</v>
      </c>
      <c r="C440" s="50" t="s">
        <v>946</v>
      </c>
      <c r="D440" s="10"/>
      <c r="E440" s="10" t="s">
        <v>2122</v>
      </c>
      <c r="F440" s="10" t="s">
        <v>947</v>
      </c>
      <c r="G440" s="10"/>
      <c r="H440" s="10" t="s">
        <v>2824</v>
      </c>
      <c r="I440" s="10" t="s">
        <v>14</v>
      </c>
      <c r="J440" s="10"/>
      <c r="K440" s="7" cm="1">
        <f t="array" ref="K440">IFERROR(LOOKUP(2,1/('Outreach Log'!$C$2:$C$9998=F440),'Outreach Log'!$B$2:$B$9998),"")</f>
        <v>46093</v>
      </c>
      <c r="L440" s="5" t="str">
        <f>IFERROR(INDEX('Outreach Log'!$F:$F,MATCH(TEXT(K440,"YYYY-MM-DD")&amp;F440,'Outreach Log'!$L:$L,0)),"")</f>
        <v>Email</v>
      </c>
      <c r="M440" s="6" t="str">
        <f>IFERROR(HYPERLINK("#'Outreach Log'!A"&amp;MATCH(TEXT(K440,"YYYY-MM-DD")&amp;F440,'Outreach Log'!$L:$L,0),"→ View"),"—")</f>
        <v>→ View</v>
      </c>
      <c r="N440" s="6" t="str">
        <f>IFERROR(HYPERLINK("#Companies!A"&amp;MATCH(E440,Companies!$B:$B,0),"→ View"),"—")</f>
        <v>→ View</v>
      </c>
    </row>
    <row r="441" spans="1:14">
      <c r="A441" s="9">
        <f>IF(tblContacts[[#This Row],[First Name]]&lt;&gt;0,ROW()-1,"")</f>
        <v>440</v>
      </c>
      <c r="B441" s="57" t="s">
        <v>2810</v>
      </c>
      <c r="C441" s="57" t="s">
        <v>2811</v>
      </c>
      <c r="E441" s="44" t="s">
        <v>351</v>
      </c>
      <c r="F441" s="31" t="s">
        <v>2809</v>
      </c>
      <c r="H441" s="10" t="s">
        <v>2824</v>
      </c>
      <c r="I441" s="44" t="s">
        <v>9</v>
      </c>
      <c r="K441" s="7" cm="1">
        <f t="array" ref="K441">IFERROR(LOOKUP(2,1/('Outreach Log'!$C$2:$C$9998=F441),'Outreach Log'!$B$2:$B$9998),"")</f>
        <v>46096</v>
      </c>
      <c r="L441" s="5" t="str">
        <f>IFERROR(INDEX('Outreach Log'!$F:$F,MATCH(TEXT(K441,"YYYY-MM-DD")&amp;F441,'Outreach Log'!$L:$L,0)),"")</f>
        <v>Email</v>
      </c>
      <c r="M441" s="6" t="str">
        <f>IFERROR(HYPERLINK("#'Outreach Log'!A"&amp;MATCH(TEXT(K441,"YYYY-MM-DD")&amp;F441,'Outreach Log'!$L:$L,0),"→ View"),"—")</f>
        <v>→ View</v>
      </c>
      <c r="N441" s="6" t="str">
        <f>IFERROR(HYPERLINK("#Companies!A"&amp;MATCH(E441,Companies!$B:$B,0),"→ View"),"—")</f>
        <v>→ View</v>
      </c>
    </row>
    <row r="442" spans="1:14">
      <c r="A442" s="9">
        <f>IF(tblContacts[[#This Row],[First Name]]&lt;&gt;0,ROW()-1,"")</f>
        <v>441</v>
      </c>
      <c r="B442" s="50" t="s">
        <v>960</v>
      </c>
      <c r="C442" s="50" t="s">
        <v>837</v>
      </c>
      <c r="D442" s="10" t="s">
        <v>961</v>
      </c>
      <c r="E442" s="10" t="s">
        <v>171</v>
      </c>
      <c r="F442" s="10" t="s">
        <v>962</v>
      </c>
      <c r="G442" s="10"/>
      <c r="H442" s="10" t="s">
        <v>2824</v>
      </c>
      <c r="I442" s="10" t="s">
        <v>13</v>
      </c>
      <c r="J442" s="10"/>
      <c r="K442" s="7" cm="1">
        <f t="array" ref="K442">IFERROR(LOOKUP(2,1/('Outreach Log'!$C$2:$C$9998=F442),'Outreach Log'!$B$2:$B$9998),"")</f>
        <v>46084</v>
      </c>
      <c r="L442" s="5" t="str">
        <f>IFERROR(INDEX('Outreach Log'!$F:$F,MATCH(TEXT(K442,"YYYY-MM-DD")&amp;F442,'Outreach Log'!$L:$L,0)),"")</f>
        <v>Email</v>
      </c>
      <c r="M442" s="6" t="str">
        <f>IFERROR(HYPERLINK("#'Outreach Log'!A"&amp;MATCH(TEXT(K442,"YYYY-MM-DD")&amp;F442,'Outreach Log'!$L:$L,0),"→ View"),"—")</f>
        <v>→ View</v>
      </c>
      <c r="N442" s="6" t="str">
        <f>IFERROR(HYPERLINK("#Companies!A"&amp;MATCH(E442,Companies!$B:$B,0),"→ View"),"—")</f>
        <v>→ View</v>
      </c>
    </row>
    <row r="443" spans="1:14">
      <c r="A443" s="9">
        <f>IF(tblContacts[[#This Row],[First Name]]&lt;&gt;0,ROW()-1,"")</f>
        <v>442</v>
      </c>
      <c r="B443" s="50" t="s">
        <v>2055</v>
      </c>
      <c r="C443" s="50" t="s">
        <v>1514</v>
      </c>
      <c r="D443" s="10" t="s">
        <v>749</v>
      </c>
      <c r="E443" s="10" t="s">
        <v>2149</v>
      </c>
      <c r="F443" s="10" t="s">
        <v>2056</v>
      </c>
      <c r="G443" s="10"/>
      <c r="H443" s="10" t="s">
        <v>2824</v>
      </c>
      <c r="I443" s="10" t="s">
        <v>14</v>
      </c>
      <c r="J443" s="10"/>
      <c r="K443" s="7" cm="1">
        <f t="array" ref="K443">IFERROR(LOOKUP(2,1/('Outreach Log'!$C$2:$C$9998=F443),'Outreach Log'!$B$2:$B$9998),"")</f>
        <v>46093</v>
      </c>
      <c r="L443" s="5" t="str">
        <f>IFERROR(INDEX('Outreach Log'!$F:$F,MATCH(TEXT(K443,"YYYY-MM-DD")&amp;F443,'Outreach Log'!$L:$L,0)),"")</f>
        <v>Email</v>
      </c>
      <c r="M443" s="6" t="str">
        <f>IFERROR(HYPERLINK("#'Outreach Log'!A"&amp;MATCH(TEXT(K443,"YYYY-MM-DD")&amp;F443,'Outreach Log'!$L:$L,0),"→ View"),"—")</f>
        <v>→ View</v>
      </c>
      <c r="N443" s="6" t="str">
        <f>IFERROR(HYPERLINK("#Companies!A"&amp;MATCH(E443,Companies!$B:$B,0),"→ View"),"—")</f>
        <v>→ View</v>
      </c>
    </row>
    <row r="444" spans="1:14">
      <c r="A444" s="9">
        <f>IF(tblContacts[[#This Row],[First Name]]&lt;&gt;0,ROW()-1,"")</f>
        <v>443</v>
      </c>
      <c r="B444" s="50" t="s">
        <v>968</v>
      </c>
      <c r="C444" s="50" t="s">
        <v>969</v>
      </c>
      <c r="D444" s="10"/>
      <c r="E444" s="10" t="s">
        <v>2157</v>
      </c>
      <c r="F444" s="10" t="s">
        <v>970</v>
      </c>
      <c r="G444" s="10"/>
      <c r="H444" s="10" t="s">
        <v>2824</v>
      </c>
      <c r="I444" s="10" t="s">
        <v>14</v>
      </c>
      <c r="J444" s="10"/>
      <c r="K444" s="7" cm="1">
        <f t="array" ref="K444">IFERROR(LOOKUP(2,1/('Outreach Log'!$C$2:$C$9998=F444),'Outreach Log'!$B$2:$B$9998),"")</f>
        <v>46093</v>
      </c>
      <c r="L444" s="5" t="str">
        <f>IFERROR(INDEX('Outreach Log'!$F:$F,MATCH(TEXT(K444,"YYYY-MM-DD")&amp;F444,'Outreach Log'!$L:$L,0)),"")</f>
        <v>Email</v>
      </c>
      <c r="M444" s="6" t="str">
        <f>IFERROR(HYPERLINK("#'Outreach Log'!A"&amp;MATCH(TEXT(K444,"YYYY-MM-DD")&amp;F444,'Outreach Log'!$L:$L,0),"→ View"),"—")</f>
        <v>→ View</v>
      </c>
      <c r="N444" s="6" t="str">
        <f>IFERROR(HYPERLINK("#Companies!A"&amp;MATCH(E444,Companies!$B:$B,0),"→ View"),"—")</f>
        <v>→ View</v>
      </c>
    </row>
    <row r="445" spans="1:14">
      <c r="A445" s="9">
        <f>IF(tblContacts[[#This Row],[First Name]]&lt;&gt;0,ROW()-1,"")</f>
        <v>444</v>
      </c>
      <c r="B445" s="50" t="s">
        <v>971</v>
      </c>
      <c r="C445" s="50" t="s">
        <v>972</v>
      </c>
      <c r="D445" s="10"/>
      <c r="E445" s="10" t="s">
        <v>178</v>
      </c>
      <c r="F445" s="10" t="s">
        <v>973</v>
      </c>
      <c r="G445" s="10"/>
      <c r="H445" s="10" t="s">
        <v>2824</v>
      </c>
      <c r="I445" s="10" t="s">
        <v>13</v>
      </c>
      <c r="J445" s="10"/>
      <c r="K445" s="7" cm="1">
        <f t="array" ref="K445">IFERROR(LOOKUP(2,1/('Outreach Log'!$C$2:$C$9998=F445),'Outreach Log'!$B$2:$B$9998),"")</f>
        <v>46084</v>
      </c>
      <c r="L445" s="5" t="str">
        <f>IFERROR(INDEX('Outreach Log'!$F:$F,MATCH(TEXT(K445,"YYYY-MM-DD")&amp;F445,'Outreach Log'!$L:$L,0)),"")</f>
        <v>Email</v>
      </c>
      <c r="M445" s="6" t="str">
        <f>IFERROR(HYPERLINK("#'Outreach Log'!A"&amp;MATCH(TEXT(K445,"YYYY-MM-DD")&amp;F445,'Outreach Log'!$L:$L,0),"→ View"),"—")</f>
        <v>→ View</v>
      </c>
      <c r="N445" s="6" t="str">
        <f>IFERROR(HYPERLINK("#Companies!A"&amp;MATCH(E445,Companies!$B:$B,0),"→ View"),"—")</f>
        <v>→ View</v>
      </c>
    </row>
    <row r="446" spans="1:14">
      <c r="A446" s="9">
        <f>IF(tblContacts[[#This Row],[First Name]]&lt;&gt;0,ROW()-1,"")</f>
        <v>445</v>
      </c>
      <c r="B446" s="50" t="s">
        <v>977</v>
      </c>
      <c r="C446" s="50" t="s">
        <v>980</v>
      </c>
      <c r="D446" s="10" t="s">
        <v>862</v>
      </c>
      <c r="E446" s="10" t="s">
        <v>2222</v>
      </c>
      <c r="F446" s="10" t="s">
        <v>981</v>
      </c>
      <c r="G446" s="10" t="s">
        <v>3295</v>
      </c>
      <c r="H446" s="10" t="s">
        <v>2824</v>
      </c>
      <c r="I446" s="44" t="s">
        <v>3363</v>
      </c>
      <c r="K446" s="7" cm="1">
        <f t="array" ref="K446">IFERROR(LOOKUP(2,1/('Outreach Log'!$C$2:$C$9998=F446),'Outreach Log'!$B$2:$B$9998),"")</f>
        <v>46104</v>
      </c>
      <c r="L446" s="5" t="str">
        <f>IFERROR(INDEX('Outreach Log'!$F:$F,MATCH(TEXT(K446,"YYYY-MM-DD")&amp;F446,'Outreach Log'!$L:$L,0)),"")</f>
        <v>Email</v>
      </c>
      <c r="M446" s="6" t="str">
        <f>IFERROR(HYPERLINK("#'Outreach Log'!A"&amp;MATCH(TEXT(K446,"YYYY-MM-DD")&amp;F446,'Outreach Log'!$L:$L,0),"→ View"),"—")</f>
        <v>→ View</v>
      </c>
      <c r="N446" s="6" t="str">
        <f>IFERROR(HYPERLINK("#Companies!A"&amp;MATCH(E446,Companies!$B:$B,0),"→ View"),"—")</f>
        <v>→ View</v>
      </c>
    </row>
    <row r="447" spans="1:14">
      <c r="A447" s="9">
        <f>IF(tblContacts[[#This Row],[First Name]]&lt;&gt;0,ROW()-1,"")</f>
        <v>446</v>
      </c>
      <c r="B447" s="50" t="s">
        <v>977</v>
      </c>
      <c r="C447" s="50" t="s">
        <v>983</v>
      </c>
      <c r="D447" s="10"/>
      <c r="E447" s="10" t="s">
        <v>2149</v>
      </c>
      <c r="F447" s="10" t="s">
        <v>984</v>
      </c>
      <c r="G447" s="10"/>
      <c r="H447" s="10" t="s">
        <v>2824</v>
      </c>
      <c r="I447" s="10" t="s">
        <v>14</v>
      </c>
      <c r="J447" s="10"/>
      <c r="K447" s="7" cm="1">
        <f t="array" ref="K447">IFERROR(LOOKUP(2,1/('Outreach Log'!$C$2:$C$9998=F447),'Outreach Log'!$B$2:$B$9998),"")</f>
        <v>46093</v>
      </c>
      <c r="L447" s="5" t="str">
        <f>IFERROR(INDEX('Outreach Log'!$F:$F,MATCH(TEXT(K447,"YYYY-MM-DD")&amp;F447,'Outreach Log'!$L:$L,0)),"")</f>
        <v>Email</v>
      </c>
      <c r="M447" s="6" t="str">
        <f>IFERROR(HYPERLINK("#'Outreach Log'!A"&amp;MATCH(TEXT(K447,"YYYY-MM-DD")&amp;F447,'Outreach Log'!$L:$L,0),"→ View"),"—")</f>
        <v>→ View</v>
      </c>
      <c r="N447" s="6" t="str">
        <f>IFERROR(HYPERLINK("#Companies!A"&amp;MATCH(E447,Companies!$B:$B,0),"→ View"),"—")</f>
        <v>→ View</v>
      </c>
    </row>
    <row r="448" spans="1:14">
      <c r="A448" s="9">
        <f>IF(tblContacts[[#This Row],[First Name]]&lt;&gt;0,ROW()-1,"")</f>
        <v>447</v>
      </c>
      <c r="B448" s="50" t="s">
        <v>1004</v>
      </c>
      <c r="C448" s="50" t="s">
        <v>2231</v>
      </c>
      <c r="D448" s="10"/>
      <c r="E448" s="10" t="s">
        <v>2128</v>
      </c>
      <c r="F448" s="10" t="s">
        <v>1007</v>
      </c>
      <c r="G448" s="10"/>
      <c r="H448" s="10" t="s">
        <v>2824</v>
      </c>
      <c r="I448" s="10" t="s">
        <v>14</v>
      </c>
      <c r="J448" s="10"/>
      <c r="K448" s="7" cm="1">
        <f t="array" ref="K448">IFERROR(LOOKUP(2,1/('Outreach Log'!$C$2:$C$9998=F448),'Outreach Log'!$B$2:$B$9998),"")</f>
        <v>46093</v>
      </c>
      <c r="L448" s="5" t="str">
        <f>IFERROR(INDEX('Outreach Log'!$F:$F,MATCH(TEXT(K448,"YYYY-MM-DD")&amp;F448,'Outreach Log'!$L:$L,0)),"")</f>
        <v>Email</v>
      </c>
      <c r="M448" s="6" t="str">
        <f>IFERROR(HYPERLINK("#'Outreach Log'!A"&amp;MATCH(TEXT(K448,"YYYY-MM-DD")&amp;F448,'Outreach Log'!$L:$L,0),"→ View"),"—")</f>
        <v>→ View</v>
      </c>
      <c r="N448" s="6" t="str">
        <f>IFERROR(HYPERLINK("#Companies!A"&amp;MATCH(E448,Companies!$B:$B,0),"→ View"),"—")</f>
        <v>→ View</v>
      </c>
    </row>
    <row r="449" spans="1:14">
      <c r="A449" s="9">
        <f>IF(tblContacts[[#This Row],[First Name]]&lt;&gt;0,ROW()-1,"")</f>
        <v>448</v>
      </c>
      <c r="B449" s="50" t="s">
        <v>1008</v>
      </c>
      <c r="C449" s="50" t="s">
        <v>2044</v>
      </c>
      <c r="D449" s="10" t="s">
        <v>768</v>
      </c>
      <c r="E449" s="10" t="s">
        <v>2146</v>
      </c>
      <c r="F449" s="10" t="s">
        <v>2045</v>
      </c>
      <c r="G449" s="10"/>
      <c r="H449" s="10" t="s">
        <v>2824</v>
      </c>
      <c r="I449" s="10" t="s">
        <v>14</v>
      </c>
      <c r="J449" s="10"/>
      <c r="K449" s="7" cm="1">
        <f t="array" ref="K449">IFERROR(LOOKUP(2,1/('Outreach Log'!$C$2:$C$9998=F449),'Outreach Log'!$B$2:$B$9998),"")</f>
        <v>46093</v>
      </c>
      <c r="L449" s="5" t="str">
        <f>IFERROR(INDEX('Outreach Log'!$F:$F,MATCH(TEXT(K449,"YYYY-MM-DD")&amp;F449,'Outreach Log'!$L:$L,0)),"")</f>
        <v>Email</v>
      </c>
      <c r="M449" s="6" t="str">
        <f>IFERROR(HYPERLINK("#'Outreach Log'!A"&amp;MATCH(TEXT(K449,"YYYY-MM-DD")&amp;F449,'Outreach Log'!$L:$L,0),"→ View"),"—")</f>
        <v>→ View</v>
      </c>
      <c r="N449" s="6" t="str">
        <f>IFERROR(HYPERLINK("#Companies!A"&amp;MATCH(E449,Companies!$B:$B,0),"→ View"),"—")</f>
        <v>→ View</v>
      </c>
    </row>
    <row r="450" spans="1:14">
      <c r="A450" s="9">
        <f>IF(tblContacts[[#This Row],[First Name]]&lt;&gt;0,ROW()-1,"")</f>
        <v>449</v>
      </c>
      <c r="B450" s="50" t="s">
        <v>988</v>
      </c>
      <c r="C450" s="50" t="s">
        <v>2443</v>
      </c>
      <c r="D450" s="10" t="s">
        <v>768</v>
      </c>
      <c r="E450" s="10" t="s">
        <v>308</v>
      </c>
      <c r="F450" s="10" t="s">
        <v>2009</v>
      </c>
      <c r="G450" s="10"/>
      <c r="H450" s="10" t="s">
        <v>2824</v>
      </c>
      <c r="I450" s="10" t="s">
        <v>14</v>
      </c>
      <c r="J450" s="10"/>
      <c r="K450" s="7" cm="1">
        <f t="array" ref="K450">IFERROR(LOOKUP(2,1/('Outreach Log'!$C$2:$C$9998=F450),'Outreach Log'!$B$2:$B$9998),"")</f>
        <v>46093</v>
      </c>
      <c r="L450" s="5" t="str">
        <f>IFERROR(INDEX('Outreach Log'!$F:$F,MATCH(TEXT(K450,"YYYY-MM-DD")&amp;F450,'Outreach Log'!$L:$L,0)),"")</f>
        <v>Email</v>
      </c>
      <c r="M450" s="6" t="str">
        <f>IFERROR(HYPERLINK("#'Outreach Log'!A"&amp;MATCH(TEXT(K450,"YYYY-MM-DD")&amp;F450,'Outreach Log'!$L:$L,0),"→ View"),"—")</f>
        <v>→ View</v>
      </c>
      <c r="N450" s="6" t="str">
        <f>IFERROR(HYPERLINK("#Companies!A"&amp;MATCH(E450,Companies!$B:$B,0),"→ View"),"—")</f>
        <v>→ View</v>
      </c>
    </row>
    <row r="451" spans="1:14">
      <c r="A451" s="9">
        <f>IF(tblContacts[[#This Row],[First Name]]&lt;&gt;0,ROW()-1,"")</f>
        <v>450</v>
      </c>
      <c r="B451" s="50" t="s">
        <v>1030</v>
      </c>
      <c r="C451" s="50" t="s">
        <v>2019</v>
      </c>
      <c r="D451" s="10" t="s">
        <v>768</v>
      </c>
      <c r="E451" s="10" t="s">
        <v>2136</v>
      </c>
      <c r="F451" s="10" t="s">
        <v>2020</v>
      </c>
      <c r="G451" s="10"/>
      <c r="H451" s="10" t="s">
        <v>2824</v>
      </c>
      <c r="I451" s="10" t="s">
        <v>14</v>
      </c>
      <c r="J451" s="10"/>
      <c r="K451" s="7" cm="1">
        <f t="array" ref="K451">IFERROR(LOOKUP(2,1/('Outreach Log'!$C$2:$C$9998=F451),'Outreach Log'!$B$2:$B$9998),"")</f>
        <v>46093</v>
      </c>
      <c r="L451" s="5" t="str">
        <f>IFERROR(INDEX('Outreach Log'!$F:$F,MATCH(TEXT(K451,"YYYY-MM-DD")&amp;F451,'Outreach Log'!$L:$L,0)),"")</f>
        <v>Email</v>
      </c>
      <c r="M451" s="6" t="str">
        <f>IFERROR(HYPERLINK("#'Outreach Log'!A"&amp;MATCH(TEXT(K451,"YYYY-MM-DD")&amp;F451,'Outreach Log'!$L:$L,0),"→ View"),"—")</f>
        <v>→ View</v>
      </c>
      <c r="N451" s="6" t="str">
        <f>IFERROR(HYPERLINK("#Companies!A"&amp;MATCH(E451,Companies!$B:$B,0),"→ View"),"—")</f>
        <v>→ View</v>
      </c>
    </row>
    <row r="452" spans="1:14">
      <c r="A452" s="9">
        <f>IF(tblContacts[[#This Row],[First Name]]&lt;&gt;0,ROW()-1,"")</f>
        <v>451</v>
      </c>
      <c r="B452" s="50" t="s">
        <v>1030</v>
      </c>
      <c r="C452" s="50" t="s">
        <v>3351</v>
      </c>
      <c r="D452" s="10" t="s">
        <v>3195</v>
      </c>
      <c r="E452" s="10" t="s">
        <v>3161</v>
      </c>
      <c r="F452" s="10" t="s">
        <v>3352</v>
      </c>
      <c r="G452" s="10" t="s">
        <v>3353</v>
      </c>
      <c r="H452" s="10" t="s">
        <v>2824</v>
      </c>
      <c r="I452" s="44" t="s">
        <v>3363</v>
      </c>
      <c r="K452" s="7" cm="1">
        <f t="array" ref="K452">IFERROR(LOOKUP(2,1/('Outreach Log'!$C$2:$C$9998=F452),'Outreach Log'!$B$2:$B$9998),"")</f>
        <v>46104</v>
      </c>
      <c r="L452" s="5" t="str">
        <f>IFERROR(INDEX('Outreach Log'!$F:$F,MATCH(TEXT(K452,"YYYY-MM-DD")&amp;F452,'Outreach Log'!$L:$L,0)),"")</f>
        <v>Email</v>
      </c>
      <c r="M452" s="6" t="str">
        <f>IFERROR(HYPERLINK("#'Outreach Log'!A"&amp;MATCH(TEXT(K452,"YYYY-MM-DD")&amp;F452,'Outreach Log'!$L:$L,0),"→ View"),"—")</f>
        <v>→ View</v>
      </c>
      <c r="N452" s="6" t="str">
        <f>IFERROR(HYPERLINK("#Companies!A"&amp;MATCH(E452,Companies!$B:$B,0),"→ View"),"—")</f>
        <v>→ View</v>
      </c>
    </row>
    <row r="453" spans="1:14">
      <c r="A453" s="9">
        <f>IF(tblContacts[[#This Row],[First Name]]&lt;&gt;0,ROW()-1,"")</f>
        <v>452</v>
      </c>
      <c r="B453" s="50" t="s">
        <v>887</v>
      </c>
      <c r="C453" s="50" t="s">
        <v>2451</v>
      </c>
      <c r="D453" s="10" t="s">
        <v>862</v>
      </c>
      <c r="E453" s="10" t="s">
        <v>2143</v>
      </c>
      <c r="F453" s="10" t="s">
        <v>2037</v>
      </c>
      <c r="G453" s="10"/>
      <c r="H453" s="10" t="s">
        <v>2824</v>
      </c>
      <c r="I453" s="10" t="s">
        <v>14</v>
      </c>
      <c r="J453" s="10"/>
      <c r="K453" s="7" cm="1">
        <f t="array" ref="K453">IFERROR(LOOKUP(2,1/('Outreach Log'!$C$2:$C$9998=F453),'Outreach Log'!$B$2:$B$9998),"")</f>
        <v>46093</v>
      </c>
      <c r="L453" s="5" t="str">
        <f>IFERROR(INDEX('Outreach Log'!$F:$F,MATCH(TEXT(K453,"YYYY-MM-DD")&amp;F453,'Outreach Log'!$L:$L,0)),"")</f>
        <v>Email</v>
      </c>
      <c r="M453" s="6" t="str">
        <f>IFERROR(HYPERLINK("#'Outreach Log'!A"&amp;MATCH(TEXT(K453,"YYYY-MM-DD")&amp;F453,'Outreach Log'!$L:$L,0),"→ View"),"—")</f>
        <v>→ View</v>
      </c>
      <c r="N453" s="6" t="str">
        <f>IFERROR(HYPERLINK("#Companies!A"&amp;MATCH(E453,Companies!$B:$B,0),"→ View"),"—")</f>
        <v>→ View</v>
      </c>
    </row>
    <row r="454" spans="1:14">
      <c r="A454" s="9">
        <f>IF(tblContacts[[#This Row],[First Name]]&lt;&gt;0,ROW()-1,"")</f>
        <v>453</v>
      </c>
      <c r="B454" s="50" t="s">
        <v>887</v>
      </c>
      <c r="C454" s="50" t="s">
        <v>1046</v>
      </c>
      <c r="D454" s="10" t="s">
        <v>1047</v>
      </c>
      <c r="E454" s="10" t="s">
        <v>220</v>
      </c>
      <c r="F454" s="10" t="s">
        <v>1048</v>
      </c>
      <c r="G454" s="10"/>
      <c r="H454" s="10" t="s">
        <v>2824</v>
      </c>
      <c r="I454" s="10" t="s">
        <v>13</v>
      </c>
      <c r="J454" s="10"/>
      <c r="K454" s="7" cm="1">
        <f t="array" ref="K454">IFERROR(LOOKUP(2,1/('Outreach Log'!$C$2:$C$9998=F454),'Outreach Log'!$B$2:$B$9998),"")</f>
        <v>46084</v>
      </c>
      <c r="L454" s="5" t="str">
        <f>IFERROR(INDEX('Outreach Log'!$F:$F,MATCH(TEXT(K454,"YYYY-MM-DD")&amp;F454,'Outreach Log'!$L:$L,0)),"")</f>
        <v>Email</v>
      </c>
      <c r="M454" s="6" t="str">
        <f>IFERROR(HYPERLINK("#'Outreach Log'!A"&amp;MATCH(TEXT(K454,"YYYY-MM-DD")&amp;F454,'Outreach Log'!$L:$L,0),"→ View"),"—")</f>
        <v>→ View</v>
      </c>
      <c r="N454" s="6" t="str">
        <f>IFERROR(HYPERLINK("#Companies!A"&amp;MATCH(E454,Companies!$B:$B,0),"→ View"),"—")</f>
        <v>→ View</v>
      </c>
    </row>
    <row r="455" spans="1:14">
      <c r="A455" s="9">
        <f>IF(tblContacts[[#This Row],[First Name]]&lt;&gt;0,ROW()-1,"")</f>
        <v>454</v>
      </c>
      <c r="B455" s="50" t="s">
        <v>1214</v>
      </c>
      <c r="C455" s="50" t="s">
        <v>2015</v>
      </c>
      <c r="D455" s="10" t="s">
        <v>768</v>
      </c>
      <c r="E455" s="10" t="s">
        <v>2133</v>
      </c>
      <c r="F455" s="10" t="s">
        <v>2016</v>
      </c>
      <c r="G455" s="10"/>
      <c r="H455" s="10" t="s">
        <v>2824</v>
      </c>
      <c r="I455" s="10" t="s">
        <v>14</v>
      </c>
      <c r="J455" s="10"/>
      <c r="K455" s="7" cm="1">
        <f t="array" ref="K455">IFERROR(LOOKUP(2,1/('Outreach Log'!$C$2:$C$9998=F455),'Outreach Log'!$B$2:$B$9998),"")</f>
        <v>46093</v>
      </c>
      <c r="L455" s="5" t="str">
        <f>IFERROR(INDEX('Outreach Log'!$F:$F,MATCH(TEXT(K455,"YYYY-MM-DD")&amp;F455,'Outreach Log'!$L:$L,0)),"")</f>
        <v>Email</v>
      </c>
      <c r="M455" s="6" t="str">
        <f>IFERROR(HYPERLINK("#'Outreach Log'!A"&amp;MATCH(TEXT(K455,"YYYY-MM-DD")&amp;F455,'Outreach Log'!$L:$L,0),"→ View"),"—")</f>
        <v>→ View</v>
      </c>
      <c r="N455" s="6" t="str">
        <f>IFERROR(HYPERLINK("#Companies!A"&amp;MATCH(E455,Companies!$B:$B,0),"→ View"),"—")</f>
        <v>→ View</v>
      </c>
    </row>
    <row r="456" spans="1:14">
      <c r="A456" s="9">
        <f>IF(tblContacts[[#This Row],[First Name]]&lt;&gt;0,ROW()-1,"")</f>
        <v>455</v>
      </c>
      <c r="B456" s="50" t="s">
        <v>3320</v>
      </c>
      <c r="C456" s="50" t="s">
        <v>3321</v>
      </c>
      <c r="D456" s="10" t="s">
        <v>768</v>
      </c>
      <c r="E456" s="10" t="s">
        <v>3125</v>
      </c>
      <c r="F456" s="10" t="s">
        <v>3322</v>
      </c>
      <c r="G456" s="10"/>
      <c r="H456" s="10" t="s">
        <v>2824</v>
      </c>
      <c r="I456" s="44" t="s">
        <v>3363</v>
      </c>
      <c r="K456" s="7" cm="1">
        <f t="array" ref="K456">IFERROR(LOOKUP(2,1/('Outreach Log'!$C$2:$C$9998=F456),'Outreach Log'!$B$2:$B$9998),"")</f>
        <v>46104</v>
      </c>
      <c r="L456" s="5" t="str">
        <f>IFERROR(INDEX('Outreach Log'!$F:$F,MATCH(TEXT(K456,"YYYY-MM-DD")&amp;F456,'Outreach Log'!$L:$L,0)),"")</f>
        <v>Email</v>
      </c>
      <c r="M456" s="6" t="str">
        <f>IFERROR(HYPERLINK("#'Outreach Log'!A"&amp;MATCH(TEXT(K456,"YYYY-MM-DD")&amp;F456,'Outreach Log'!$L:$L,0),"→ View"),"—")</f>
        <v>→ View</v>
      </c>
      <c r="N456" s="6" t="str">
        <f>IFERROR(HYPERLINK("#Companies!A"&amp;MATCH(E456,Companies!$B:$B,0),"→ View"),"—")</f>
        <v>→ View</v>
      </c>
    </row>
    <row r="457" spans="1:14">
      <c r="A457" s="9">
        <f>IF(tblContacts[[#This Row],[First Name]]&lt;&gt;0,ROW()-1,"")</f>
        <v>456</v>
      </c>
      <c r="B457" s="50" t="s">
        <v>1076</v>
      </c>
      <c r="C457" s="50" t="s">
        <v>1077</v>
      </c>
      <c r="D457" s="10"/>
      <c r="E457" s="10" t="s">
        <v>2151</v>
      </c>
      <c r="F457" s="10" t="s">
        <v>1078</v>
      </c>
      <c r="G457" s="10"/>
      <c r="H457" s="10" t="s">
        <v>2824</v>
      </c>
      <c r="I457" s="10" t="s">
        <v>14</v>
      </c>
      <c r="J457" s="10"/>
      <c r="K457" s="7" cm="1">
        <f t="array" ref="K457">IFERROR(LOOKUP(2,1/('Outreach Log'!$C$2:$C$9998=F457),'Outreach Log'!$B$2:$B$9998),"")</f>
        <v>46093</v>
      </c>
      <c r="L457" s="5" t="str">
        <f>IFERROR(INDEX('Outreach Log'!$F:$F,MATCH(TEXT(K457,"YYYY-MM-DD")&amp;F457,'Outreach Log'!$L:$L,0)),"")</f>
        <v>Email</v>
      </c>
      <c r="M457" s="6" t="str">
        <f>IFERROR(HYPERLINK("#'Outreach Log'!A"&amp;MATCH(TEXT(K457,"YYYY-MM-DD")&amp;F457,'Outreach Log'!$L:$L,0),"→ View"),"—")</f>
        <v>→ View</v>
      </c>
      <c r="N457" s="6" t="str">
        <f>IFERROR(HYPERLINK("#Companies!A"&amp;MATCH(E457,Companies!$B:$B,0),"→ View"),"—")</f>
        <v>→ View</v>
      </c>
    </row>
    <row r="458" spans="1:14">
      <c r="A458" s="9">
        <f>IF(tblContacts[[#This Row],[First Name]]&lt;&gt;0,ROW()-1,"")</f>
        <v>457</v>
      </c>
      <c r="B458" s="50" t="s">
        <v>1087</v>
      </c>
      <c r="C458" s="50" t="s">
        <v>1955</v>
      </c>
      <c r="D458" s="10" t="s">
        <v>862</v>
      </c>
      <c r="E458" s="10" t="s">
        <v>2106</v>
      </c>
      <c r="F458" s="10" t="s">
        <v>1956</v>
      </c>
      <c r="G458" s="10"/>
      <c r="H458" s="10" t="s">
        <v>2824</v>
      </c>
      <c r="I458" s="10" t="s">
        <v>14</v>
      </c>
      <c r="J458" s="10"/>
      <c r="K458" s="7" cm="1">
        <f t="array" ref="K458">IFERROR(LOOKUP(2,1/('Outreach Log'!$C$2:$C$9998=F458),'Outreach Log'!$B$2:$B$9998),"")</f>
        <v>46093</v>
      </c>
      <c r="L458" s="5" t="str">
        <f>IFERROR(INDEX('Outreach Log'!$F:$F,MATCH(TEXT(K458,"YYYY-MM-DD")&amp;F458,'Outreach Log'!$L:$L,0)),"")</f>
        <v>Email</v>
      </c>
      <c r="M458" s="6" t="str">
        <f>IFERROR(HYPERLINK("#'Outreach Log'!A"&amp;MATCH(TEXT(K458,"YYYY-MM-DD")&amp;F458,'Outreach Log'!$L:$L,0),"→ View"),"—")</f>
        <v>→ View</v>
      </c>
      <c r="N458" s="6" t="str">
        <f>IFERROR(HYPERLINK("#Companies!A"&amp;MATCH(E458,Companies!$B:$B,0),"→ View"),"—")</f>
        <v>→ View</v>
      </c>
    </row>
    <row r="459" spans="1:14">
      <c r="A459" s="9">
        <f>IF(tblContacts[[#This Row],[First Name]]&lt;&gt;0,ROW()-1,"")</f>
        <v>458</v>
      </c>
      <c r="B459" s="50" t="s">
        <v>1087</v>
      </c>
      <c r="C459" s="50" t="s">
        <v>1090</v>
      </c>
      <c r="D459" s="10" t="s">
        <v>1091</v>
      </c>
      <c r="E459" s="10" t="s">
        <v>244</v>
      </c>
      <c r="F459" s="10" t="s">
        <v>1092</v>
      </c>
      <c r="G459" s="10"/>
      <c r="H459" s="10" t="s">
        <v>2824</v>
      </c>
      <c r="I459" s="10" t="s">
        <v>13</v>
      </c>
      <c r="J459" s="10"/>
      <c r="K459" s="7" cm="1">
        <f t="array" ref="K459">IFERROR(LOOKUP(2,1/('Outreach Log'!$C$2:$C$9998=F459),'Outreach Log'!$B$2:$B$9998),"")</f>
        <v>46084</v>
      </c>
      <c r="L459" s="5" t="str">
        <f>IFERROR(INDEX('Outreach Log'!$F:$F,MATCH(TEXT(K459,"YYYY-MM-DD")&amp;F459,'Outreach Log'!$L:$L,0)),"")</f>
        <v>Email</v>
      </c>
      <c r="M459" s="6" t="str">
        <f>IFERROR(HYPERLINK("#'Outreach Log'!A"&amp;MATCH(TEXT(K459,"YYYY-MM-DD")&amp;F459,'Outreach Log'!$L:$L,0),"→ View"),"—")</f>
        <v>→ View</v>
      </c>
      <c r="N459" s="6" t="str">
        <f>IFERROR(HYPERLINK("#Companies!A"&amp;MATCH(E459,Companies!$B:$B,0),"→ View"),"—")</f>
        <v>→ View</v>
      </c>
    </row>
    <row r="460" spans="1:14">
      <c r="A460" s="9">
        <f>IF(tblContacts[[#This Row],[First Name]]&lt;&gt;0,ROW()-1,"")</f>
        <v>459</v>
      </c>
      <c r="B460" s="50" t="s">
        <v>1098</v>
      </c>
      <c r="C460" s="50" t="s">
        <v>1989</v>
      </c>
      <c r="D460" s="10" t="s">
        <v>768</v>
      </c>
      <c r="E460" s="10" t="s">
        <v>2204</v>
      </c>
      <c r="F460" s="10" t="s">
        <v>1990</v>
      </c>
      <c r="G460" s="10"/>
      <c r="H460" s="10" t="s">
        <v>2824</v>
      </c>
      <c r="I460" s="10" t="s">
        <v>14</v>
      </c>
      <c r="J460" s="10"/>
      <c r="K460" s="7" cm="1">
        <f t="array" ref="K460">IFERROR(LOOKUP(2,1/('Outreach Log'!$C$2:$C$9998=F460),'Outreach Log'!$B$2:$B$9998),"")</f>
        <v>46093</v>
      </c>
      <c r="L460" s="5" t="str">
        <f>IFERROR(INDEX('Outreach Log'!$F:$F,MATCH(TEXT(K460,"YYYY-MM-DD")&amp;F460,'Outreach Log'!$L:$L,0)),"")</f>
        <v>Email</v>
      </c>
      <c r="M460" s="6" t="str">
        <f>IFERROR(HYPERLINK("#'Outreach Log'!A"&amp;MATCH(TEXT(K460,"YYYY-MM-DD")&amp;F460,'Outreach Log'!$L:$L,0),"→ View"),"—")</f>
        <v>→ View</v>
      </c>
      <c r="N460" s="6" t="str">
        <f>IFERROR(HYPERLINK("#Companies!A"&amp;MATCH(E460,Companies!$B:$B,0),"→ View"),"—")</f>
        <v>→ View</v>
      </c>
    </row>
    <row r="461" spans="1:14">
      <c r="A461" s="9">
        <f>IF(tblContacts[[#This Row],[First Name]]&lt;&gt;0,ROW()-1,"")</f>
        <v>460</v>
      </c>
      <c r="B461" s="50" t="s">
        <v>1193</v>
      </c>
      <c r="C461" s="50" t="s">
        <v>2435</v>
      </c>
      <c r="D461" s="10" t="s">
        <v>862</v>
      </c>
      <c r="E461" s="10" t="s">
        <v>2116</v>
      </c>
      <c r="F461" s="10" t="s">
        <v>1981</v>
      </c>
      <c r="G461" s="10"/>
      <c r="H461" s="10" t="s">
        <v>2824</v>
      </c>
      <c r="I461" s="10" t="s">
        <v>14</v>
      </c>
      <c r="J461" s="10"/>
      <c r="K461" s="7" cm="1">
        <f t="array" ref="K461">IFERROR(LOOKUP(2,1/('Outreach Log'!$C$2:$C$9998=F461),'Outreach Log'!$B$2:$B$9998),"")</f>
        <v>46093</v>
      </c>
      <c r="L461" s="5" t="str">
        <f>IFERROR(INDEX('Outreach Log'!$F:$F,MATCH(TEXT(K461,"YYYY-MM-DD")&amp;F461,'Outreach Log'!$L:$L,0)),"")</f>
        <v>Email</v>
      </c>
      <c r="M461" s="6" t="str">
        <f>IFERROR(HYPERLINK("#'Outreach Log'!A"&amp;MATCH(TEXT(K461,"YYYY-MM-DD")&amp;F461,'Outreach Log'!$L:$L,0),"→ View"),"—")</f>
        <v>→ View</v>
      </c>
      <c r="N461" s="6" t="str">
        <f>IFERROR(HYPERLINK("#Companies!A"&amp;MATCH(E461,Companies!$B:$B,0),"→ View"),"—")</f>
        <v>→ View</v>
      </c>
    </row>
    <row r="462" spans="1:14">
      <c r="A462" s="9">
        <f>IF(tblContacts[[#This Row],[First Name]]&lt;&gt;0,ROW()-1,"")</f>
        <v>461</v>
      </c>
      <c r="B462" s="50" t="s">
        <v>1193</v>
      </c>
      <c r="C462" s="50" t="s">
        <v>2436</v>
      </c>
      <c r="D462" s="10" t="s">
        <v>862</v>
      </c>
      <c r="E462" s="10" t="s">
        <v>2116</v>
      </c>
      <c r="F462" s="10" t="s">
        <v>1984</v>
      </c>
      <c r="G462" s="10"/>
      <c r="H462" s="10" t="s">
        <v>2824</v>
      </c>
      <c r="I462" s="10" t="s">
        <v>14</v>
      </c>
      <c r="J462" s="10"/>
      <c r="K462" s="7" cm="1">
        <f t="array" ref="K462">IFERROR(LOOKUP(2,1/('Outreach Log'!$C$2:$C$9998=F462),'Outreach Log'!$B$2:$B$9998),"")</f>
        <v>46093</v>
      </c>
      <c r="L462" s="5" t="str">
        <f>IFERROR(INDEX('Outreach Log'!$F:$F,MATCH(TEXT(K462,"YYYY-MM-DD")&amp;F462,'Outreach Log'!$L:$L,0)),"")</f>
        <v>Email</v>
      </c>
      <c r="M462" s="6" t="str">
        <f>IFERROR(HYPERLINK("#'Outreach Log'!A"&amp;MATCH(TEXT(K462,"YYYY-MM-DD")&amp;F462,'Outreach Log'!$L:$L,0),"→ View"),"—")</f>
        <v>→ View</v>
      </c>
      <c r="N462" s="6" t="str">
        <f>IFERROR(HYPERLINK("#Companies!A"&amp;MATCH(E462,Companies!$B:$B,0),"→ View"),"—")</f>
        <v>→ View</v>
      </c>
    </row>
    <row r="463" spans="1:14">
      <c r="A463" s="9">
        <f>IF(tblContacts[[#This Row],[First Name]]&lt;&gt;0,ROW()-1,"")</f>
        <v>462</v>
      </c>
      <c r="B463" s="50" t="s">
        <v>3201</v>
      </c>
      <c r="C463" s="50" t="s">
        <v>3202</v>
      </c>
      <c r="D463" s="10" t="s">
        <v>1950</v>
      </c>
      <c r="E463" s="10" t="s">
        <v>3008</v>
      </c>
      <c r="F463" s="10" t="s">
        <v>3203</v>
      </c>
      <c r="G463" s="10"/>
      <c r="H463" s="10" t="s">
        <v>2824</v>
      </c>
      <c r="I463" s="44" t="s">
        <v>3363</v>
      </c>
      <c r="K463" s="7" cm="1">
        <f t="array" ref="K463">IFERROR(LOOKUP(2,1/('Outreach Log'!$C$2:$C$9998=F463),'Outreach Log'!$B$2:$B$9998),"")</f>
        <v>46104</v>
      </c>
      <c r="L463" s="5" t="str">
        <f>IFERROR(INDEX('Outreach Log'!$F:$F,MATCH(TEXT(K463,"YYYY-MM-DD")&amp;F463,'Outreach Log'!$L:$L,0)),"")</f>
        <v>Email</v>
      </c>
      <c r="M463" s="6" t="str">
        <f>IFERROR(HYPERLINK("#'Outreach Log'!A"&amp;MATCH(TEXT(K463,"YYYY-MM-DD")&amp;F463,'Outreach Log'!$L:$L,0),"→ View"),"—")</f>
        <v>→ View</v>
      </c>
      <c r="N463" s="6" t="str">
        <f>IFERROR(HYPERLINK("#Companies!A"&amp;MATCH(E463,Companies!$B:$B,0),"→ View"),"—")</f>
        <v>→ View</v>
      </c>
    </row>
    <row r="464" spans="1:14">
      <c r="A464" s="9">
        <f>IF(tblContacts[[#This Row],[First Name]]&lt;&gt;0,ROW()-1,"")</f>
        <v>463</v>
      </c>
      <c r="B464" s="50" t="s">
        <v>2260</v>
      </c>
      <c r="C464" s="50" t="s">
        <v>1126</v>
      </c>
      <c r="D464" s="10" t="s">
        <v>862</v>
      </c>
      <c r="E464" s="10" t="s">
        <v>266</v>
      </c>
      <c r="F464" s="10" t="s">
        <v>1127</v>
      </c>
      <c r="G464" s="10"/>
      <c r="H464" s="10" t="s">
        <v>2824</v>
      </c>
      <c r="I464" s="10" t="s">
        <v>13</v>
      </c>
      <c r="J464" s="10"/>
      <c r="K464" s="7" cm="1">
        <f t="array" ref="K464">IFERROR(LOOKUP(2,1/('Outreach Log'!$C$2:$C$9998=F464),'Outreach Log'!$B$2:$B$9998),"")</f>
        <v>46084</v>
      </c>
      <c r="L464" s="5" t="str">
        <f>IFERROR(INDEX('Outreach Log'!$F:$F,MATCH(TEXT(K464,"YYYY-MM-DD")&amp;F464,'Outreach Log'!$L:$L,0)),"")</f>
        <v>Email</v>
      </c>
      <c r="M464" s="6" t="str">
        <f>IFERROR(HYPERLINK("#'Outreach Log'!A"&amp;MATCH(TEXT(K464,"YYYY-MM-DD")&amp;F464,'Outreach Log'!$L:$L,0),"→ View"),"—")</f>
        <v>→ View</v>
      </c>
      <c r="N464" s="6" t="str">
        <f>IFERROR(HYPERLINK("#Companies!A"&amp;MATCH(E464,Companies!$B:$B,0),"→ View"),"—")</f>
        <v>→ View</v>
      </c>
    </row>
    <row r="465" spans="1:14">
      <c r="A465" s="9">
        <f>IF(tblContacts[[#This Row],[First Name]]&lt;&gt;0,ROW()-1,"")</f>
        <v>464</v>
      </c>
      <c r="B465" s="50" t="s">
        <v>1131</v>
      </c>
      <c r="C465" s="50" t="s">
        <v>1132</v>
      </c>
      <c r="D465" s="10"/>
      <c r="E465" s="10" t="s">
        <v>2141</v>
      </c>
      <c r="F465" s="10" t="s">
        <v>1133</v>
      </c>
      <c r="G465" s="10"/>
      <c r="H465" s="10" t="s">
        <v>2824</v>
      </c>
      <c r="I465" s="10" t="s">
        <v>14</v>
      </c>
      <c r="J465" s="10"/>
      <c r="K465" s="7" cm="1">
        <f t="array" ref="K465">IFERROR(LOOKUP(2,1/('Outreach Log'!$C$2:$C$9998=F465),'Outreach Log'!$B$2:$B$9998),"")</f>
        <v>46093</v>
      </c>
      <c r="L465" s="5" t="str">
        <f>IFERROR(INDEX('Outreach Log'!$F:$F,MATCH(TEXT(K465,"YYYY-MM-DD")&amp;F465,'Outreach Log'!$L:$L,0)),"")</f>
        <v>Email</v>
      </c>
      <c r="M465" s="6" t="str">
        <f>IFERROR(HYPERLINK("#'Outreach Log'!A"&amp;MATCH(TEXT(K465,"YYYY-MM-DD")&amp;F465,'Outreach Log'!$L:$L,0),"→ View"),"—")</f>
        <v>→ View</v>
      </c>
      <c r="N465" s="6" t="str">
        <f>IFERROR(HYPERLINK("#Companies!A"&amp;MATCH(E465,Companies!$B:$B,0),"→ View"),"—")</f>
        <v>→ View</v>
      </c>
    </row>
    <row r="466" spans="1:14">
      <c r="A466" s="9">
        <f>IF(tblContacts[[#This Row],[First Name]]&lt;&gt;0,ROW()-1,"")</f>
        <v>465</v>
      </c>
      <c r="B466" s="50" t="s">
        <v>1134</v>
      </c>
      <c r="C466" s="50" t="s">
        <v>1994</v>
      </c>
      <c r="D466" s="10" t="s">
        <v>862</v>
      </c>
      <c r="E466" s="10" t="s">
        <v>2119</v>
      </c>
      <c r="F466" s="10" t="s">
        <v>1995</v>
      </c>
      <c r="G466" s="10"/>
      <c r="H466" s="10" t="s">
        <v>2824</v>
      </c>
      <c r="I466" s="10" t="s">
        <v>14</v>
      </c>
      <c r="J466" s="10"/>
      <c r="K466" s="7" cm="1">
        <f t="array" ref="K466">IFERROR(LOOKUP(2,1/('Outreach Log'!$C$2:$C$9998=F466),'Outreach Log'!$B$2:$B$9998),"")</f>
        <v>46093</v>
      </c>
      <c r="L466" s="5" t="str">
        <f>IFERROR(INDEX('Outreach Log'!$F:$F,MATCH(TEXT(K466,"YYYY-MM-DD")&amp;F466,'Outreach Log'!$L:$L,0)),"")</f>
        <v>Email</v>
      </c>
      <c r="M466" s="6" t="str">
        <f>IFERROR(HYPERLINK("#'Outreach Log'!A"&amp;MATCH(TEXT(K466,"YYYY-MM-DD")&amp;F466,'Outreach Log'!$L:$L,0),"→ View"),"—")</f>
        <v>→ View</v>
      </c>
      <c r="N466" s="6" t="str">
        <f>IFERROR(HYPERLINK("#Companies!A"&amp;MATCH(E466,Companies!$B:$B,0),"→ View"),"—")</f>
        <v>→ View</v>
      </c>
    </row>
    <row r="467" spans="1:14">
      <c r="A467" s="9">
        <f>IF(tblContacts[[#This Row],[First Name]]&lt;&gt;0,ROW()-1,"")</f>
        <v>466</v>
      </c>
      <c r="B467" s="50" t="s">
        <v>1134</v>
      </c>
      <c r="C467" s="50" t="s">
        <v>1143</v>
      </c>
      <c r="D467" s="10" t="s">
        <v>1144</v>
      </c>
      <c r="E467" s="10" t="s">
        <v>274</v>
      </c>
      <c r="F467" s="10" t="s">
        <v>1145</v>
      </c>
      <c r="G467" s="10"/>
      <c r="H467" s="10" t="s">
        <v>2824</v>
      </c>
      <c r="I467" s="10" t="s">
        <v>13</v>
      </c>
      <c r="J467" s="10"/>
      <c r="K467" s="7" cm="1">
        <f t="array" ref="K467">IFERROR(LOOKUP(2,1/('Outreach Log'!$C$2:$C$9998=F467),'Outreach Log'!$B$2:$B$9998),"")</f>
        <v>46084</v>
      </c>
      <c r="L467" s="5" t="str">
        <f>IFERROR(INDEX('Outreach Log'!$F:$F,MATCH(TEXT(K467,"YYYY-MM-DD")&amp;F467,'Outreach Log'!$L:$L,0)),"")</f>
        <v>Email</v>
      </c>
      <c r="M467" s="6" t="str">
        <f>IFERROR(HYPERLINK("#'Outreach Log'!A"&amp;MATCH(TEXT(K467,"YYYY-MM-DD")&amp;F467,'Outreach Log'!$L:$L,0),"→ View"),"—")</f>
        <v>→ View</v>
      </c>
      <c r="N467" s="6" t="str">
        <f>IFERROR(HYPERLINK("#Companies!A"&amp;MATCH(E467,Companies!$B:$B,0),"→ View"),"—")</f>
        <v>→ View</v>
      </c>
    </row>
    <row r="468" spans="1:14">
      <c r="A468" s="9">
        <f>IF(tblContacts[[#This Row],[First Name]]&lt;&gt;0,ROW()-1,"")</f>
        <v>467</v>
      </c>
      <c r="B468" s="50" t="s">
        <v>1148</v>
      </c>
      <c r="C468" s="50" t="s">
        <v>3204</v>
      </c>
      <c r="D468" s="10" t="s">
        <v>3205</v>
      </c>
      <c r="E468" s="10" t="s">
        <v>3008</v>
      </c>
      <c r="F468" s="10" t="s">
        <v>3206</v>
      </c>
      <c r="G468" s="10"/>
      <c r="H468" s="10" t="s">
        <v>2824</v>
      </c>
      <c r="I468" s="44" t="s">
        <v>3363</v>
      </c>
      <c r="K468" s="7" cm="1">
        <f t="array" ref="K468">IFERROR(LOOKUP(2,1/('Outreach Log'!$C$2:$C$9998=F468),'Outreach Log'!$B$2:$B$9998),"")</f>
        <v>46104</v>
      </c>
      <c r="L468" s="5" t="str">
        <f>IFERROR(INDEX('Outreach Log'!$F:$F,MATCH(TEXT(K468,"YYYY-MM-DD")&amp;F468,'Outreach Log'!$L:$L,0)),"")</f>
        <v>Email</v>
      </c>
      <c r="M468" s="6" t="str">
        <f>IFERROR(HYPERLINK("#'Outreach Log'!A"&amp;MATCH(TEXT(K468,"YYYY-MM-DD")&amp;F468,'Outreach Log'!$L:$L,0),"→ View"),"—")</f>
        <v>→ View</v>
      </c>
      <c r="N468" s="6" t="str">
        <f>IFERROR(HYPERLINK("#Companies!A"&amp;MATCH(E468,Companies!$B:$B,0),"→ View"),"—")</f>
        <v>→ View</v>
      </c>
    </row>
    <row r="469" spans="1:14">
      <c r="A469" s="9">
        <f>IF(tblContacts[[#This Row],[First Name]]&lt;&gt;0,ROW()-1,"")</f>
        <v>468</v>
      </c>
      <c r="B469" s="50" t="s">
        <v>1151</v>
      </c>
      <c r="C469" s="50" t="s">
        <v>766</v>
      </c>
      <c r="D469" s="10"/>
      <c r="E469" s="10"/>
      <c r="F469" s="10" t="s">
        <v>3355</v>
      </c>
      <c r="G469" s="10"/>
      <c r="H469" s="10" t="s">
        <v>2824</v>
      </c>
      <c r="I469" s="44" t="s">
        <v>3363</v>
      </c>
      <c r="J469" s="3" t="s">
        <v>3373</v>
      </c>
      <c r="K469" s="7" cm="1">
        <f t="array" ref="K469">IFERROR(LOOKUP(2,1/('Outreach Log'!$C$2:$C$9998=F469),'Outreach Log'!$B$2:$B$9998),"")</f>
        <v>46104</v>
      </c>
      <c r="L469" s="5" t="str">
        <f>IFERROR(INDEX('Outreach Log'!$F:$F,MATCH(TEXT(K469,"YYYY-MM-DD")&amp;F469,'Outreach Log'!$L:$L,0)),"")</f>
        <v>Email</v>
      </c>
      <c r="M469" s="6" t="str">
        <f>IFERROR(HYPERLINK("#'Outreach Log'!A"&amp;MATCH(TEXT(K469,"YYYY-MM-DD")&amp;F469,'Outreach Log'!$L:$L,0),"→ View"),"—")</f>
        <v>→ View</v>
      </c>
      <c r="N469" s="6" t="str">
        <f>IFERROR(HYPERLINK("#Companies!A"&amp;MATCH(E469,Companies!$B:$B,0),"→ View"),"—")</f>
        <v>—</v>
      </c>
    </row>
    <row r="470" spans="1:14">
      <c r="A470" s="9">
        <f>IF(tblContacts[[#This Row],[First Name]]&lt;&gt;0,ROW()-1,"")</f>
        <v>469</v>
      </c>
      <c r="B470" s="50" t="s">
        <v>1158</v>
      </c>
      <c r="C470" s="50" t="s">
        <v>1159</v>
      </c>
      <c r="D470" s="10"/>
      <c r="E470" s="10" t="s">
        <v>2168</v>
      </c>
      <c r="F470" s="10" t="s">
        <v>1160</v>
      </c>
      <c r="G470" s="10"/>
      <c r="H470" s="10" t="s">
        <v>2824</v>
      </c>
      <c r="I470" s="10" t="s">
        <v>14</v>
      </c>
      <c r="J470" s="10"/>
      <c r="K470" s="7" cm="1">
        <f t="array" ref="K470">IFERROR(LOOKUP(2,1/('Outreach Log'!$C$2:$C$9998=F470),'Outreach Log'!$B$2:$B$9998),"")</f>
        <v>46093</v>
      </c>
      <c r="L470" s="5" t="str">
        <f>IFERROR(INDEX('Outreach Log'!$F:$F,MATCH(TEXT(K470,"YYYY-MM-DD")&amp;F470,'Outreach Log'!$L:$L,0)),"")</f>
        <v>Email</v>
      </c>
      <c r="M470" s="6" t="str">
        <f>IFERROR(HYPERLINK("#'Outreach Log'!A"&amp;MATCH(TEXT(K470,"YYYY-MM-DD")&amp;F470,'Outreach Log'!$L:$L,0),"→ View"),"—")</f>
        <v>→ View</v>
      </c>
      <c r="N470" s="6" t="str">
        <f>IFERROR(HYPERLINK("#Companies!A"&amp;MATCH(E470,Companies!$B:$B,0),"→ View"),"—")</f>
        <v>→ View</v>
      </c>
    </row>
    <row r="471" spans="1:14">
      <c r="A471" s="9">
        <f>IF(tblContacts[[#This Row],[First Name]]&lt;&gt;0,ROW()-1,"")</f>
        <v>470</v>
      </c>
      <c r="B471" s="50" t="s">
        <v>1264</v>
      </c>
      <c r="C471" s="50" t="s">
        <v>2023</v>
      </c>
      <c r="D471" s="10" t="s">
        <v>768</v>
      </c>
      <c r="E471" s="10" t="s">
        <v>2137</v>
      </c>
      <c r="F471" s="10" t="s">
        <v>2024</v>
      </c>
      <c r="G471" s="10"/>
      <c r="H471" s="10" t="s">
        <v>2824</v>
      </c>
      <c r="I471" s="10" t="s">
        <v>14</v>
      </c>
      <c r="J471" s="10"/>
      <c r="K471" s="7" cm="1">
        <f t="array" ref="K471">IFERROR(LOOKUP(2,1/('Outreach Log'!$C$2:$C$9998=F471),'Outreach Log'!$B$2:$B$9998),"")</f>
        <v>46093</v>
      </c>
      <c r="L471" s="5" t="str">
        <f>IFERROR(INDEX('Outreach Log'!$F:$F,MATCH(TEXT(K471,"YYYY-MM-DD")&amp;F471,'Outreach Log'!$L:$L,0)),"")</f>
        <v>Email</v>
      </c>
      <c r="M471" s="6" t="str">
        <f>IFERROR(HYPERLINK("#'Outreach Log'!A"&amp;MATCH(TEXT(K471,"YYYY-MM-DD")&amp;F471,'Outreach Log'!$L:$L,0),"→ View"),"—")</f>
        <v>→ View</v>
      </c>
      <c r="N471" s="6" t="str">
        <f>IFERROR(HYPERLINK("#Companies!A"&amp;MATCH(E471,Companies!$B:$B,0),"→ View"),"—")</f>
        <v>→ View</v>
      </c>
    </row>
    <row r="472" spans="1:14">
      <c r="A472" s="9">
        <f>IF(tblContacts[[#This Row],[First Name]]&lt;&gt;0,ROW()-1,"")</f>
        <v>471</v>
      </c>
      <c r="B472" s="50" t="s">
        <v>3225</v>
      </c>
      <c r="C472" s="50" t="s">
        <v>3226</v>
      </c>
      <c r="D472" s="10" t="s">
        <v>3195</v>
      </c>
      <c r="E472" s="10" t="s">
        <v>3037</v>
      </c>
      <c r="F472" s="51" t="s">
        <v>3227</v>
      </c>
      <c r="G472" s="10" t="s">
        <v>3228</v>
      </c>
      <c r="H472" s="10" t="s">
        <v>2824</v>
      </c>
      <c r="I472" s="44" t="s">
        <v>3363</v>
      </c>
      <c r="K472" s="7" cm="1">
        <f t="array" ref="K472">IFERROR(LOOKUP(2,1/('Outreach Log'!$C$2:$C$9998=F472),'Outreach Log'!$B$2:$B$9998),"")</f>
        <v>46104</v>
      </c>
      <c r="L472" s="5" t="str">
        <f>IFERROR(INDEX('Outreach Log'!$F:$F,MATCH(TEXT(K472,"YYYY-MM-DD")&amp;F472,'Outreach Log'!$L:$L,0)),"")</f>
        <v>Email</v>
      </c>
      <c r="M472" s="6" t="str">
        <f>IFERROR(HYPERLINK("#'Outreach Log'!A"&amp;MATCH(TEXT(K472,"YYYY-MM-DD")&amp;F472,'Outreach Log'!$L:$L,0),"→ View"),"—")</f>
        <v>→ View</v>
      </c>
      <c r="N472" s="6" t="str">
        <f>IFERROR(HYPERLINK("#Companies!A"&amp;MATCH(E472,Companies!$B:$B,0),"→ View"),"—")</f>
        <v>→ View</v>
      </c>
    </row>
    <row r="473" spans="1:14">
      <c r="A473" s="9">
        <f>IF(tblContacts[[#This Row],[First Name]]&lt;&gt;0,ROW()-1,"")</f>
        <v>472</v>
      </c>
      <c r="B473" s="50" t="s">
        <v>1173</v>
      </c>
      <c r="C473" s="50" t="s">
        <v>1174</v>
      </c>
      <c r="D473" s="10"/>
      <c r="E473" s="10" t="s">
        <v>293</v>
      </c>
      <c r="F473" s="10" t="s">
        <v>1175</v>
      </c>
      <c r="G473" s="10"/>
      <c r="H473" s="10" t="s">
        <v>2824</v>
      </c>
      <c r="I473" s="10" t="s">
        <v>13</v>
      </c>
      <c r="J473" s="10"/>
      <c r="K473" s="7" cm="1">
        <f t="array" ref="K473">IFERROR(LOOKUP(2,1/('Outreach Log'!$C$2:$C$9998=F473),'Outreach Log'!$B$2:$B$9998),"")</f>
        <v>46084</v>
      </c>
      <c r="L473" s="5" t="str">
        <f>IFERROR(INDEX('Outreach Log'!$F:$F,MATCH(TEXT(K473,"YYYY-MM-DD")&amp;F473,'Outreach Log'!$L:$L,0)),"")</f>
        <v>Email</v>
      </c>
      <c r="M473" s="6" t="str">
        <f>IFERROR(HYPERLINK("#'Outreach Log'!A"&amp;MATCH(TEXT(K473,"YYYY-MM-DD")&amp;F473,'Outreach Log'!$L:$L,0),"→ View"),"—")</f>
        <v>→ View</v>
      </c>
      <c r="N473" s="6" t="str">
        <f>IFERROR(HYPERLINK("#Companies!A"&amp;MATCH(E473,Companies!$B:$B,0),"→ View"),"—")</f>
        <v>→ View</v>
      </c>
    </row>
    <row r="474" spans="1:14">
      <c r="A474" s="9">
        <f>IF(tblContacts[[#This Row],[First Name]]&lt;&gt;0,ROW()-1,"")</f>
        <v>473</v>
      </c>
      <c r="B474" s="50" t="s">
        <v>1179</v>
      </c>
      <c r="C474" s="50" t="s">
        <v>3247</v>
      </c>
      <c r="D474" s="10" t="s">
        <v>3195</v>
      </c>
      <c r="E474" s="10" t="s">
        <v>3052</v>
      </c>
      <c r="F474" s="10" t="s">
        <v>3248</v>
      </c>
      <c r="G474" s="10" t="s">
        <v>3249</v>
      </c>
      <c r="H474" s="10" t="s">
        <v>2824</v>
      </c>
      <c r="I474" s="44" t="s">
        <v>3363</v>
      </c>
      <c r="K474" s="7" cm="1">
        <f t="array" ref="K474">IFERROR(LOOKUP(2,1/('Outreach Log'!$C$2:$C$9998=F474),'Outreach Log'!$B$2:$B$9998),"")</f>
        <v>46104</v>
      </c>
      <c r="L474" s="5" t="str">
        <f>IFERROR(INDEX('Outreach Log'!$F:$F,MATCH(TEXT(K474,"YYYY-MM-DD")&amp;F474,'Outreach Log'!$L:$L,0)),"")</f>
        <v>Email</v>
      </c>
      <c r="M474" s="6" t="str">
        <f>IFERROR(HYPERLINK("#'Outreach Log'!A"&amp;MATCH(TEXT(K474,"YYYY-MM-DD")&amp;F474,'Outreach Log'!$L:$L,0),"→ View"),"—")</f>
        <v>→ View</v>
      </c>
      <c r="N474" s="6" t="str">
        <f>IFERROR(HYPERLINK("#Companies!A"&amp;MATCH(E474,Companies!$B:$B,0),"→ View"),"—")</f>
        <v>→ View</v>
      </c>
    </row>
    <row r="475" spans="1:14">
      <c r="A475" s="9">
        <f>IF(tblContacts[[#This Row],[First Name]]&lt;&gt;0,ROW()-1,"")</f>
        <v>474</v>
      </c>
      <c r="B475" s="50" t="s">
        <v>3356</v>
      </c>
      <c r="C475" s="50" t="s">
        <v>1181</v>
      </c>
      <c r="D475" s="10" t="s">
        <v>3357</v>
      </c>
      <c r="E475" s="10" t="s">
        <v>298</v>
      </c>
      <c r="F475" s="10" t="s">
        <v>1182</v>
      </c>
      <c r="G475" s="10" t="s">
        <v>3358</v>
      </c>
      <c r="H475" s="10" t="s">
        <v>2824</v>
      </c>
      <c r="I475" s="44" t="s">
        <v>3363</v>
      </c>
      <c r="K475" s="7" cm="1">
        <f t="array" ref="K475">IFERROR(LOOKUP(2,1/('Outreach Log'!$C$2:$C$9998=F475),'Outreach Log'!$B$2:$B$9998),"")</f>
        <v>46104</v>
      </c>
      <c r="L475" s="5" t="str">
        <f>IFERROR(INDEX('Outreach Log'!$F:$F,MATCH(TEXT(K475,"YYYY-MM-DD")&amp;F475,'Outreach Log'!$L:$L,0)),"")</f>
        <v>Email</v>
      </c>
      <c r="M475" s="6" t="str">
        <f>IFERROR(HYPERLINK("#'Outreach Log'!A"&amp;MATCH(TEXT(K475,"YYYY-MM-DD")&amp;F475,'Outreach Log'!$L:$L,0),"→ View"),"—")</f>
        <v>→ View</v>
      </c>
      <c r="N475" s="6" t="str">
        <f>IFERROR(HYPERLINK("#Companies!A"&amp;MATCH(E475,Companies!$B:$B,0),"→ View"),"—")</f>
        <v>→ View</v>
      </c>
    </row>
    <row r="476" spans="1:14">
      <c r="A476" s="9">
        <f>IF(tblContacts[[#This Row],[First Name]]&lt;&gt;0,ROW()-1,"")</f>
        <v>475</v>
      </c>
      <c r="B476" s="50" t="s">
        <v>1158</v>
      </c>
      <c r="C476" s="50" t="s">
        <v>1597</v>
      </c>
      <c r="D476" s="10" t="s">
        <v>749</v>
      </c>
      <c r="E476" s="10" t="s">
        <v>2163</v>
      </c>
      <c r="F476" s="10" t="s">
        <v>2085</v>
      </c>
      <c r="G476" s="10"/>
      <c r="H476" s="10" t="s">
        <v>2824</v>
      </c>
      <c r="I476" s="10" t="s">
        <v>14</v>
      </c>
      <c r="J476" s="10"/>
      <c r="K476" s="7" cm="1">
        <f t="array" ref="K476">IFERROR(LOOKUP(2,1/('Outreach Log'!$C$2:$C$9998=F476),'Outreach Log'!$B$2:$B$9998),"")</f>
        <v>46093</v>
      </c>
      <c r="L476" s="5" t="str">
        <f>IFERROR(INDEX('Outreach Log'!$F:$F,MATCH(TEXT(K476,"YYYY-MM-DD")&amp;F476,'Outreach Log'!$L:$L,0)),"")</f>
        <v>Email</v>
      </c>
      <c r="M476" s="6" t="str">
        <f>IFERROR(HYPERLINK("#'Outreach Log'!A"&amp;MATCH(TEXT(K476,"YYYY-MM-DD")&amp;F476,'Outreach Log'!$L:$L,0),"→ View"),"—")</f>
        <v>→ View</v>
      </c>
      <c r="N476" s="6" t="str">
        <f>IFERROR(HYPERLINK("#Companies!A"&amp;MATCH(E476,Companies!$B:$B,0),"→ View"),"—")</f>
        <v>→ View</v>
      </c>
    </row>
    <row r="477" spans="1:14">
      <c r="A477" s="9">
        <f>IF(tblContacts[[#This Row],[First Name]]&lt;&gt;0,ROW()-1,"")</f>
        <v>476</v>
      </c>
      <c r="B477" s="50" t="s">
        <v>1158</v>
      </c>
      <c r="C477" s="50" t="s">
        <v>1183</v>
      </c>
      <c r="D477" s="10"/>
      <c r="E477" s="10" t="s">
        <v>2142</v>
      </c>
      <c r="F477" s="10" t="s">
        <v>1184</v>
      </c>
      <c r="G477" s="10"/>
      <c r="H477" s="10" t="s">
        <v>2824</v>
      </c>
      <c r="I477" s="10" t="s">
        <v>14</v>
      </c>
      <c r="J477" s="10"/>
      <c r="K477" s="7" cm="1">
        <f t="array" ref="K477">IFERROR(LOOKUP(2,1/('Outreach Log'!$C$2:$C$9998=F477),'Outreach Log'!$B$2:$B$9998),"")</f>
        <v>46093</v>
      </c>
      <c r="L477" s="5" t="str">
        <f>IFERROR(INDEX('Outreach Log'!$F:$F,MATCH(TEXT(K477,"YYYY-MM-DD")&amp;F477,'Outreach Log'!$L:$L,0)),"")</f>
        <v>Email</v>
      </c>
      <c r="M477" s="6" t="str">
        <f>IFERROR(HYPERLINK("#'Outreach Log'!A"&amp;MATCH(TEXT(K477,"YYYY-MM-DD")&amp;F477,'Outreach Log'!$L:$L,0),"→ View"),"—")</f>
        <v>→ View</v>
      </c>
      <c r="N477" s="6" t="str">
        <f>IFERROR(HYPERLINK("#Companies!A"&amp;MATCH(E477,Companies!$B:$B,0),"→ View"),"—")</f>
        <v>→ View</v>
      </c>
    </row>
    <row r="478" spans="1:14">
      <c r="A478" s="9">
        <f>IF(tblContacts[[#This Row],[First Name]]&lt;&gt;0,ROW()-1,"")</f>
        <v>477</v>
      </c>
      <c r="B478" s="50" t="s">
        <v>1196</v>
      </c>
      <c r="C478" s="50"/>
      <c r="D478" s="10"/>
      <c r="E478" s="10" t="s">
        <v>308</v>
      </c>
      <c r="F478" s="10" t="s">
        <v>1197</v>
      </c>
      <c r="G478" s="10"/>
      <c r="H478" s="10" t="s">
        <v>2824</v>
      </c>
      <c r="I478" s="10" t="s">
        <v>14</v>
      </c>
      <c r="J478" s="10"/>
      <c r="K478" s="7" cm="1">
        <f t="array" ref="K478">IFERROR(LOOKUP(2,1/('Outreach Log'!$C$2:$C$9998=F478),'Outreach Log'!$B$2:$B$9998),"")</f>
        <v>46093</v>
      </c>
      <c r="L478" s="5" t="str">
        <f>IFERROR(INDEX('Outreach Log'!$F:$F,MATCH(TEXT(K478,"YYYY-MM-DD")&amp;F478,'Outreach Log'!$L:$L,0)),"")</f>
        <v>Email</v>
      </c>
      <c r="M478" s="6" t="str">
        <f>IFERROR(HYPERLINK("#'Outreach Log'!A"&amp;MATCH(TEXT(K478,"YYYY-MM-DD")&amp;F478,'Outreach Log'!$L:$L,0),"→ View"),"—")</f>
        <v>→ View</v>
      </c>
      <c r="N478" s="6" t="str">
        <f>IFERROR(HYPERLINK("#Companies!A"&amp;MATCH(E478,Companies!$B:$B,0),"→ View"),"—")</f>
        <v>→ View</v>
      </c>
    </row>
    <row r="479" spans="1:14">
      <c r="A479" s="9">
        <f>IF(tblContacts[[#This Row],[First Name]]&lt;&gt;0,ROW()-1,"")</f>
        <v>478</v>
      </c>
      <c r="B479" s="50" t="s">
        <v>826</v>
      </c>
      <c r="C479" s="50"/>
      <c r="D479" s="10"/>
      <c r="E479" s="10" t="s">
        <v>310</v>
      </c>
      <c r="F479" s="10" t="s">
        <v>1198</v>
      </c>
      <c r="G479" s="10"/>
      <c r="H479" s="10" t="s">
        <v>2824</v>
      </c>
      <c r="I479" s="10" t="s">
        <v>13</v>
      </c>
      <c r="J479" s="10"/>
      <c r="K479" s="7" cm="1">
        <f t="array" ref="K479">IFERROR(LOOKUP(2,1/('Outreach Log'!$C$2:$C$9998=F479),'Outreach Log'!$B$2:$B$9998),"")</f>
        <v>46084</v>
      </c>
      <c r="L479" s="5" t="str">
        <f>IFERROR(INDEX('Outreach Log'!$F:$F,MATCH(TEXT(K479,"YYYY-MM-DD")&amp;F479,'Outreach Log'!$L:$L,0)),"")</f>
        <v>Email</v>
      </c>
      <c r="M479" s="6" t="str">
        <f>IFERROR(HYPERLINK("#'Outreach Log'!A"&amp;MATCH(TEXT(K479,"YYYY-MM-DD")&amp;F479,'Outreach Log'!$L:$L,0),"→ View"),"—")</f>
        <v>→ View</v>
      </c>
      <c r="N479" s="6" t="str">
        <f>IFERROR(HYPERLINK("#Companies!A"&amp;MATCH(E479,Companies!$B:$B,0),"→ View"),"—")</f>
        <v>→ View</v>
      </c>
    </row>
    <row r="480" spans="1:14">
      <c r="A480" s="9">
        <f>IF(tblContacts[[#This Row],[First Name]]&lt;&gt;0,ROW()-1,"")</f>
        <v>479</v>
      </c>
      <c r="B480" s="50" t="s">
        <v>1199</v>
      </c>
      <c r="C480" s="50" t="s">
        <v>1200</v>
      </c>
      <c r="D480" s="10"/>
      <c r="E480" s="10" t="s">
        <v>2112</v>
      </c>
      <c r="F480" s="10" t="s">
        <v>1201</v>
      </c>
      <c r="G480" s="10"/>
      <c r="H480" s="10" t="s">
        <v>2824</v>
      </c>
      <c r="I480" s="10" t="s">
        <v>14</v>
      </c>
      <c r="J480" s="10"/>
      <c r="K480" s="7" cm="1">
        <f t="array" ref="K480">IFERROR(LOOKUP(2,1/('Outreach Log'!$C$2:$C$9998=F480),'Outreach Log'!$B$2:$B$9998),"")</f>
        <v>46093</v>
      </c>
      <c r="L480" s="5" t="str">
        <f>IFERROR(INDEX('Outreach Log'!$F:$F,MATCH(TEXT(K480,"YYYY-MM-DD")&amp;F480,'Outreach Log'!$L:$L,0)),"")</f>
        <v>Email</v>
      </c>
      <c r="M480" s="6" t="str">
        <f>IFERROR(HYPERLINK("#'Outreach Log'!A"&amp;MATCH(TEXT(K480,"YYYY-MM-DD")&amp;F480,'Outreach Log'!$L:$L,0),"→ View"),"—")</f>
        <v>→ View</v>
      </c>
      <c r="N480" s="6" t="str">
        <f>IFERROR(HYPERLINK("#Companies!A"&amp;MATCH(E480,Companies!$B:$B,0),"→ View"),"—")</f>
        <v>→ View</v>
      </c>
    </row>
    <row r="481" spans="1:14">
      <c r="A481" s="9">
        <f>IF(tblContacts[[#This Row],[First Name]]&lt;&gt;0,ROW()-1,"")</f>
        <v>480</v>
      </c>
      <c r="B481" s="50" t="s">
        <v>898</v>
      </c>
      <c r="C481" s="50" t="s">
        <v>1004</v>
      </c>
      <c r="D481" s="10"/>
      <c r="E481" s="10" t="s">
        <v>2116</v>
      </c>
      <c r="F481" s="10" t="s">
        <v>1203</v>
      </c>
      <c r="G481" s="10"/>
      <c r="H481" s="10" t="s">
        <v>2824</v>
      </c>
      <c r="I481" s="10" t="s">
        <v>14</v>
      </c>
      <c r="J481" s="10"/>
      <c r="K481" s="7" cm="1">
        <f t="array" ref="K481">IFERROR(LOOKUP(2,1/('Outreach Log'!$C$2:$C$9998=F481),'Outreach Log'!$B$2:$B$9998),"")</f>
        <v>46093</v>
      </c>
      <c r="L481" s="5" t="str">
        <f>IFERROR(INDEX('Outreach Log'!$F:$F,MATCH(TEXT(K481,"YYYY-MM-DD")&amp;F481,'Outreach Log'!$L:$L,0)),"")</f>
        <v>Email</v>
      </c>
      <c r="M481" s="6" t="str">
        <f>IFERROR(HYPERLINK("#'Outreach Log'!A"&amp;MATCH(TEXT(K481,"YYYY-MM-DD")&amp;F481,'Outreach Log'!$L:$L,0),"→ View"),"—")</f>
        <v>→ View</v>
      </c>
      <c r="N481" s="6" t="str">
        <f>IFERROR(HYPERLINK("#Companies!A"&amp;MATCH(E481,Companies!$B:$B,0),"→ View"),"—")</f>
        <v>→ View</v>
      </c>
    </row>
    <row r="482" spans="1:14">
      <c r="A482" s="9">
        <f>IF(tblContacts[[#This Row],[First Name]]&lt;&gt;0,ROW()-1,"")</f>
        <v>481</v>
      </c>
      <c r="B482" s="50" t="s">
        <v>784</v>
      </c>
      <c r="C482" s="50" t="s">
        <v>977</v>
      </c>
      <c r="D482" s="10"/>
      <c r="E482" s="10" t="s">
        <v>2117</v>
      </c>
      <c r="F482" s="10" t="s">
        <v>1206</v>
      </c>
      <c r="G482" s="10"/>
      <c r="H482" s="10" t="s">
        <v>2824</v>
      </c>
      <c r="I482" s="10" t="s">
        <v>14</v>
      </c>
      <c r="J482" s="10"/>
      <c r="K482" s="7" cm="1">
        <f t="array" ref="K482">IFERROR(LOOKUP(2,1/('Outreach Log'!$C$2:$C$9998=F482),'Outreach Log'!$B$2:$B$9998),"")</f>
        <v>46093</v>
      </c>
      <c r="L482" s="5" t="str">
        <f>IFERROR(INDEX('Outreach Log'!$F:$F,MATCH(TEXT(K482,"YYYY-MM-DD")&amp;F482,'Outreach Log'!$L:$L,0)),"")</f>
        <v>Email</v>
      </c>
      <c r="M482" s="6" t="str">
        <f>IFERROR(HYPERLINK("#'Outreach Log'!A"&amp;MATCH(TEXT(K482,"YYYY-MM-DD")&amp;F482,'Outreach Log'!$L:$L,0),"→ View"),"—")</f>
        <v>→ View</v>
      </c>
      <c r="N482" s="6" t="str">
        <f>IFERROR(HYPERLINK("#Companies!A"&amp;MATCH(E482,Companies!$B:$B,0),"→ View"),"—")</f>
        <v>→ View</v>
      </c>
    </row>
    <row r="483" spans="1:14">
      <c r="A483" s="9">
        <f>IF(tblContacts[[#This Row],[First Name]]&lt;&gt;0,ROW()-1,"")</f>
        <v>482</v>
      </c>
      <c r="B483" s="50" t="s">
        <v>1207</v>
      </c>
      <c r="C483" s="50" t="s">
        <v>1208</v>
      </c>
      <c r="D483" s="10"/>
      <c r="E483" s="10" t="s">
        <v>2118</v>
      </c>
      <c r="F483" s="10" t="s">
        <v>1209</v>
      </c>
      <c r="G483" s="10"/>
      <c r="H483" s="10" t="s">
        <v>2824</v>
      </c>
      <c r="I483" s="10" t="s">
        <v>14</v>
      </c>
      <c r="J483" s="10"/>
      <c r="K483" s="7" cm="1">
        <f t="array" ref="K483">IFERROR(LOOKUP(2,1/('Outreach Log'!$C$2:$C$9998=F483),'Outreach Log'!$B$2:$B$9998),"")</f>
        <v>46093</v>
      </c>
      <c r="L483" s="5" t="str">
        <f>IFERROR(INDEX('Outreach Log'!$F:$F,MATCH(TEXT(K483,"YYYY-MM-DD")&amp;F483,'Outreach Log'!$L:$L,0)),"")</f>
        <v>Email</v>
      </c>
      <c r="M483" s="6" t="str">
        <f>IFERROR(HYPERLINK("#'Outreach Log'!A"&amp;MATCH(TEXT(K483,"YYYY-MM-DD")&amp;F483,'Outreach Log'!$L:$L,0),"→ View"),"—")</f>
        <v>→ View</v>
      </c>
      <c r="N483" s="6" t="str">
        <f>IFERROR(HYPERLINK("#Companies!A"&amp;MATCH(E483,Companies!$B:$B,0),"→ View"),"—")</f>
        <v>→ View</v>
      </c>
    </row>
    <row r="484" spans="1:14">
      <c r="A484" s="9">
        <f>IF(tblContacts[[#This Row],[First Name]]&lt;&gt;0,ROW()-1,"")</f>
        <v>483</v>
      </c>
      <c r="B484" s="50" t="s">
        <v>1211</v>
      </c>
      <c r="C484" s="50" t="s">
        <v>1212</v>
      </c>
      <c r="D484" s="10"/>
      <c r="E484" s="10" t="s">
        <v>2106</v>
      </c>
      <c r="F484" s="10" t="s">
        <v>1213</v>
      </c>
      <c r="G484" s="10"/>
      <c r="H484" s="10" t="s">
        <v>2824</v>
      </c>
      <c r="I484" s="10" t="s">
        <v>14</v>
      </c>
      <c r="J484" s="10"/>
      <c r="K484" s="7" cm="1">
        <f t="array" ref="K484">IFERROR(LOOKUP(2,1/('Outreach Log'!$C$2:$C$9998=F484),'Outreach Log'!$B$2:$B$9998),"")</f>
        <v>46093</v>
      </c>
      <c r="L484" s="5" t="str">
        <f>IFERROR(INDEX('Outreach Log'!$F:$F,MATCH(TEXT(K484,"YYYY-MM-DD")&amp;F484,'Outreach Log'!$L:$L,0)),"")</f>
        <v>Email</v>
      </c>
      <c r="M484" s="6" t="str">
        <f>IFERROR(HYPERLINK("#'Outreach Log'!A"&amp;MATCH(TEXT(K484,"YYYY-MM-DD")&amp;F484,'Outreach Log'!$L:$L,0),"→ View"),"—")</f>
        <v>→ View</v>
      </c>
      <c r="N484" s="6" t="str">
        <f>IFERROR(HYPERLINK("#Companies!A"&amp;MATCH(E484,Companies!$B:$B,0),"→ View"),"—")</f>
        <v>→ View</v>
      </c>
    </row>
    <row r="485" spans="1:14">
      <c r="A485" s="9">
        <f>IF(tblContacts[[#This Row],[First Name]]&lt;&gt;0,ROW()-1,"")</f>
        <v>484</v>
      </c>
      <c r="B485" s="50" t="s">
        <v>1214</v>
      </c>
      <c r="C485" s="50" t="s">
        <v>1215</v>
      </c>
      <c r="D485" s="10"/>
      <c r="E485" s="10" t="s">
        <v>2120</v>
      </c>
      <c r="F485" s="10" t="s">
        <v>1216</v>
      </c>
      <c r="G485" s="10"/>
      <c r="H485" s="10" t="s">
        <v>2824</v>
      </c>
      <c r="I485" s="10" t="s">
        <v>14</v>
      </c>
      <c r="J485" s="10"/>
      <c r="K485" s="7" cm="1">
        <f t="array" ref="K485">IFERROR(LOOKUP(2,1/('Outreach Log'!$C$2:$C$9998=F485),'Outreach Log'!$B$2:$B$9998),"")</f>
        <v>46093</v>
      </c>
      <c r="L485" s="5" t="str">
        <f>IFERROR(INDEX('Outreach Log'!$F:$F,MATCH(TEXT(K485,"YYYY-MM-DD")&amp;F485,'Outreach Log'!$L:$L,0)),"")</f>
        <v>Email</v>
      </c>
      <c r="M485" s="6" t="str">
        <f>IFERROR(HYPERLINK("#'Outreach Log'!A"&amp;MATCH(TEXT(K485,"YYYY-MM-DD")&amp;F485,'Outreach Log'!$L:$L,0),"→ View"),"—")</f>
        <v>→ View</v>
      </c>
      <c r="N485" s="6" t="str">
        <f>IFERROR(HYPERLINK("#Companies!A"&amp;MATCH(E485,Companies!$B:$B,0),"→ View"),"—")</f>
        <v>→ View</v>
      </c>
    </row>
    <row r="486" spans="1:14">
      <c r="A486" s="9">
        <f>IF(tblContacts[[#This Row],[First Name]]&lt;&gt;0,ROW()-1,"")</f>
        <v>485</v>
      </c>
      <c r="B486" s="50" t="s">
        <v>1217</v>
      </c>
      <c r="C486" s="50" t="s">
        <v>2270</v>
      </c>
      <c r="D486" s="10"/>
      <c r="E486" s="10" t="s">
        <v>2123</v>
      </c>
      <c r="F486" s="10" t="s">
        <v>1218</v>
      </c>
      <c r="G486" s="10"/>
      <c r="H486" s="10" t="s">
        <v>2824</v>
      </c>
      <c r="I486" s="10" t="s">
        <v>14</v>
      </c>
      <c r="J486" s="10"/>
      <c r="K486" s="7" cm="1">
        <f t="array" ref="K486">IFERROR(LOOKUP(2,1/('Outreach Log'!$C$2:$C$9998=F486),'Outreach Log'!$B$2:$B$9998),"")</f>
        <v>46093</v>
      </c>
      <c r="L486" s="5" t="str">
        <f>IFERROR(INDEX('Outreach Log'!$F:$F,MATCH(TEXT(K486,"YYYY-MM-DD")&amp;F486,'Outreach Log'!$L:$L,0)),"")</f>
        <v>Email</v>
      </c>
      <c r="M486" s="6" t="str">
        <f>IFERROR(HYPERLINK("#'Outreach Log'!A"&amp;MATCH(TEXT(K486,"YYYY-MM-DD")&amp;F486,'Outreach Log'!$L:$L,0),"→ View"),"—")</f>
        <v>→ View</v>
      </c>
      <c r="N486" s="6" t="str">
        <f>IFERROR(HYPERLINK("#Companies!A"&amp;MATCH(E486,Companies!$B:$B,0),"→ View"),"—")</f>
        <v>→ View</v>
      </c>
    </row>
    <row r="487" spans="1:14">
      <c r="A487" s="9">
        <f>IF(tblContacts[[#This Row],[First Name]]&lt;&gt;0,ROW()-1,"")</f>
        <v>486</v>
      </c>
      <c r="B487" s="50" t="s">
        <v>1222</v>
      </c>
      <c r="C487" s="50"/>
      <c r="D487" s="10"/>
      <c r="E487" s="10" t="s">
        <v>327</v>
      </c>
      <c r="F487" s="10" t="s">
        <v>1223</v>
      </c>
      <c r="G487" s="10"/>
      <c r="H487" s="10" t="s">
        <v>2824</v>
      </c>
      <c r="I487" s="10" t="s">
        <v>14</v>
      </c>
      <c r="J487" s="10"/>
      <c r="K487" s="7" cm="1">
        <f t="array" ref="K487">IFERROR(LOOKUP(2,1/('Outreach Log'!$C$2:$C$9998=F487),'Outreach Log'!$B$2:$B$9998),"")</f>
        <v>46093</v>
      </c>
      <c r="L487" s="5" t="str">
        <f>IFERROR(INDEX('Outreach Log'!$F:$F,MATCH(TEXT(K487,"YYYY-MM-DD")&amp;F487,'Outreach Log'!$L:$L,0)),"")</f>
        <v>Email</v>
      </c>
      <c r="M487" s="6" t="str">
        <f>IFERROR(HYPERLINK("#'Outreach Log'!A"&amp;MATCH(TEXT(K487,"YYYY-MM-DD")&amp;F487,'Outreach Log'!$L:$L,0),"→ View"),"—")</f>
        <v>→ View</v>
      </c>
      <c r="N487" s="6" t="str">
        <f>IFERROR(HYPERLINK("#Companies!A"&amp;MATCH(E487,Companies!$B:$B,0),"→ View"),"—")</f>
        <v>→ View</v>
      </c>
    </row>
    <row r="488" spans="1:14">
      <c r="A488" s="9">
        <f>IF(tblContacts[[#This Row],[First Name]]&lt;&gt;0,ROW()-1,"")</f>
        <v>487</v>
      </c>
      <c r="B488" s="50" t="s">
        <v>1224</v>
      </c>
      <c r="C488" s="50" t="s">
        <v>1225</v>
      </c>
      <c r="D488" s="10"/>
      <c r="E488" s="10" t="s">
        <v>330</v>
      </c>
      <c r="F488" s="10" t="s">
        <v>1226</v>
      </c>
      <c r="G488" s="10"/>
      <c r="H488" s="10" t="s">
        <v>2824</v>
      </c>
      <c r="I488" s="10" t="s">
        <v>14</v>
      </c>
      <c r="J488" s="10"/>
      <c r="K488" s="7" cm="1">
        <f t="array" ref="K488">IFERROR(LOOKUP(2,1/('Outreach Log'!$C$2:$C$9998=F488),'Outreach Log'!$B$2:$B$9998),"")</f>
        <v>46093</v>
      </c>
      <c r="L488" s="5" t="str">
        <f>IFERROR(INDEX('Outreach Log'!$F:$F,MATCH(TEXT(K488,"YYYY-MM-DD")&amp;F488,'Outreach Log'!$L:$L,0)),"")</f>
        <v>Email</v>
      </c>
      <c r="M488" s="6" t="str">
        <f>IFERROR(HYPERLINK("#'Outreach Log'!A"&amp;MATCH(TEXT(K488,"YYYY-MM-DD")&amp;F488,'Outreach Log'!$L:$L,0),"→ View"),"—")</f>
        <v>→ View</v>
      </c>
      <c r="N488" s="6" t="str">
        <f>IFERROR(HYPERLINK("#Companies!A"&amp;MATCH(E488,Companies!$B:$B,0),"→ View"),"—")</f>
        <v>→ View</v>
      </c>
    </row>
    <row r="489" spans="1:14">
      <c r="A489" s="9">
        <f>IF(tblContacts[[#This Row],[First Name]]&lt;&gt;0,ROW()-1,"")</f>
        <v>488</v>
      </c>
      <c r="B489" s="50" t="s">
        <v>2040</v>
      </c>
      <c r="C489" s="50" t="s">
        <v>2041</v>
      </c>
      <c r="D489" s="10" t="s">
        <v>768</v>
      </c>
      <c r="E489" s="10" t="s">
        <v>2805</v>
      </c>
      <c r="F489" s="10" t="s">
        <v>2042</v>
      </c>
      <c r="G489" s="10"/>
      <c r="H489" s="10" t="s">
        <v>2824</v>
      </c>
      <c r="I489" s="10" t="s">
        <v>14</v>
      </c>
      <c r="J489" s="10"/>
      <c r="K489" s="7" cm="1">
        <f t="array" ref="K489">IFERROR(LOOKUP(2,1/('Outreach Log'!$C$2:$C$9998=F489),'Outreach Log'!$B$2:$B$9998),"")</f>
        <v>46093</v>
      </c>
      <c r="L489" s="5" t="str">
        <f>IFERROR(INDEX('Outreach Log'!$F:$F,MATCH(TEXT(K489,"YYYY-MM-DD")&amp;F489,'Outreach Log'!$L:$L,0)),"")</f>
        <v>Email</v>
      </c>
      <c r="M489" s="6" t="str">
        <f>IFERROR(HYPERLINK("#'Outreach Log'!A"&amp;MATCH(TEXT(K489,"YYYY-MM-DD")&amp;F489,'Outreach Log'!$L:$L,0),"→ View"),"—")</f>
        <v>→ View</v>
      </c>
      <c r="N489" s="6" t="str">
        <f>IFERROR(HYPERLINK("#Companies!A"&amp;MATCH(E489,Companies!$B:$B,0),"→ View"),"—")</f>
        <v>→ View</v>
      </c>
    </row>
    <row r="490" spans="1:14">
      <c r="A490" s="9">
        <f>IF(tblContacts[[#This Row],[First Name]]&lt;&gt;0,ROW()-1,"")</f>
        <v>489</v>
      </c>
      <c r="B490" s="50" t="s">
        <v>1233</v>
      </c>
      <c r="C490" s="50" t="s">
        <v>2272</v>
      </c>
      <c r="D490" s="10"/>
      <c r="E490" s="10" t="s">
        <v>2139</v>
      </c>
      <c r="F490" s="10" t="s">
        <v>1234</v>
      </c>
      <c r="G490" s="10"/>
      <c r="H490" s="10" t="s">
        <v>2824</v>
      </c>
      <c r="I490" s="10" t="s">
        <v>14</v>
      </c>
      <c r="J490" s="10"/>
      <c r="K490" s="7" cm="1">
        <f t="array" ref="K490">IFERROR(LOOKUP(2,1/('Outreach Log'!$C$2:$C$9998=F490),'Outreach Log'!$B$2:$B$9998),"")</f>
        <v>46093</v>
      </c>
      <c r="L490" s="5" t="str">
        <f>IFERROR(INDEX('Outreach Log'!$F:$F,MATCH(TEXT(K490,"YYYY-MM-DD")&amp;F490,'Outreach Log'!$L:$L,0)),"")</f>
        <v>Email</v>
      </c>
      <c r="M490" s="6" t="str">
        <f>IFERROR(HYPERLINK("#'Outreach Log'!A"&amp;MATCH(TEXT(K490,"YYYY-MM-DD")&amp;F490,'Outreach Log'!$L:$L,0),"→ View"),"—")</f>
        <v>→ View</v>
      </c>
      <c r="N490" s="6" t="str">
        <f>IFERROR(HYPERLINK("#Companies!A"&amp;MATCH(E490,Companies!$B:$B,0),"→ View"),"—")</f>
        <v>→ View</v>
      </c>
    </row>
    <row r="491" spans="1:14">
      <c r="A491" s="9">
        <f>IF(tblContacts[[#This Row],[First Name]]&lt;&gt;0,ROW()-1,"")</f>
        <v>490</v>
      </c>
      <c r="B491" s="50" t="s">
        <v>874</v>
      </c>
      <c r="C491" s="50" t="s">
        <v>2273</v>
      </c>
      <c r="D491" s="10"/>
      <c r="E491" s="10" t="s">
        <v>2156</v>
      </c>
      <c r="F491" s="10" t="s">
        <v>1236</v>
      </c>
      <c r="G491" s="10"/>
      <c r="H491" s="10" t="s">
        <v>2824</v>
      </c>
      <c r="I491" s="10" t="s">
        <v>14</v>
      </c>
      <c r="J491" s="10"/>
      <c r="K491" s="7" cm="1">
        <f t="array" ref="K491">IFERROR(LOOKUP(2,1/('Outreach Log'!$C$2:$C$9998=F491),'Outreach Log'!$B$2:$B$9998),"")</f>
        <v>46093</v>
      </c>
      <c r="L491" s="5" t="str">
        <f>IFERROR(INDEX('Outreach Log'!$F:$F,MATCH(TEXT(K491,"YYYY-MM-DD")&amp;F491,'Outreach Log'!$L:$L,0)),"")</f>
        <v>Email</v>
      </c>
      <c r="M491" s="6" t="str">
        <f>IFERROR(HYPERLINK("#'Outreach Log'!A"&amp;MATCH(TEXT(K491,"YYYY-MM-DD")&amp;F491,'Outreach Log'!$L:$L,0),"→ View"),"—")</f>
        <v>→ View</v>
      </c>
      <c r="N491" s="6" t="str">
        <f>IFERROR(HYPERLINK("#Companies!A"&amp;MATCH(E491,Companies!$B:$B,0),"→ View"),"—")</f>
        <v>→ View</v>
      </c>
    </row>
    <row r="492" spans="1:14">
      <c r="A492" s="9">
        <f>IF(tblContacts[[#This Row],[First Name]]&lt;&gt;0,ROW()-1,"")</f>
        <v>491</v>
      </c>
      <c r="B492" s="50" t="s">
        <v>754</v>
      </c>
      <c r="C492" s="50" t="s">
        <v>1237</v>
      </c>
      <c r="D492" s="10"/>
      <c r="E492" s="10" t="s">
        <v>2155</v>
      </c>
      <c r="F492" s="10" t="s">
        <v>1238</v>
      </c>
      <c r="G492" s="10"/>
      <c r="H492" s="10" t="s">
        <v>2824</v>
      </c>
      <c r="I492" s="10" t="s">
        <v>14</v>
      </c>
      <c r="J492" s="10"/>
      <c r="K492" s="7" cm="1">
        <f t="array" ref="K492">IFERROR(LOOKUP(2,1/('Outreach Log'!$C$2:$C$9998=F492),'Outreach Log'!$B$2:$B$9998),"")</f>
        <v>46093</v>
      </c>
      <c r="L492" s="5" t="str">
        <f>IFERROR(INDEX('Outreach Log'!$F:$F,MATCH(TEXT(K492,"YYYY-MM-DD")&amp;F492,'Outreach Log'!$L:$L,0)),"")</f>
        <v>Email</v>
      </c>
      <c r="M492" s="6" t="str">
        <f>IFERROR(HYPERLINK("#'Outreach Log'!A"&amp;MATCH(TEXT(K492,"YYYY-MM-DD")&amp;F492,'Outreach Log'!$L:$L,0),"→ View"),"—")</f>
        <v>→ View</v>
      </c>
      <c r="N492" s="6" t="str">
        <f>IFERROR(HYPERLINK("#Companies!A"&amp;MATCH(E492,Companies!$B:$B,0),"→ View"),"—")</f>
        <v>→ View</v>
      </c>
    </row>
    <row r="493" spans="1:14">
      <c r="A493" s="9">
        <f>IF(tblContacts[[#This Row],[First Name]]&lt;&gt;0,ROW()-1,"")</f>
        <v>492</v>
      </c>
      <c r="B493" s="50" t="s">
        <v>1239</v>
      </c>
      <c r="C493" s="50" t="s">
        <v>1240</v>
      </c>
      <c r="D493" s="10"/>
      <c r="E493" s="10" t="s">
        <v>2157</v>
      </c>
      <c r="F493" s="10" t="s">
        <v>1241</v>
      </c>
      <c r="G493" s="10"/>
      <c r="H493" s="10" t="s">
        <v>2824</v>
      </c>
      <c r="I493" s="10" t="s">
        <v>14</v>
      </c>
      <c r="J493" s="10"/>
      <c r="K493" s="7" cm="1">
        <f t="array" ref="K493">IFERROR(LOOKUP(2,1/('Outreach Log'!$C$2:$C$9998=F493),'Outreach Log'!$B$2:$B$9998),"")</f>
        <v>46093</v>
      </c>
      <c r="L493" s="5" t="str">
        <f>IFERROR(INDEX('Outreach Log'!$F:$F,MATCH(TEXT(K493,"YYYY-MM-DD")&amp;F493,'Outreach Log'!$L:$L,0)),"")</f>
        <v>Email</v>
      </c>
      <c r="M493" s="6" t="str">
        <f>IFERROR(HYPERLINK("#'Outreach Log'!A"&amp;MATCH(TEXT(K493,"YYYY-MM-DD")&amp;F493,'Outreach Log'!$L:$L,0),"→ View"),"—")</f>
        <v>→ View</v>
      </c>
      <c r="N493" s="6" t="str">
        <f>IFERROR(HYPERLINK("#Companies!A"&amp;MATCH(E493,Companies!$B:$B,0),"→ View"),"—")</f>
        <v>→ View</v>
      </c>
    </row>
    <row r="494" spans="1:14">
      <c r="A494" s="9">
        <f>IF(tblContacts[[#This Row],[First Name]]&lt;&gt;0,ROW()-1,"")</f>
        <v>493</v>
      </c>
      <c r="B494" s="50" t="s">
        <v>1242</v>
      </c>
      <c r="C494" s="50" t="s">
        <v>1243</v>
      </c>
      <c r="D494" s="10"/>
      <c r="E494" s="10" t="s">
        <v>2153</v>
      </c>
      <c r="F494" s="10" t="s">
        <v>1244</v>
      </c>
      <c r="G494" s="10"/>
      <c r="H494" s="10" t="s">
        <v>2824</v>
      </c>
      <c r="I494" s="10" t="s">
        <v>14</v>
      </c>
      <c r="J494" s="10"/>
      <c r="K494" s="7" cm="1">
        <f t="array" ref="K494">IFERROR(LOOKUP(2,1/('Outreach Log'!$C$2:$C$9998=F494),'Outreach Log'!$B$2:$B$9998),"")</f>
        <v>46093</v>
      </c>
      <c r="L494" s="5" t="str">
        <f>IFERROR(INDEX('Outreach Log'!$F:$F,MATCH(TEXT(K494,"YYYY-MM-DD")&amp;F494,'Outreach Log'!$L:$L,0)),"")</f>
        <v>Email</v>
      </c>
      <c r="M494" s="6" t="str">
        <f>IFERROR(HYPERLINK("#'Outreach Log'!A"&amp;MATCH(TEXT(K494,"YYYY-MM-DD")&amp;F494,'Outreach Log'!$L:$L,0),"→ View"),"—")</f>
        <v>→ View</v>
      </c>
      <c r="N494" s="6" t="str">
        <f>IFERROR(HYPERLINK("#Companies!A"&amp;MATCH(E494,Companies!$B:$B,0),"→ View"),"—")</f>
        <v>→ View</v>
      </c>
    </row>
    <row r="495" spans="1:14">
      <c r="A495" s="9">
        <f>IF(tblContacts[[#This Row],[First Name]]&lt;&gt;0,ROW()-1,"")</f>
        <v>494</v>
      </c>
      <c r="B495" s="50" t="s">
        <v>779</v>
      </c>
      <c r="C495" s="50" t="s">
        <v>1245</v>
      </c>
      <c r="D495" s="10"/>
      <c r="E495" s="10" t="s">
        <v>2154</v>
      </c>
      <c r="F495" s="10" t="s">
        <v>1246</v>
      </c>
      <c r="G495" s="10"/>
      <c r="H495" s="10" t="s">
        <v>2824</v>
      </c>
      <c r="I495" s="10" t="s">
        <v>14</v>
      </c>
      <c r="J495" s="10"/>
      <c r="K495" s="7" cm="1">
        <f t="array" ref="K495">IFERROR(LOOKUP(2,1/('Outreach Log'!$C$2:$C$9998=F495),'Outreach Log'!$B$2:$B$9998),"")</f>
        <v>46093</v>
      </c>
      <c r="L495" s="5" t="str">
        <f>IFERROR(INDEX('Outreach Log'!$F:$F,MATCH(TEXT(K495,"YYYY-MM-DD")&amp;F495,'Outreach Log'!$L:$L,0)),"")</f>
        <v>Email</v>
      </c>
      <c r="M495" s="6" t="str">
        <f>IFERROR(HYPERLINK("#'Outreach Log'!A"&amp;MATCH(TEXT(K495,"YYYY-MM-DD")&amp;F495,'Outreach Log'!$L:$L,0),"→ View"),"—")</f>
        <v>→ View</v>
      </c>
      <c r="N495" s="6" t="str">
        <f>IFERROR(HYPERLINK("#Companies!A"&amp;MATCH(E495,Companies!$B:$B,0),"→ View"),"—")</f>
        <v>→ View</v>
      </c>
    </row>
    <row r="496" spans="1:14">
      <c r="A496" s="9">
        <f>IF(tblContacts[[#This Row],[First Name]]&lt;&gt;0,ROW()-1,"")</f>
        <v>495</v>
      </c>
      <c r="B496" s="50" t="s">
        <v>1247</v>
      </c>
      <c r="C496" s="50" t="s">
        <v>1248</v>
      </c>
      <c r="D496" s="10"/>
      <c r="E496" s="10" t="s">
        <v>2159</v>
      </c>
      <c r="F496" s="10" t="s">
        <v>1249</v>
      </c>
      <c r="G496" s="10"/>
      <c r="H496" s="10" t="s">
        <v>2824</v>
      </c>
      <c r="I496" s="10" t="s">
        <v>14</v>
      </c>
      <c r="J496" s="10"/>
      <c r="K496" s="7" cm="1">
        <f t="array" ref="K496">IFERROR(LOOKUP(2,1/('Outreach Log'!$C$2:$C$9998=F496),'Outreach Log'!$B$2:$B$9998),"")</f>
        <v>46093</v>
      </c>
      <c r="L496" s="5" t="str">
        <f>IFERROR(INDEX('Outreach Log'!$F:$F,MATCH(TEXT(K496,"YYYY-MM-DD")&amp;F496,'Outreach Log'!$L:$L,0)),"")</f>
        <v>Email</v>
      </c>
      <c r="M496" s="6" t="str">
        <f>IFERROR(HYPERLINK("#'Outreach Log'!A"&amp;MATCH(TEXT(K496,"YYYY-MM-DD")&amp;F496,'Outreach Log'!$L:$L,0),"→ View"),"—")</f>
        <v>→ View</v>
      </c>
      <c r="N496" s="6" t="str">
        <f>IFERROR(HYPERLINK("#Companies!A"&amp;MATCH(E496,Companies!$B:$B,0),"→ View"),"—")</f>
        <v>→ View</v>
      </c>
    </row>
    <row r="497" spans="1:14">
      <c r="A497" s="9">
        <f>IF(tblContacts[[#This Row],[First Name]]&lt;&gt;0,ROW()-1,"")</f>
        <v>496</v>
      </c>
      <c r="B497" s="50" t="s">
        <v>1250</v>
      </c>
      <c r="C497" s="50" t="s">
        <v>799</v>
      </c>
      <c r="D497" s="10"/>
      <c r="E497" s="10" t="s">
        <v>2162</v>
      </c>
      <c r="F497" s="10" t="s">
        <v>1251</v>
      </c>
      <c r="G497" s="10"/>
      <c r="H497" s="10" t="s">
        <v>2824</v>
      </c>
      <c r="I497" s="10" t="s">
        <v>14</v>
      </c>
      <c r="J497" s="10"/>
      <c r="K497" s="7" cm="1">
        <f t="array" ref="K497">IFERROR(LOOKUP(2,1/('Outreach Log'!$C$2:$C$9998=F497),'Outreach Log'!$B$2:$B$9998),"")</f>
        <v>46093</v>
      </c>
      <c r="L497" s="5" t="str">
        <f>IFERROR(INDEX('Outreach Log'!$F:$F,MATCH(TEXT(K497,"YYYY-MM-DD")&amp;F497,'Outreach Log'!$L:$L,0)),"")</f>
        <v>Email</v>
      </c>
      <c r="M497" s="6" t="str">
        <f>IFERROR(HYPERLINK("#'Outreach Log'!A"&amp;MATCH(TEXT(K497,"YYYY-MM-DD")&amp;F497,'Outreach Log'!$L:$L,0),"→ View"),"—")</f>
        <v>→ View</v>
      </c>
      <c r="N497" s="6" t="str">
        <f>IFERROR(HYPERLINK("#Companies!A"&amp;MATCH(E497,Companies!$B:$B,0),"→ View"),"—")</f>
        <v>→ View</v>
      </c>
    </row>
    <row r="498" spans="1:14">
      <c r="A498" s="9">
        <f>IF(tblContacts[[#This Row],[First Name]]&lt;&gt;0,ROW()-1,"")</f>
        <v>497</v>
      </c>
      <c r="B498" s="50" t="s">
        <v>1253</v>
      </c>
      <c r="C498" s="50" t="s">
        <v>1254</v>
      </c>
      <c r="D498" s="10"/>
      <c r="E498" s="10" t="s">
        <v>298</v>
      </c>
      <c r="F498" s="10" t="s">
        <v>1255</v>
      </c>
      <c r="G498" s="10"/>
      <c r="H498" s="10" t="s">
        <v>2824</v>
      </c>
      <c r="I498" s="10" t="s">
        <v>14</v>
      </c>
      <c r="J498" s="10"/>
      <c r="K498" s="7" cm="1">
        <f t="array" ref="K498">IFERROR(LOOKUP(2,1/('Outreach Log'!$C$2:$C$9998=F498),'Outreach Log'!$B$2:$B$9998),"")</f>
        <v>46093</v>
      </c>
      <c r="L498" s="5" t="str">
        <f>IFERROR(INDEX('Outreach Log'!$F:$F,MATCH(TEXT(K498,"YYYY-MM-DD")&amp;F498,'Outreach Log'!$L:$L,0)),"")</f>
        <v>Email</v>
      </c>
      <c r="M498" s="6" t="str">
        <f>IFERROR(HYPERLINK("#'Outreach Log'!A"&amp;MATCH(TEXT(K498,"YYYY-MM-DD")&amp;F498,'Outreach Log'!$L:$L,0),"→ View"),"—")</f>
        <v>→ View</v>
      </c>
      <c r="N498" s="6" t="str">
        <f>IFERROR(HYPERLINK("#Companies!A"&amp;MATCH(E498,Companies!$B:$B,0),"→ View"),"—")</f>
        <v>→ View</v>
      </c>
    </row>
    <row r="499" spans="1:14">
      <c r="A499" s="9">
        <f>IF(tblContacts[[#This Row],[First Name]]&lt;&gt;0,ROW()-1,"")</f>
        <v>498</v>
      </c>
      <c r="B499" s="50" t="s">
        <v>926</v>
      </c>
      <c r="C499" s="50" t="s">
        <v>1256</v>
      </c>
      <c r="D499" s="10"/>
      <c r="E499" s="10" t="s">
        <v>2148</v>
      </c>
      <c r="F499" s="10" t="s">
        <v>1257</v>
      </c>
      <c r="G499" s="10"/>
      <c r="H499" s="10" t="s">
        <v>2824</v>
      </c>
      <c r="I499" s="10" t="s">
        <v>14</v>
      </c>
      <c r="J499" s="10"/>
      <c r="K499" s="7" cm="1">
        <f t="array" ref="K499">IFERROR(LOOKUP(2,1/('Outreach Log'!$C$2:$C$9998=F499),'Outreach Log'!$B$2:$B$9998),"")</f>
        <v>46093</v>
      </c>
      <c r="L499" s="5" t="str">
        <f>IFERROR(INDEX('Outreach Log'!$F:$F,MATCH(TEXT(K499,"YYYY-MM-DD")&amp;F499,'Outreach Log'!$L:$L,0)),"")</f>
        <v>Email</v>
      </c>
      <c r="M499" s="6" t="str">
        <f>IFERROR(HYPERLINK("#'Outreach Log'!A"&amp;MATCH(TEXT(K499,"YYYY-MM-DD")&amp;F499,'Outreach Log'!$L:$L,0),"→ View"),"—")</f>
        <v>→ View</v>
      </c>
      <c r="N499" s="6" t="str">
        <f>IFERROR(HYPERLINK("#Companies!A"&amp;MATCH(E499,Companies!$B:$B,0),"→ View"),"—")</f>
        <v>→ View</v>
      </c>
    </row>
    <row r="500" spans="1:14">
      <c r="A500" s="9">
        <f>IF(tblContacts[[#This Row],[First Name]]&lt;&gt;0,ROW()-1,"")</f>
        <v>499</v>
      </c>
      <c r="B500" s="50" t="s">
        <v>1258</v>
      </c>
      <c r="C500" s="50" t="s">
        <v>1259</v>
      </c>
      <c r="D500" s="10"/>
      <c r="E500" s="10" t="s">
        <v>348</v>
      </c>
      <c r="F500" s="10" t="s">
        <v>1260</v>
      </c>
      <c r="G500" s="10"/>
      <c r="H500" s="10" t="s">
        <v>2824</v>
      </c>
      <c r="I500" s="10" t="s">
        <v>14</v>
      </c>
      <c r="J500" s="10"/>
      <c r="K500" s="7" cm="1">
        <f t="array" ref="K500">IFERROR(LOOKUP(2,1/('Outreach Log'!$C$2:$C$9998=F500),'Outreach Log'!$B$2:$B$9998),"")</f>
        <v>46093</v>
      </c>
      <c r="L500" s="5" t="str">
        <f>IFERROR(INDEX('Outreach Log'!$F:$F,MATCH(TEXT(K500,"YYYY-MM-DD")&amp;F500,'Outreach Log'!$L:$L,0)),"")</f>
        <v>Email</v>
      </c>
      <c r="M500" s="6" t="str">
        <f>IFERROR(HYPERLINK("#'Outreach Log'!A"&amp;MATCH(TEXT(K500,"YYYY-MM-DD")&amp;F500,'Outreach Log'!$L:$L,0),"→ View"),"—")</f>
        <v>→ View</v>
      </c>
      <c r="N500" s="6" t="str">
        <f>IFERROR(HYPERLINK("#Companies!A"&amp;MATCH(E500,Companies!$B:$B,0),"→ View"),"—")</f>
        <v>→ View</v>
      </c>
    </row>
    <row r="501" spans="1:14">
      <c r="A501" s="9">
        <f>IF(tblContacts[[#This Row],[First Name]]&lt;&gt;0,ROW()-1,"")</f>
        <v>500</v>
      </c>
      <c r="B501" s="50" t="s">
        <v>1261</v>
      </c>
      <c r="C501" s="50" t="s">
        <v>1262</v>
      </c>
      <c r="D501" s="10"/>
      <c r="E501" s="10" t="s">
        <v>2165</v>
      </c>
      <c r="F501" s="10" t="s">
        <v>1263</v>
      </c>
      <c r="G501" s="10"/>
      <c r="H501" s="10" t="s">
        <v>2824</v>
      </c>
      <c r="I501" s="10" t="s">
        <v>14</v>
      </c>
      <c r="J501" s="10"/>
      <c r="K501" s="7" cm="1">
        <f t="array" ref="K501">IFERROR(LOOKUP(2,1/('Outreach Log'!$C$2:$C$9998=F501),'Outreach Log'!$B$2:$B$9998),"")</f>
        <v>46093</v>
      </c>
      <c r="L501" s="5" t="str">
        <f>IFERROR(INDEX('Outreach Log'!$F:$F,MATCH(TEXT(K501,"YYYY-MM-DD")&amp;F501,'Outreach Log'!$L:$L,0)),"")</f>
        <v>Email</v>
      </c>
      <c r="M501" s="6" t="str">
        <f>IFERROR(HYPERLINK("#'Outreach Log'!A"&amp;MATCH(TEXT(K501,"YYYY-MM-DD")&amp;F501,'Outreach Log'!$L:$L,0),"→ View"),"—")</f>
        <v>→ View</v>
      </c>
      <c r="N501" s="6" t="str">
        <f>IFERROR(HYPERLINK("#Companies!A"&amp;MATCH(E501,Companies!$B:$B,0),"→ View"),"—")</f>
        <v>→ View</v>
      </c>
    </row>
    <row r="502" spans="1:14">
      <c r="A502" s="9">
        <f>IF(tblContacts[[#This Row],[First Name]]&lt;&gt;0,ROW()-1,"")</f>
        <v>501</v>
      </c>
      <c r="B502" s="50" t="s">
        <v>1267</v>
      </c>
      <c r="C502" s="50" t="s">
        <v>2274</v>
      </c>
      <c r="D502" s="10"/>
      <c r="E502" s="10" t="s">
        <v>351</v>
      </c>
      <c r="F502" s="10" t="s">
        <v>1268</v>
      </c>
      <c r="G502" s="10"/>
      <c r="H502" s="10" t="s">
        <v>2824</v>
      </c>
      <c r="I502" s="10" t="s">
        <v>14</v>
      </c>
      <c r="J502" s="10"/>
      <c r="K502" s="7" cm="1">
        <f t="array" ref="K502">IFERROR(LOOKUP(2,1/('Outreach Log'!$C$2:$C$9998=F502),'Outreach Log'!$B$2:$B$9998),"")</f>
        <v>46093</v>
      </c>
      <c r="L502" s="5" t="str">
        <f>IFERROR(INDEX('Outreach Log'!$F:$F,MATCH(TEXT(K502,"YYYY-MM-DD")&amp;F502,'Outreach Log'!$L:$L,0)),"")</f>
        <v>Email</v>
      </c>
      <c r="M502" s="6" t="str">
        <f>IFERROR(HYPERLINK("#'Outreach Log'!A"&amp;MATCH(TEXT(K502,"YYYY-MM-DD")&amp;F502,'Outreach Log'!$L:$L,0),"→ View"),"—")</f>
        <v>→ View</v>
      </c>
      <c r="N502" s="6" t="str">
        <f>IFERROR(HYPERLINK("#Companies!A"&amp;MATCH(E502,Companies!$B:$B,0),"→ View"),"—")</f>
        <v>→ View</v>
      </c>
    </row>
    <row r="503" spans="1:14">
      <c r="A503" s="9">
        <f>IF(tblContacts[[#This Row],[First Name]]&lt;&gt;0,ROW()-1,"")</f>
        <v>502</v>
      </c>
      <c r="B503" s="50" t="s">
        <v>1269</v>
      </c>
      <c r="C503" s="50"/>
      <c r="D503" s="10"/>
      <c r="E503" s="10" t="s">
        <v>2121</v>
      </c>
      <c r="F503" s="10" t="s">
        <v>1270</v>
      </c>
      <c r="G503" s="10"/>
      <c r="H503" s="10" t="s">
        <v>2824</v>
      </c>
      <c r="I503" s="10" t="s">
        <v>14</v>
      </c>
      <c r="J503" s="10"/>
      <c r="K503" s="7" cm="1">
        <f t="array" ref="K503">IFERROR(LOOKUP(2,1/('Outreach Log'!$C$2:$C$9998=F503),'Outreach Log'!$B$2:$B$9998),"")</f>
        <v>46093</v>
      </c>
      <c r="L503" s="5" t="str">
        <f>IFERROR(INDEX('Outreach Log'!$F:$F,MATCH(TEXT(K503,"YYYY-MM-DD")&amp;F503,'Outreach Log'!$L:$L,0)),"")</f>
        <v>Email</v>
      </c>
      <c r="M503" s="6" t="str">
        <f>IFERROR(HYPERLINK("#'Outreach Log'!A"&amp;MATCH(TEXT(K503,"YYYY-MM-DD")&amp;F503,'Outreach Log'!$L:$L,0),"→ View"),"—")</f>
        <v>→ View</v>
      </c>
      <c r="N503" s="6" t="str">
        <f>IFERROR(HYPERLINK("#Companies!A"&amp;MATCH(E503,Companies!$B:$B,0),"→ View"),"—")</f>
        <v>→ View</v>
      </c>
    </row>
    <row r="504" spans="1:14">
      <c r="A504" s="9">
        <f>IF(tblContacts[[#This Row],[First Name]]&lt;&gt;0,ROW()-1,"")</f>
        <v>503</v>
      </c>
      <c r="B504" s="50" t="s">
        <v>1227</v>
      </c>
      <c r="C504" s="50" t="s">
        <v>2275</v>
      </c>
      <c r="D504" s="10"/>
      <c r="E504" s="10" t="s">
        <v>355</v>
      </c>
      <c r="F504" s="10" t="s">
        <v>1271</v>
      </c>
      <c r="G504" s="10"/>
      <c r="H504" s="10" t="s">
        <v>2824</v>
      </c>
      <c r="I504" s="10" t="s">
        <v>14</v>
      </c>
      <c r="J504" s="10"/>
      <c r="K504" s="7" cm="1">
        <f t="array" ref="K504">IFERROR(LOOKUP(2,1/('Outreach Log'!$C$2:$C$9998=F504),'Outreach Log'!$B$2:$B$9998),"")</f>
        <v>46093</v>
      </c>
      <c r="L504" s="5" t="str">
        <f>IFERROR(INDEX('Outreach Log'!$F:$F,MATCH(TEXT(K504,"YYYY-MM-DD")&amp;F504,'Outreach Log'!$L:$L,0)),"")</f>
        <v>Email</v>
      </c>
      <c r="M504" s="6" t="str">
        <f>IFERROR(HYPERLINK("#'Outreach Log'!A"&amp;MATCH(TEXT(K504,"YYYY-MM-DD")&amp;F504,'Outreach Log'!$L:$L,0),"→ View"),"—")</f>
        <v>→ View</v>
      </c>
      <c r="N504" s="6" t="str">
        <f>IFERROR(HYPERLINK("#Companies!A"&amp;MATCH(E504,Companies!$B:$B,0),"→ View"),"—")</f>
        <v>→ View</v>
      </c>
    </row>
    <row r="505" spans="1:14">
      <c r="A505" s="9">
        <f>IF(tblContacts[[#This Row],[First Name]]&lt;&gt;0,ROW()-1,"")</f>
        <v>504</v>
      </c>
      <c r="B505" s="50" t="s">
        <v>1275</v>
      </c>
      <c r="C505" s="50" t="s">
        <v>1276</v>
      </c>
      <c r="D505" s="10"/>
      <c r="E505" s="10" t="s">
        <v>2127</v>
      </c>
      <c r="F505" s="10" t="s">
        <v>1277</v>
      </c>
      <c r="G505" s="10"/>
      <c r="H505" s="10" t="s">
        <v>2824</v>
      </c>
      <c r="I505" s="10" t="s">
        <v>14</v>
      </c>
      <c r="J505" s="10"/>
      <c r="K505" s="7" cm="1">
        <f t="array" ref="K505">IFERROR(LOOKUP(2,1/('Outreach Log'!$C$2:$C$9998=F505),'Outreach Log'!$B$2:$B$9998),"")</f>
        <v>46093</v>
      </c>
      <c r="L505" s="5" t="str">
        <f>IFERROR(INDEX('Outreach Log'!$F:$F,MATCH(TEXT(K505,"YYYY-MM-DD")&amp;F505,'Outreach Log'!$L:$L,0)),"")</f>
        <v>Email</v>
      </c>
      <c r="M505" s="6" t="str">
        <f>IFERROR(HYPERLINK("#'Outreach Log'!A"&amp;MATCH(TEXT(K505,"YYYY-MM-DD")&amp;F505,'Outreach Log'!$L:$L,0),"→ View"),"—")</f>
        <v>→ View</v>
      </c>
      <c r="N505" s="6" t="str">
        <f>IFERROR(HYPERLINK("#Companies!A"&amp;MATCH(E505,Companies!$B:$B,0),"→ View"),"—")</f>
        <v>→ View</v>
      </c>
    </row>
    <row r="506" spans="1:14">
      <c r="A506" s="9">
        <f>IF(tblContacts[[#This Row],[First Name]]&lt;&gt;0,ROW()-1,"")</f>
        <v>505</v>
      </c>
      <c r="B506" s="50" t="s">
        <v>1278</v>
      </c>
      <c r="C506" s="50" t="s">
        <v>1279</v>
      </c>
      <c r="D506" s="10"/>
      <c r="E506" s="10" t="s">
        <v>360</v>
      </c>
      <c r="F506" s="10" t="s">
        <v>1280</v>
      </c>
      <c r="G506" s="10"/>
      <c r="H506" s="10" t="s">
        <v>2824</v>
      </c>
      <c r="I506" s="10" t="s">
        <v>14</v>
      </c>
      <c r="J506" s="10"/>
      <c r="K506" s="7" cm="1">
        <f t="array" ref="K506">IFERROR(LOOKUP(2,1/('Outreach Log'!$C$2:$C$9998=F506),'Outreach Log'!$B$2:$B$9998),"")</f>
        <v>46093</v>
      </c>
      <c r="L506" s="5" t="str">
        <f>IFERROR(INDEX('Outreach Log'!$F:$F,MATCH(TEXT(K506,"YYYY-MM-DD")&amp;F506,'Outreach Log'!$L:$L,0)),"")</f>
        <v>Email</v>
      </c>
      <c r="M506" s="6" t="str">
        <f>IFERROR(HYPERLINK("#'Outreach Log'!A"&amp;MATCH(TEXT(K506,"YYYY-MM-DD")&amp;F506,'Outreach Log'!$L:$L,0),"→ View"),"—")</f>
        <v>→ View</v>
      </c>
      <c r="N506" s="6" t="str">
        <f>IFERROR(HYPERLINK("#Companies!A"&amp;MATCH(E506,Companies!$B:$B,0),"→ View"),"—")</f>
        <v>→ View</v>
      </c>
    </row>
    <row r="507" spans="1:14">
      <c r="A507" s="9">
        <f>IF(tblContacts[[#This Row],[First Name]]&lt;&gt;0,ROW()-1,"")</f>
        <v>506</v>
      </c>
      <c r="B507" s="50" t="s">
        <v>1281</v>
      </c>
      <c r="C507" s="50" t="s">
        <v>1259</v>
      </c>
      <c r="D507" s="10"/>
      <c r="E507" s="10" t="s">
        <v>2168</v>
      </c>
      <c r="F507" s="10" t="s">
        <v>1282</v>
      </c>
      <c r="G507" s="10"/>
      <c r="H507" s="10" t="s">
        <v>2824</v>
      </c>
      <c r="I507" s="10" t="s">
        <v>14</v>
      </c>
      <c r="J507" s="10"/>
      <c r="K507" s="7" cm="1">
        <f t="array" ref="K507">IFERROR(LOOKUP(2,1/('Outreach Log'!$C$2:$C$9998=F507),'Outreach Log'!$B$2:$B$9998),"")</f>
        <v>46093</v>
      </c>
      <c r="L507" s="5" t="str">
        <f>IFERROR(INDEX('Outreach Log'!$F:$F,MATCH(TEXT(K507,"YYYY-MM-DD")&amp;F507,'Outreach Log'!$L:$L,0)),"")</f>
        <v>Email</v>
      </c>
      <c r="M507" s="6" t="str">
        <f>IFERROR(HYPERLINK("#'Outreach Log'!A"&amp;MATCH(TEXT(K507,"YYYY-MM-DD")&amp;F507,'Outreach Log'!$L:$L,0),"→ View"),"—")</f>
        <v>→ View</v>
      </c>
      <c r="N507" s="6" t="str">
        <f>IFERROR(HYPERLINK("#Companies!A"&amp;MATCH(E507,Companies!$B:$B,0),"→ View"),"—")</f>
        <v>→ View</v>
      </c>
    </row>
    <row r="508" spans="1:14">
      <c r="A508" s="9">
        <f>IF(tblContacts[[#This Row],[First Name]]&lt;&gt;0,ROW()-1,"")</f>
        <v>507</v>
      </c>
      <c r="B508" s="50" t="s">
        <v>1965</v>
      </c>
      <c r="C508" s="50" t="s">
        <v>1673</v>
      </c>
      <c r="D508" s="10" t="s">
        <v>862</v>
      </c>
      <c r="E508" s="10" t="s">
        <v>2110</v>
      </c>
      <c r="F508" s="10" t="s">
        <v>1966</v>
      </c>
      <c r="G508" s="10"/>
      <c r="H508" s="10" t="s">
        <v>2824</v>
      </c>
      <c r="I508" s="10" t="s">
        <v>14</v>
      </c>
      <c r="J508" s="10"/>
      <c r="K508" s="7" cm="1">
        <f t="array" ref="K508">IFERROR(LOOKUP(2,1/('Outreach Log'!$C$2:$C$9998=F508),'Outreach Log'!$B$2:$B$9998),"")</f>
        <v>46093</v>
      </c>
      <c r="L508" s="5" t="str">
        <f>IFERROR(INDEX('Outreach Log'!$F:$F,MATCH(TEXT(K508,"YYYY-MM-DD")&amp;F508,'Outreach Log'!$L:$L,0)),"")</f>
        <v>Email</v>
      </c>
      <c r="M508" s="6" t="str">
        <f>IFERROR(HYPERLINK("#'Outreach Log'!A"&amp;MATCH(TEXT(K508,"YYYY-MM-DD")&amp;F508,'Outreach Log'!$L:$L,0),"→ View"),"—")</f>
        <v>→ View</v>
      </c>
      <c r="N508" s="6" t="str">
        <f>IFERROR(HYPERLINK("#Companies!A"&amp;MATCH(E508,Companies!$B:$B,0),"→ View"),"—")</f>
        <v>→ View</v>
      </c>
    </row>
    <row r="509" spans="1:14">
      <c r="A509" s="9">
        <f>IF(tblContacts[[#This Row],[First Name]]&lt;&gt;0,ROW()-1,"")</f>
        <v>508</v>
      </c>
      <c r="B509" s="50" t="s">
        <v>1247</v>
      </c>
      <c r="C509" s="50" t="s">
        <v>1290</v>
      </c>
      <c r="D509" s="10"/>
      <c r="E509" s="10" t="s">
        <v>366</v>
      </c>
      <c r="F509" s="10" t="s">
        <v>1291</v>
      </c>
      <c r="G509" s="10"/>
      <c r="H509" s="10" t="s">
        <v>2824</v>
      </c>
      <c r="I509" s="10" t="s">
        <v>14</v>
      </c>
      <c r="J509" s="10"/>
      <c r="K509" s="7" cm="1">
        <f t="array" ref="K509">IFERROR(LOOKUP(2,1/('Outreach Log'!$C$2:$C$9998=F509),'Outreach Log'!$B$2:$B$9998),"")</f>
        <v>46093</v>
      </c>
      <c r="L509" s="5" t="str">
        <f>IFERROR(INDEX('Outreach Log'!$F:$F,MATCH(TEXT(K509,"YYYY-MM-DD")&amp;F509,'Outreach Log'!$L:$L,0)),"")</f>
        <v>Email</v>
      </c>
      <c r="M509" s="6" t="str">
        <f>IFERROR(HYPERLINK("#'Outreach Log'!A"&amp;MATCH(TEXT(K509,"YYYY-MM-DD")&amp;F509,'Outreach Log'!$L:$L,0),"→ View"),"—")</f>
        <v>→ View</v>
      </c>
      <c r="N509" s="6" t="str">
        <f>IFERROR(HYPERLINK("#Companies!A"&amp;MATCH(E509,Companies!$B:$B,0),"→ View"),"—")</f>
        <v>→ View</v>
      </c>
    </row>
    <row r="510" spans="1:14">
      <c r="A510" s="9">
        <f>IF(tblContacts[[#This Row],[First Name]]&lt;&gt;0,ROW()-1,"")</f>
        <v>509</v>
      </c>
      <c r="B510" s="50" t="s">
        <v>1073</v>
      </c>
      <c r="C510" s="50" t="s">
        <v>3222</v>
      </c>
      <c r="D510" s="10" t="s">
        <v>3195</v>
      </c>
      <c r="E510" s="10" t="s">
        <v>3031</v>
      </c>
      <c r="F510" s="10" t="s">
        <v>3223</v>
      </c>
      <c r="G510" s="10" t="s">
        <v>3224</v>
      </c>
      <c r="H510" s="10" t="s">
        <v>2824</v>
      </c>
      <c r="I510" s="44" t="s">
        <v>3363</v>
      </c>
      <c r="K510" s="7" cm="1">
        <f t="array" ref="K510">IFERROR(LOOKUP(2,1/('Outreach Log'!$C$2:$C$9998=F510),'Outreach Log'!$B$2:$B$9998),"")</f>
        <v>46104</v>
      </c>
      <c r="L510" s="5" t="str">
        <f>IFERROR(INDEX('Outreach Log'!$F:$F,MATCH(TEXT(K510,"YYYY-MM-DD")&amp;F510,'Outreach Log'!$L:$L,0)),"")</f>
        <v>Email</v>
      </c>
      <c r="M510" s="6" t="str">
        <f>IFERROR(HYPERLINK("#'Outreach Log'!A"&amp;MATCH(TEXT(K510,"YYYY-MM-DD")&amp;F510,'Outreach Log'!$L:$L,0),"→ View"),"—")</f>
        <v>→ View</v>
      </c>
      <c r="N510" s="6" t="str">
        <f>IFERROR(HYPERLINK("#Companies!A"&amp;MATCH(E510,Companies!$B:$B,0),"→ View"),"—")</f>
        <v>→ View</v>
      </c>
    </row>
    <row r="511" spans="1:14">
      <c r="A511" s="9">
        <f>IF(tblContacts[[#This Row],[First Name]]&lt;&gt;0,ROW()-1,"")</f>
        <v>510</v>
      </c>
      <c r="B511" s="50" t="s">
        <v>1261</v>
      </c>
      <c r="C511" s="50" t="s">
        <v>2012</v>
      </c>
      <c r="D511" s="10" t="s">
        <v>749</v>
      </c>
      <c r="E511" s="10" t="s">
        <v>2130</v>
      </c>
      <c r="F511" s="10" t="s">
        <v>2013</v>
      </c>
      <c r="G511" s="10"/>
      <c r="H511" s="10" t="s">
        <v>2824</v>
      </c>
      <c r="I511" s="10" t="s">
        <v>14</v>
      </c>
      <c r="J511" s="10"/>
      <c r="K511" s="7" cm="1">
        <f t="array" ref="K511">IFERROR(LOOKUP(2,1/('Outreach Log'!$C$2:$C$9998=F511),'Outreach Log'!$B$2:$B$9998),"")</f>
        <v>46093</v>
      </c>
      <c r="L511" s="5" t="str">
        <f>IFERROR(INDEX('Outreach Log'!$F:$F,MATCH(TEXT(K511,"YYYY-MM-DD")&amp;F511,'Outreach Log'!$L:$L,0)),"")</f>
        <v>Email</v>
      </c>
      <c r="M511" s="6" t="str">
        <f>IFERROR(HYPERLINK("#'Outreach Log'!A"&amp;MATCH(TEXT(K511,"YYYY-MM-DD")&amp;F511,'Outreach Log'!$L:$L,0),"→ View"),"—")</f>
        <v>→ View</v>
      </c>
      <c r="N511" s="6" t="str">
        <f>IFERROR(HYPERLINK("#Companies!A"&amp;MATCH(E511,Companies!$B:$B,0),"→ View"),"—")</f>
        <v>→ View</v>
      </c>
    </row>
    <row r="512" spans="1:14">
      <c r="A512" s="9">
        <f>IF(tblContacts[[#This Row],[First Name]]&lt;&gt;0,ROW()-1,"")</f>
        <v>511</v>
      </c>
      <c r="B512" s="50" t="s">
        <v>2439</v>
      </c>
      <c r="C512" s="50" t="s">
        <v>1996</v>
      </c>
      <c r="D512" s="10" t="s">
        <v>862</v>
      </c>
      <c r="E512" s="10" t="s">
        <v>2121</v>
      </c>
      <c r="F512" s="10" t="s">
        <v>1997</v>
      </c>
      <c r="G512" s="10"/>
      <c r="H512" s="10" t="s">
        <v>2824</v>
      </c>
      <c r="I512" s="10" t="s">
        <v>14</v>
      </c>
      <c r="J512" s="10"/>
      <c r="K512" s="7" cm="1">
        <f t="array" ref="K512">IFERROR(LOOKUP(2,1/('Outreach Log'!$C$2:$C$9998=F512),'Outreach Log'!$B$2:$B$9998),"")</f>
        <v>46093</v>
      </c>
      <c r="L512" s="5" t="str">
        <f>IFERROR(INDEX('Outreach Log'!$F:$F,MATCH(TEXT(K512,"YYYY-MM-DD")&amp;F512,'Outreach Log'!$L:$L,0)),"")</f>
        <v>Email</v>
      </c>
      <c r="M512" s="6" t="str">
        <f>IFERROR(HYPERLINK("#'Outreach Log'!A"&amp;MATCH(TEXT(K512,"YYYY-MM-DD")&amp;F512,'Outreach Log'!$L:$L,0),"→ View"),"—")</f>
        <v>→ View</v>
      </c>
      <c r="N512" s="6" t="str">
        <f>IFERROR(HYPERLINK("#Companies!A"&amp;MATCH(E512,Companies!$B:$B,0),"→ View"),"—")</f>
        <v>→ View</v>
      </c>
    </row>
    <row r="513" spans="1:14">
      <c r="A513" s="9">
        <f>IF(tblContacts[[#This Row],[First Name]]&lt;&gt;0,ROW()-1,"")</f>
        <v>512</v>
      </c>
      <c r="B513" s="50" t="s">
        <v>1970</v>
      </c>
      <c r="C513" s="50" t="s">
        <v>1971</v>
      </c>
      <c r="D513" s="10" t="s">
        <v>768</v>
      </c>
      <c r="E513" s="10" t="s">
        <v>2113</v>
      </c>
      <c r="F513" s="10" t="s">
        <v>1972</v>
      </c>
      <c r="G513" s="10"/>
      <c r="H513" s="10" t="s">
        <v>2824</v>
      </c>
      <c r="I513" s="10" t="s">
        <v>14</v>
      </c>
      <c r="J513" s="10"/>
      <c r="K513" s="7" cm="1">
        <f t="array" ref="K513">IFERROR(LOOKUP(2,1/('Outreach Log'!$C$2:$C$9998=F513),'Outreach Log'!$B$2:$B$9998),"")</f>
        <v>46093</v>
      </c>
      <c r="L513" s="5" t="str">
        <f>IFERROR(INDEX('Outreach Log'!$F:$F,MATCH(TEXT(K513,"YYYY-MM-DD")&amp;F513,'Outreach Log'!$L:$L,0)),"")</f>
        <v>Email</v>
      </c>
      <c r="M513" s="6" t="str">
        <f>IFERROR(HYPERLINK("#'Outreach Log'!A"&amp;MATCH(TEXT(K513,"YYYY-MM-DD")&amp;F513,'Outreach Log'!$L:$L,0),"→ View"),"—")</f>
        <v>→ View</v>
      </c>
      <c r="N513" s="6" t="str">
        <f>IFERROR(HYPERLINK("#Companies!A"&amp;MATCH(E513,Companies!$B:$B,0),"→ View"),"—")</f>
        <v>→ View</v>
      </c>
    </row>
    <row r="514" spans="1:14">
      <c r="A514" s="9">
        <f>IF(tblContacts[[#This Row],[First Name]]&lt;&gt;0,ROW()-1,"")</f>
        <v>513</v>
      </c>
      <c r="B514" s="50" t="s">
        <v>1315</v>
      </c>
      <c r="C514" s="50" t="s">
        <v>3266</v>
      </c>
      <c r="D514" s="10" t="s">
        <v>3195</v>
      </c>
      <c r="E514" s="10" t="s">
        <v>348</v>
      </c>
      <c r="F514" s="10" t="s">
        <v>1316</v>
      </c>
      <c r="G514" s="10" t="s">
        <v>3267</v>
      </c>
      <c r="H514" s="10" t="s">
        <v>2824</v>
      </c>
      <c r="I514" s="44" t="s">
        <v>3363</v>
      </c>
      <c r="K514" s="7" cm="1">
        <f t="array" ref="K514">IFERROR(LOOKUP(2,1/('Outreach Log'!$C$2:$C$9998=F514),'Outreach Log'!$B$2:$B$9998),"")</f>
        <v>46104</v>
      </c>
      <c r="L514" s="5" t="str">
        <f>IFERROR(INDEX('Outreach Log'!$F:$F,MATCH(TEXT(K514,"YYYY-MM-DD")&amp;F514,'Outreach Log'!$L:$L,0)),"")</f>
        <v>Email</v>
      </c>
      <c r="M514" s="6" t="str">
        <f>IFERROR(HYPERLINK("#'Outreach Log'!A"&amp;MATCH(TEXT(K514,"YYYY-MM-DD")&amp;F514,'Outreach Log'!$L:$L,0),"→ View"),"—")</f>
        <v>→ View</v>
      </c>
      <c r="N514" s="6" t="str">
        <f>IFERROR(HYPERLINK("#Companies!A"&amp;MATCH(E514,Companies!$B:$B,0),"→ View"),"—")</f>
        <v>→ View</v>
      </c>
    </row>
    <row r="515" spans="1:14">
      <c r="A515" s="9">
        <f>IF(tblContacts[[#This Row],[First Name]]&lt;&gt;0,ROW()-1,"")</f>
        <v>514</v>
      </c>
      <c r="B515" s="50" t="s">
        <v>1253</v>
      </c>
      <c r="C515" s="50" t="s">
        <v>3317</v>
      </c>
      <c r="D515" s="10" t="s">
        <v>3318</v>
      </c>
      <c r="E515" s="10" t="s">
        <v>3125</v>
      </c>
      <c r="F515" s="10" t="s">
        <v>3319</v>
      </c>
      <c r="G515" s="10"/>
      <c r="H515" s="10" t="s">
        <v>2824</v>
      </c>
      <c r="I515" s="44" t="s">
        <v>3363</v>
      </c>
      <c r="K515" s="7" cm="1">
        <f t="array" ref="K515">IFERROR(LOOKUP(2,1/('Outreach Log'!$C$2:$C$9998=F515),'Outreach Log'!$B$2:$B$9998),"")</f>
        <v>46104</v>
      </c>
      <c r="L515" s="5" t="str">
        <f>IFERROR(INDEX('Outreach Log'!$F:$F,MATCH(TEXT(K515,"YYYY-MM-DD")&amp;F515,'Outreach Log'!$L:$L,0)),"")</f>
        <v>Email</v>
      </c>
      <c r="M515" s="6" t="str">
        <f>IFERROR(HYPERLINK("#'Outreach Log'!A"&amp;MATCH(TEXT(K515,"YYYY-MM-DD")&amp;F515,'Outreach Log'!$L:$L,0),"→ View"),"—")</f>
        <v>→ View</v>
      </c>
      <c r="N515" s="6" t="str">
        <f>IFERROR(HYPERLINK("#Companies!A"&amp;MATCH(E515,Companies!$B:$B,0),"→ View"),"—")</f>
        <v>→ View</v>
      </c>
    </row>
    <row r="516" spans="1:14">
      <c r="A516" s="9">
        <f>IF(tblContacts[[#This Row],[First Name]]&lt;&gt;0,ROW()-1,"")</f>
        <v>515</v>
      </c>
      <c r="B516" s="50" t="s">
        <v>1253</v>
      </c>
      <c r="C516" s="50" t="s">
        <v>3286</v>
      </c>
      <c r="D516" s="10" t="s">
        <v>3195</v>
      </c>
      <c r="E516" s="10" t="s">
        <v>3094</v>
      </c>
      <c r="F516" s="10" t="s">
        <v>3287</v>
      </c>
      <c r="G516" s="10" t="s">
        <v>3288</v>
      </c>
      <c r="H516" s="10" t="s">
        <v>2824</v>
      </c>
      <c r="I516" s="44" t="s">
        <v>3363</v>
      </c>
      <c r="K516" s="7" cm="1">
        <f t="array" ref="K516">IFERROR(LOOKUP(2,1/('Outreach Log'!$C$2:$C$9998=F516),'Outreach Log'!$B$2:$B$9998),"")</f>
        <v>46104</v>
      </c>
      <c r="L516" s="5" t="str">
        <f>IFERROR(INDEX('Outreach Log'!$F:$F,MATCH(TEXT(K516,"YYYY-MM-DD")&amp;F516,'Outreach Log'!$L:$L,0)),"")</f>
        <v>Email</v>
      </c>
      <c r="M516" s="6" t="str">
        <f>IFERROR(HYPERLINK("#'Outreach Log'!A"&amp;MATCH(TEXT(K516,"YYYY-MM-DD")&amp;F516,'Outreach Log'!$L:$L,0),"→ View"),"—")</f>
        <v>→ View</v>
      </c>
      <c r="N516" s="6" t="str">
        <f>IFERROR(HYPERLINK("#Companies!A"&amp;MATCH(E516,Companies!$B:$B,0),"→ View"),"—")</f>
        <v>→ View</v>
      </c>
    </row>
    <row r="517" spans="1:14">
      <c r="A517" s="9">
        <f>IF(tblContacts[[#This Row],[First Name]]&lt;&gt;0,ROW()-1,"")</f>
        <v>516</v>
      </c>
      <c r="B517" s="50" t="s">
        <v>1326</v>
      </c>
      <c r="C517" s="50" t="s">
        <v>1327</v>
      </c>
      <c r="D517" s="10"/>
      <c r="E517" s="10" t="s">
        <v>2136</v>
      </c>
      <c r="F517" s="10" t="s">
        <v>1328</v>
      </c>
      <c r="G517" s="10"/>
      <c r="H517" s="10" t="s">
        <v>2824</v>
      </c>
      <c r="I517" s="10" t="s">
        <v>14</v>
      </c>
      <c r="J517" s="10"/>
      <c r="K517" s="7" cm="1">
        <f t="array" ref="K517">IFERROR(LOOKUP(2,1/('Outreach Log'!$C$2:$C$9998=F517),'Outreach Log'!$B$2:$B$9998),"")</f>
        <v>46093</v>
      </c>
      <c r="L517" s="5" t="str">
        <f>IFERROR(INDEX('Outreach Log'!$F:$F,MATCH(TEXT(K517,"YYYY-MM-DD")&amp;F517,'Outreach Log'!$L:$L,0)),"")</f>
        <v>Email</v>
      </c>
      <c r="M517" s="6" t="str">
        <f>IFERROR(HYPERLINK("#'Outreach Log'!A"&amp;MATCH(TEXT(K517,"YYYY-MM-DD")&amp;F517,'Outreach Log'!$L:$L,0),"→ View"),"—")</f>
        <v>→ View</v>
      </c>
      <c r="N517" s="6" t="str">
        <f>IFERROR(HYPERLINK("#Companies!A"&amp;MATCH(E517,Companies!$B:$B,0),"→ View"),"—")</f>
        <v>→ View</v>
      </c>
    </row>
    <row r="518" spans="1:14">
      <c r="A518" s="9">
        <f>IF(tblContacts[[#This Row],[First Name]]&lt;&gt;0,ROW()-1,"")</f>
        <v>517</v>
      </c>
      <c r="B518" s="50" t="s">
        <v>1326</v>
      </c>
      <c r="C518" s="50" t="s">
        <v>1011</v>
      </c>
      <c r="D518" s="10" t="s">
        <v>3268</v>
      </c>
      <c r="E518" s="10" t="s">
        <v>348</v>
      </c>
      <c r="F518" s="10" t="s">
        <v>3269</v>
      </c>
      <c r="G518" s="48"/>
      <c r="H518" s="10" t="s">
        <v>2824</v>
      </c>
      <c r="I518" s="44" t="s">
        <v>3363</v>
      </c>
      <c r="K518" s="7" cm="1">
        <f t="array" ref="K518">IFERROR(LOOKUP(2,1/('Outreach Log'!$C$2:$C$9998=F518),'Outreach Log'!$B$2:$B$9998),"")</f>
        <v>46104</v>
      </c>
      <c r="L518" s="5" t="str">
        <f>IFERROR(INDEX('Outreach Log'!$F:$F,MATCH(TEXT(K518,"YYYY-MM-DD")&amp;F518,'Outreach Log'!$L:$L,0)),"")</f>
        <v>Email</v>
      </c>
      <c r="M518" s="6" t="str">
        <f>IFERROR(HYPERLINK("#'Outreach Log'!A"&amp;MATCH(TEXT(K518,"YYYY-MM-DD")&amp;F518,'Outreach Log'!$L:$L,0),"→ View"),"—")</f>
        <v>→ View</v>
      </c>
      <c r="N518" s="6" t="str">
        <f>IFERROR(HYPERLINK("#Companies!A"&amp;MATCH(E518,Companies!$B:$B,0),"→ View"),"—")</f>
        <v>→ View</v>
      </c>
    </row>
    <row r="519" spans="1:14">
      <c r="A519" s="9">
        <f>IF(tblContacts[[#This Row],[First Name]]&lt;&gt;0,ROW()-1,"")</f>
        <v>518</v>
      </c>
      <c r="B519" s="50" t="s">
        <v>1331</v>
      </c>
      <c r="C519" s="50" t="s">
        <v>1332</v>
      </c>
      <c r="D519" s="10"/>
      <c r="E519" s="10" t="s">
        <v>386</v>
      </c>
      <c r="F519" s="10" t="s">
        <v>1333</v>
      </c>
      <c r="G519" s="10"/>
      <c r="H519" s="10" t="s">
        <v>2824</v>
      </c>
      <c r="I519" s="10" t="s">
        <v>14</v>
      </c>
      <c r="J519" s="10"/>
      <c r="K519" s="7" cm="1">
        <f t="array" ref="K519">IFERROR(LOOKUP(2,1/('Outreach Log'!$C$2:$C$9998=F519),'Outreach Log'!$B$2:$B$9998),"")</f>
        <v>46093</v>
      </c>
      <c r="L519" s="5" t="str">
        <f>IFERROR(INDEX('Outreach Log'!$F:$F,MATCH(TEXT(K519,"YYYY-MM-DD")&amp;F519,'Outreach Log'!$L:$L,0)),"")</f>
        <v>Email</v>
      </c>
      <c r="M519" s="6" t="str">
        <f>IFERROR(HYPERLINK("#'Outreach Log'!A"&amp;MATCH(TEXT(K519,"YYYY-MM-DD")&amp;F519,'Outreach Log'!$L:$L,0),"→ View"),"—")</f>
        <v>→ View</v>
      </c>
      <c r="N519" s="6" t="str">
        <f>IFERROR(HYPERLINK("#Companies!A"&amp;MATCH(E519,Companies!$B:$B,0),"→ View"),"—")</f>
        <v>→ View</v>
      </c>
    </row>
    <row r="520" spans="1:14">
      <c r="A520" s="9">
        <f>IF(tblContacts[[#This Row],[First Name]]&lt;&gt;0,ROW()-1,"")</f>
        <v>519</v>
      </c>
      <c r="B520" s="50" t="s">
        <v>1242</v>
      </c>
      <c r="C520" s="50" t="s">
        <v>1590</v>
      </c>
      <c r="D520" s="10" t="s">
        <v>862</v>
      </c>
      <c r="E520" s="10" t="s">
        <v>2271</v>
      </c>
      <c r="F520" s="10" t="s">
        <v>2074</v>
      </c>
      <c r="G520" s="10"/>
      <c r="H520" s="10" t="s">
        <v>2824</v>
      </c>
      <c r="I520" s="10" t="s">
        <v>14</v>
      </c>
      <c r="J520" s="10"/>
      <c r="K520" s="7" cm="1">
        <f t="array" ref="K520">IFERROR(LOOKUP(2,1/('Outreach Log'!$C$2:$C$9998=F520),'Outreach Log'!$B$2:$B$9998),"")</f>
        <v>46093</v>
      </c>
      <c r="L520" s="5" t="str">
        <f>IFERROR(INDEX('Outreach Log'!$F:$F,MATCH(TEXT(K520,"YYYY-MM-DD")&amp;F520,'Outreach Log'!$L:$L,0)),"")</f>
        <v>Email</v>
      </c>
      <c r="M520" s="6" t="str">
        <f>IFERROR(HYPERLINK("#'Outreach Log'!A"&amp;MATCH(TEXT(K520,"YYYY-MM-DD")&amp;F520,'Outreach Log'!$L:$L,0),"→ View"),"—")</f>
        <v>→ View</v>
      </c>
      <c r="N520" s="6" t="str">
        <f>IFERROR(HYPERLINK("#Companies!A"&amp;MATCH(E520,Companies!$B:$B,0),"→ View"),"—")</f>
        <v>→ View</v>
      </c>
    </row>
    <row r="521" spans="1:14">
      <c r="A521" s="9">
        <f>IF(tblContacts[[#This Row],[First Name]]&lt;&gt;0,ROW()-1,"")</f>
        <v>520</v>
      </c>
      <c r="B521" s="50" t="s">
        <v>1242</v>
      </c>
      <c r="C521" s="50" t="s">
        <v>1977</v>
      </c>
      <c r="D521" s="10" t="s">
        <v>768</v>
      </c>
      <c r="E521" s="10" t="s">
        <v>2115</v>
      </c>
      <c r="F521" s="10" t="s">
        <v>1978</v>
      </c>
      <c r="G521" s="10"/>
      <c r="H521" s="10" t="s">
        <v>2824</v>
      </c>
      <c r="I521" s="10" t="s">
        <v>14</v>
      </c>
      <c r="J521" s="10"/>
      <c r="K521" s="7" cm="1">
        <f t="array" ref="K521">IFERROR(LOOKUP(2,1/('Outreach Log'!$C$2:$C$9998=F521),'Outreach Log'!$B$2:$B$9998),"")</f>
        <v>46093</v>
      </c>
      <c r="L521" s="5" t="str">
        <f>IFERROR(INDEX('Outreach Log'!$F:$F,MATCH(TEXT(K521,"YYYY-MM-DD")&amp;F521,'Outreach Log'!$L:$L,0)),"")</f>
        <v>Email</v>
      </c>
      <c r="M521" s="6" t="str">
        <f>IFERROR(HYPERLINK("#'Outreach Log'!A"&amp;MATCH(TEXT(K521,"YYYY-MM-DD")&amp;F521,'Outreach Log'!$L:$L,0),"→ View"),"—")</f>
        <v>→ View</v>
      </c>
      <c r="N521" s="6" t="str">
        <f>IFERROR(HYPERLINK("#Companies!A"&amp;MATCH(E521,Companies!$B:$B,0),"→ View"),"—")</f>
        <v>→ View</v>
      </c>
    </row>
    <row r="522" spans="1:14">
      <c r="A522" s="9">
        <f>IF(tblContacts[[#This Row],[First Name]]&lt;&gt;0,ROW()-1,"")</f>
        <v>521</v>
      </c>
      <c r="B522" s="50" t="s">
        <v>1343</v>
      </c>
      <c r="C522" s="50" t="s">
        <v>1344</v>
      </c>
      <c r="D522" s="10"/>
      <c r="E522" s="10" t="s">
        <v>386</v>
      </c>
      <c r="F522" s="10" t="s">
        <v>1345</v>
      </c>
      <c r="G522" s="10"/>
      <c r="H522" s="10" t="s">
        <v>2824</v>
      </c>
      <c r="I522" s="10" t="s">
        <v>2171</v>
      </c>
      <c r="J522" s="10"/>
      <c r="K522" s="7" cm="1">
        <f t="array" ref="K522">IFERROR(LOOKUP(2,1/('Outreach Log'!$C$2:$C$9998=F522),'Outreach Log'!$B$2:$B$9998),"")</f>
        <v>46104</v>
      </c>
      <c r="L522" s="5" t="str">
        <f>IFERROR(INDEX('Outreach Log'!$F:$F,MATCH(TEXT(K522,"YYYY-MM-DD")&amp;F522,'Outreach Log'!$L:$L,0)),"")</f>
        <v>Email</v>
      </c>
      <c r="M522" s="6" t="str">
        <f>IFERROR(HYPERLINK("#'Outreach Log'!A"&amp;MATCH(TEXT(K522,"YYYY-MM-DD")&amp;F522,'Outreach Log'!$L:$L,0),"→ View"),"—")</f>
        <v>→ View</v>
      </c>
      <c r="N522" s="6" t="str">
        <f>IFERROR(HYPERLINK("#Companies!A"&amp;MATCH(E522,Companies!$B:$B,0),"→ View"),"—")</f>
        <v>→ View</v>
      </c>
    </row>
    <row r="523" spans="1:14">
      <c r="A523" s="9">
        <f>IF(tblContacts[[#This Row],[First Name]]&lt;&gt;0,ROW()-1,"")</f>
        <v>522</v>
      </c>
      <c r="B523" s="50" t="s">
        <v>1348</v>
      </c>
      <c r="C523" s="50" t="s">
        <v>2063</v>
      </c>
      <c r="D523" s="10" t="s">
        <v>768</v>
      </c>
      <c r="E523" s="10" t="s">
        <v>2151</v>
      </c>
      <c r="F523" s="10" t="s">
        <v>2064</v>
      </c>
      <c r="G523" s="10"/>
      <c r="H523" s="10" t="s">
        <v>2824</v>
      </c>
      <c r="I523" s="10" t="s">
        <v>14</v>
      </c>
      <c r="J523" s="10"/>
      <c r="K523" s="7" cm="1">
        <f t="array" ref="K523">IFERROR(LOOKUP(2,1/('Outreach Log'!$C$2:$C$9998=F523),'Outreach Log'!$B$2:$B$9998),"")</f>
        <v>46093</v>
      </c>
      <c r="L523" s="5" t="str">
        <f>IFERROR(INDEX('Outreach Log'!$F:$F,MATCH(TEXT(K523,"YYYY-MM-DD")&amp;F523,'Outreach Log'!$L:$L,0)),"")</f>
        <v>Email</v>
      </c>
      <c r="M523" s="6" t="str">
        <f>IFERROR(HYPERLINK("#'Outreach Log'!A"&amp;MATCH(TEXT(K523,"YYYY-MM-DD")&amp;F523,'Outreach Log'!$L:$L,0),"→ View"),"—")</f>
        <v>→ View</v>
      </c>
      <c r="N523" s="6" t="str">
        <f>IFERROR(HYPERLINK("#Companies!A"&amp;MATCH(E523,Companies!$B:$B,0),"→ View"),"—")</f>
        <v>→ View</v>
      </c>
    </row>
    <row r="524" spans="1:14">
      <c r="A524" s="9">
        <f>IF(tblContacts[[#This Row],[First Name]]&lt;&gt;0,ROW()-1,"")</f>
        <v>523</v>
      </c>
      <c r="B524" s="50" t="s">
        <v>1348</v>
      </c>
      <c r="C524" s="50" t="s">
        <v>1777</v>
      </c>
      <c r="D524" s="10" t="s">
        <v>3192</v>
      </c>
      <c r="E524" s="10" t="s">
        <v>2999</v>
      </c>
      <c r="F524" s="10" t="s">
        <v>1349</v>
      </c>
      <c r="G524" s="10"/>
      <c r="H524" s="10" t="s">
        <v>2824</v>
      </c>
      <c r="I524" s="44" t="s">
        <v>3363</v>
      </c>
      <c r="K524" s="7" cm="1">
        <f t="array" ref="K524">IFERROR(LOOKUP(2,1/('Outreach Log'!$C$2:$C$9998=F524),'Outreach Log'!$B$2:$B$9998),"")</f>
        <v>46104</v>
      </c>
      <c r="L524" s="5" t="str">
        <f>IFERROR(INDEX('Outreach Log'!$F:$F,MATCH(TEXT(K524,"YYYY-MM-DD")&amp;F524,'Outreach Log'!$L:$L,0)),"")</f>
        <v>Email</v>
      </c>
      <c r="M524" s="6" t="str">
        <f>IFERROR(HYPERLINK("#'Outreach Log'!A"&amp;MATCH(TEXT(K524,"YYYY-MM-DD")&amp;F524,'Outreach Log'!$L:$L,0),"→ View"),"—")</f>
        <v>→ View</v>
      </c>
      <c r="N524" s="6" t="str">
        <f>IFERROR(HYPERLINK("#Companies!A"&amp;MATCH(E524,Companies!$B:$B,0),"→ View"),"—")</f>
        <v>→ View</v>
      </c>
    </row>
    <row r="525" spans="1:14">
      <c r="A525" s="9">
        <f>IF(tblContacts[[#This Row],[First Name]]&lt;&gt;0,ROW()-1,"")</f>
        <v>524</v>
      </c>
      <c r="B525" s="50" t="s">
        <v>1362</v>
      </c>
      <c r="C525" s="50" t="s">
        <v>1239</v>
      </c>
      <c r="D525" s="10" t="s">
        <v>862</v>
      </c>
      <c r="E525" s="10" t="s">
        <v>203</v>
      </c>
      <c r="F525" s="10" t="s">
        <v>1367</v>
      </c>
      <c r="G525" s="10"/>
      <c r="H525" s="10" t="s">
        <v>2824</v>
      </c>
      <c r="I525" s="10" t="s">
        <v>13</v>
      </c>
      <c r="J525" s="10"/>
      <c r="K525" s="7" cm="1">
        <f t="array" ref="K525">IFERROR(LOOKUP(2,1/('Outreach Log'!$C$2:$C$9998=F525),'Outreach Log'!$B$2:$B$9998),"")</f>
        <v>46084</v>
      </c>
      <c r="L525" s="5" t="str">
        <f>IFERROR(INDEX('Outreach Log'!$F:$F,MATCH(TEXT(K525,"YYYY-MM-DD")&amp;F525,'Outreach Log'!$L:$L,0)),"")</f>
        <v>Email</v>
      </c>
      <c r="M525" s="6" t="str">
        <f>IFERROR(HYPERLINK("#'Outreach Log'!A"&amp;MATCH(TEXT(K525,"YYYY-MM-DD")&amp;F525,'Outreach Log'!$L:$L,0),"→ View"),"—")</f>
        <v>→ View</v>
      </c>
      <c r="N525" s="6" t="str">
        <f>IFERROR(HYPERLINK("#Companies!A"&amp;MATCH(E525,Companies!$B:$B,0),"→ View"),"—")</f>
        <v>→ View</v>
      </c>
    </row>
    <row r="526" spans="1:14">
      <c r="A526" s="9">
        <f>IF(tblContacts[[#This Row],[First Name]]&lt;&gt;0,ROW()-1,"")</f>
        <v>525</v>
      </c>
      <c r="B526" s="50" t="s">
        <v>1269</v>
      </c>
      <c r="C526" s="50"/>
      <c r="D526" s="10"/>
      <c r="E526" s="10" t="s">
        <v>2158</v>
      </c>
      <c r="F526" s="10" t="s">
        <v>1369</v>
      </c>
      <c r="G526" s="10"/>
      <c r="H526" s="10" t="s">
        <v>2824</v>
      </c>
      <c r="I526" s="10" t="s">
        <v>14</v>
      </c>
      <c r="J526" s="10"/>
      <c r="K526" s="7" cm="1">
        <f t="array" ref="K526">IFERROR(LOOKUP(2,1/('Outreach Log'!$C$2:$C$9998=F526),'Outreach Log'!$B$2:$B$9998),"")</f>
        <v>46093</v>
      </c>
      <c r="L526" s="5" t="str">
        <f>IFERROR(INDEX('Outreach Log'!$F:$F,MATCH(TEXT(K526,"YYYY-MM-DD")&amp;F526,'Outreach Log'!$L:$L,0)),"")</f>
        <v>Email</v>
      </c>
      <c r="M526" s="6" t="str">
        <f>IFERROR(HYPERLINK("#'Outreach Log'!A"&amp;MATCH(TEXT(K526,"YYYY-MM-DD")&amp;F526,'Outreach Log'!$L:$L,0),"→ View"),"—")</f>
        <v>→ View</v>
      </c>
      <c r="N526" s="6" t="str">
        <f>IFERROR(HYPERLINK("#Companies!A"&amp;MATCH(E526,Companies!$B:$B,0),"→ View"),"—")</f>
        <v>→ View</v>
      </c>
    </row>
    <row r="527" spans="1:14">
      <c r="A527" s="9">
        <f>IF(tblContacts[[#This Row],[First Name]]&lt;&gt;0,ROW()-1,"")</f>
        <v>526</v>
      </c>
      <c r="B527" s="50" t="s">
        <v>963</v>
      </c>
      <c r="C527" s="50" t="s">
        <v>1374</v>
      </c>
      <c r="D527" s="10"/>
      <c r="E527" s="10" t="s">
        <v>2121</v>
      </c>
      <c r="F527" s="10" t="s">
        <v>1375</v>
      </c>
      <c r="G527" s="10"/>
      <c r="H527" s="10" t="s">
        <v>2824</v>
      </c>
      <c r="I527" s="10" t="s">
        <v>2171</v>
      </c>
      <c r="J527" s="10"/>
      <c r="K527" s="7" cm="1">
        <f t="array" ref="K527">IFERROR(LOOKUP(2,1/('Outreach Log'!$C$2:$C$9998=F527),'Outreach Log'!$B$2:$B$9998),"")</f>
        <v>46093</v>
      </c>
      <c r="L527" s="5" t="str">
        <f>IFERROR(INDEX('Outreach Log'!$F:$F,MATCH(TEXT(K527,"YYYY-MM-DD")&amp;F527,'Outreach Log'!$L:$L,0)),"")</f>
        <v>Email</v>
      </c>
      <c r="M527" s="6" t="str">
        <f>IFERROR(HYPERLINK("#'Outreach Log'!A"&amp;MATCH(TEXT(K527,"YYYY-MM-DD")&amp;F527,'Outreach Log'!$L:$L,0),"→ View"),"—")</f>
        <v>→ View</v>
      </c>
      <c r="N527" s="6" t="str">
        <f>IFERROR(HYPERLINK("#Companies!A"&amp;MATCH(E527,Companies!$B:$B,0),"→ View"),"—")</f>
        <v>→ View</v>
      </c>
    </row>
    <row r="528" spans="1:14">
      <c r="A528" s="9">
        <f>IF(tblContacts[[#This Row],[First Name]]&lt;&gt;0,ROW()-1,"")</f>
        <v>527</v>
      </c>
      <c r="B528" s="50" t="s">
        <v>872</v>
      </c>
      <c r="C528" s="50" t="s">
        <v>1382</v>
      </c>
      <c r="D528" s="10"/>
      <c r="E528" s="10" t="s">
        <v>2125</v>
      </c>
      <c r="F528" s="10" t="s">
        <v>1383</v>
      </c>
      <c r="G528" s="10"/>
      <c r="H528" s="10" t="s">
        <v>2824</v>
      </c>
      <c r="I528" s="10" t="s">
        <v>14</v>
      </c>
      <c r="J528" s="10"/>
      <c r="K528" s="7" cm="1">
        <f t="array" ref="K528">IFERROR(LOOKUP(2,1/('Outreach Log'!$C$2:$C$9998=F528),'Outreach Log'!$B$2:$B$9998),"")</f>
        <v>46093</v>
      </c>
      <c r="L528" s="5" t="str">
        <f>IFERROR(INDEX('Outreach Log'!$F:$F,MATCH(TEXT(K528,"YYYY-MM-DD")&amp;F528,'Outreach Log'!$L:$L,0)),"")</f>
        <v>Email</v>
      </c>
      <c r="M528" s="6" t="str">
        <f>IFERROR(HYPERLINK("#'Outreach Log'!A"&amp;MATCH(TEXT(K528,"YYYY-MM-DD")&amp;F528,'Outreach Log'!$L:$L,0),"→ View"),"—")</f>
        <v>→ View</v>
      </c>
      <c r="N528" s="6" t="str">
        <f>IFERROR(HYPERLINK("#Companies!A"&amp;MATCH(E528,Companies!$B:$B,0),"→ View"),"—")</f>
        <v>→ View</v>
      </c>
    </row>
    <row r="529" spans="1:14">
      <c r="A529" s="9">
        <f>IF(tblContacts[[#This Row],[First Name]]&lt;&gt;0,ROW()-1,"")</f>
        <v>528</v>
      </c>
      <c r="B529" s="50" t="s">
        <v>1391</v>
      </c>
      <c r="C529" s="50" t="s">
        <v>1392</v>
      </c>
      <c r="D529" s="10" t="s">
        <v>768</v>
      </c>
      <c r="E529" s="10" t="s">
        <v>414</v>
      </c>
      <c r="F529" s="10" t="s">
        <v>1393</v>
      </c>
      <c r="G529" s="10"/>
      <c r="H529" s="10" t="s">
        <v>2824</v>
      </c>
      <c r="I529" s="10" t="s">
        <v>13</v>
      </c>
      <c r="J529" s="10"/>
      <c r="K529" s="7" cm="1">
        <f t="array" ref="K529">IFERROR(LOOKUP(2,1/('Outreach Log'!$C$2:$C$9998=F529),'Outreach Log'!$B$2:$B$9998),"")</f>
        <v>46084</v>
      </c>
      <c r="L529" s="5" t="str">
        <f>IFERROR(INDEX('Outreach Log'!$F:$F,MATCH(TEXT(K529,"YYYY-MM-DD")&amp;F529,'Outreach Log'!$L:$L,0)),"")</f>
        <v>Email</v>
      </c>
      <c r="M529" s="6" t="str">
        <f>IFERROR(HYPERLINK("#'Outreach Log'!A"&amp;MATCH(TEXT(K529,"YYYY-MM-DD")&amp;F529,'Outreach Log'!$L:$L,0),"→ View"),"—")</f>
        <v>→ View</v>
      </c>
      <c r="N529" s="6" t="str">
        <f>IFERROR(HYPERLINK("#Companies!A"&amp;MATCH(E529,Companies!$B:$B,0),"→ View"),"—")</f>
        <v>→ View</v>
      </c>
    </row>
    <row r="530" spans="1:14">
      <c r="A530" s="9">
        <f>IF(tblContacts[[#This Row],[First Name]]&lt;&gt;0,ROW()-1,"")</f>
        <v>529</v>
      </c>
      <c r="B530" s="50" t="s">
        <v>1275</v>
      </c>
      <c r="C530" s="50" t="s">
        <v>1400</v>
      </c>
      <c r="D530" s="10"/>
      <c r="E530" s="10" t="s">
        <v>2111</v>
      </c>
      <c r="F530" s="10" t="s">
        <v>1401</v>
      </c>
      <c r="G530" s="10"/>
      <c r="H530" s="10" t="s">
        <v>2824</v>
      </c>
      <c r="I530" s="10" t="s">
        <v>14</v>
      </c>
      <c r="J530" s="10"/>
      <c r="K530" s="7" cm="1">
        <f t="array" ref="K530">IFERROR(LOOKUP(2,1/('Outreach Log'!$C$2:$C$9998=F530),'Outreach Log'!$B$2:$B$9998),"")</f>
        <v>46093</v>
      </c>
      <c r="L530" s="5" t="str">
        <f>IFERROR(INDEX('Outreach Log'!$F:$F,MATCH(TEXT(K530,"YYYY-MM-DD")&amp;F530,'Outreach Log'!$L:$L,0)),"")</f>
        <v>Email</v>
      </c>
      <c r="M530" s="6" t="str">
        <f>IFERROR(HYPERLINK("#'Outreach Log'!A"&amp;MATCH(TEXT(K530,"YYYY-MM-DD")&amp;F530,'Outreach Log'!$L:$L,0),"→ View"),"—")</f>
        <v>→ View</v>
      </c>
      <c r="N530" s="6" t="str">
        <f>IFERROR(HYPERLINK("#Companies!A"&amp;MATCH(E530,Companies!$B:$B,0),"→ View"),"—")</f>
        <v>→ View</v>
      </c>
    </row>
    <row r="531" spans="1:14">
      <c r="A531" s="9">
        <f>IF(tblContacts[[#This Row],[First Name]]&lt;&gt;0,ROW()-1,"")</f>
        <v>530</v>
      </c>
      <c r="B531" s="50" t="s">
        <v>1402</v>
      </c>
      <c r="C531" s="50" t="s">
        <v>1403</v>
      </c>
      <c r="D531" s="10" t="s">
        <v>3195</v>
      </c>
      <c r="E531" s="10" t="s">
        <v>3128</v>
      </c>
      <c r="F531" s="10" t="s">
        <v>1404</v>
      </c>
      <c r="G531" s="10" t="s">
        <v>3325</v>
      </c>
      <c r="H531" s="10" t="s">
        <v>2824</v>
      </c>
      <c r="I531" s="44" t="s">
        <v>3363</v>
      </c>
      <c r="K531" s="7" cm="1">
        <f t="array" ref="K531">IFERROR(LOOKUP(2,1/('Outreach Log'!$C$2:$C$9998=F531),'Outreach Log'!$B$2:$B$9998),"")</f>
        <v>46104</v>
      </c>
      <c r="L531" s="5" t="str">
        <f>IFERROR(INDEX('Outreach Log'!$F:$F,MATCH(TEXT(K531,"YYYY-MM-DD")&amp;F531,'Outreach Log'!$L:$L,0)),"")</f>
        <v>Email</v>
      </c>
      <c r="M531" s="6" t="str">
        <f>IFERROR(HYPERLINK("#'Outreach Log'!A"&amp;MATCH(TEXT(K531,"YYYY-MM-DD")&amp;F531,'Outreach Log'!$L:$L,0),"→ View"),"—")</f>
        <v>→ View</v>
      </c>
      <c r="N531" s="6" t="str">
        <f>IFERROR(HYPERLINK("#Companies!A"&amp;MATCH(E531,Companies!$B:$B,0),"→ View"),"—")</f>
        <v>→ View</v>
      </c>
    </row>
    <row r="532" spans="1:14">
      <c r="A532" s="9">
        <f>IF(tblContacts[[#This Row],[First Name]]&lt;&gt;0,ROW()-1,"")</f>
        <v>531</v>
      </c>
      <c r="B532" s="50" t="s">
        <v>1405</v>
      </c>
      <c r="C532" s="50" t="s">
        <v>1406</v>
      </c>
      <c r="D532" s="10"/>
      <c r="E532" s="10" t="s">
        <v>2144</v>
      </c>
      <c r="F532" s="10" t="s">
        <v>1407</v>
      </c>
      <c r="G532" s="10"/>
      <c r="H532" s="10" t="s">
        <v>2824</v>
      </c>
      <c r="I532" s="10" t="s">
        <v>14</v>
      </c>
      <c r="J532" s="10"/>
      <c r="K532" s="7" cm="1">
        <f t="array" ref="K532">IFERROR(LOOKUP(2,1/('Outreach Log'!$C$2:$C$9998=F532),'Outreach Log'!$B$2:$B$9998),"")</f>
        <v>46093</v>
      </c>
      <c r="L532" s="5" t="str">
        <f>IFERROR(INDEX('Outreach Log'!$F:$F,MATCH(TEXT(K532,"YYYY-MM-DD")&amp;F532,'Outreach Log'!$L:$L,0)),"")</f>
        <v>Email</v>
      </c>
      <c r="M532" s="6" t="str">
        <f>IFERROR(HYPERLINK("#'Outreach Log'!A"&amp;MATCH(TEXT(K532,"YYYY-MM-DD")&amp;F532,'Outreach Log'!$L:$L,0),"→ View"),"—")</f>
        <v>→ View</v>
      </c>
      <c r="N532" s="6" t="str">
        <f>IFERROR(HYPERLINK("#Companies!A"&amp;MATCH(E532,Companies!$B:$B,0),"→ View"),"—")</f>
        <v>→ View</v>
      </c>
    </row>
    <row r="533" spans="1:14">
      <c r="A533" s="9">
        <f>IF(tblContacts[[#This Row],[First Name]]&lt;&gt;0,ROW()-1,"")</f>
        <v>532</v>
      </c>
      <c r="B533" s="50" t="s">
        <v>1411</v>
      </c>
      <c r="C533" s="50" t="s">
        <v>1057</v>
      </c>
      <c r="D533" s="10"/>
      <c r="E533" s="10" t="s">
        <v>422</v>
      </c>
      <c r="F533" s="10" t="s">
        <v>1412</v>
      </c>
      <c r="G533" s="10"/>
      <c r="H533" s="10" t="s">
        <v>2824</v>
      </c>
      <c r="I533" s="10" t="s">
        <v>14</v>
      </c>
      <c r="J533" s="10"/>
      <c r="K533" s="7" cm="1">
        <f t="array" ref="K533">IFERROR(LOOKUP(2,1/('Outreach Log'!$C$2:$C$9998=F533),'Outreach Log'!$B$2:$B$9998),"")</f>
        <v>46096</v>
      </c>
      <c r="L533" s="5" t="str">
        <f>IFERROR(INDEX('Outreach Log'!$F:$F,MATCH(TEXT(K533,"YYYY-MM-DD")&amp;F533,'Outreach Log'!$L:$L,0)),"")</f>
        <v>Email</v>
      </c>
      <c r="M533" s="6" t="str">
        <f>IFERROR(HYPERLINK("#'Outreach Log'!A"&amp;MATCH(TEXT(K533,"YYYY-MM-DD")&amp;F533,'Outreach Log'!$L:$L,0),"→ View"),"—")</f>
        <v>→ View</v>
      </c>
      <c r="N533" s="6" t="str">
        <f>IFERROR(HYPERLINK("#Companies!A"&amp;MATCH(E533,Companies!$B:$B,0),"→ View"),"—")</f>
        <v>→ View</v>
      </c>
    </row>
    <row r="534" spans="1:14">
      <c r="A534" s="9">
        <f>IF(tblContacts[[#This Row],[First Name]]&lt;&gt;0,ROW()-1,"")</f>
        <v>533</v>
      </c>
      <c r="B534" s="50" t="s">
        <v>1426</v>
      </c>
      <c r="C534" s="50" t="s">
        <v>2010</v>
      </c>
      <c r="D534" s="10" t="s">
        <v>862</v>
      </c>
      <c r="E534" s="10" t="s">
        <v>2129</v>
      </c>
      <c r="F534" s="10" t="s">
        <v>2011</v>
      </c>
      <c r="G534" s="10"/>
      <c r="H534" s="10" t="s">
        <v>2824</v>
      </c>
      <c r="I534" s="10" t="s">
        <v>14</v>
      </c>
      <c r="J534" s="10"/>
      <c r="K534" s="7" cm="1">
        <f t="array" ref="K534">IFERROR(LOOKUP(2,1/('Outreach Log'!$C$2:$C$9998=F534),'Outreach Log'!$B$2:$B$9998),"")</f>
        <v>46093</v>
      </c>
      <c r="L534" s="5" t="str">
        <f>IFERROR(INDEX('Outreach Log'!$F:$F,MATCH(TEXT(K534,"YYYY-MM-DD")&amp;F534,'Outreach Log'!$L:$L,0)),"")</f>
        <v>Email</v>
      </c>
      <c r="M534" s="6" t="str">
        <f>IFERROR(HYPERLINK("#'Outreach Log'!A"&amp;MATCH(TEXT(K534,"YYYY-MM-DD")&amp;F534,'Outreach Log'!$L:$L,0),"→ View"),"—")</f>
        <v>→ View</v>
      </c>
      <c r="N534" s="6" t="str">
        <f>IFERROR(HYPERLINK("#Companies!A"&amp;MATCH(E534,Companies!$B:$B,0),"→ View"),"—")</f>
        <v>→ View</v>
      </c>
    </row>
    <row r="535" spans="1:14">
      <c r="A535" s="9">
        <f>IF(tblContacts[[#This Row],[First Name]]&lt;&gt;0,ROW()-1,"")</f>
        <v>534</v>
      </c>
      <c r="B535" s="50" t="s">
        <v>1432</v>
      </c>
      <c r="C535" s="50" t="s">
        <v>1433</v>
      </c>
      <c r="D535" s="10"/>
      <c r="E535" s="10" t="s">
        <v>2148</v>
      </c>
      <c r="F535" s="10" t="s">
        <v>1434</v>
      </c>
      <c r="G535" s="10"/>
      <c r="H535" s="10" t="s">
        <v>2824</v>
      </c>
      <c r="I535" s="10" t="s">
        <v>14</v>
      </c>
      <c r="J535" s="10"/>
      <c r="K535" s="7" cm="1">
        <f t="array" ref="K535">IFERROR(LOOKUP(2,1/('Outreach Log'!$C$2:$C$9998=F535),'Outreach Log'!$B$2:$B$9998),"")</f>
        <v>46093</v>
      </c>
      <c r="L535" s="5" t="str">
        <f>IFERROR(INDEX('Outreach Log'!$F:$F,MATCH(TEXT(K535,"YYYY-MM-DD")&amp;F535,'Outreach Log'!$L:$L,0)),"")</f>
        <v>Email</v>
      </c>
      <c r="M535" s="6" t="str">
        <f>IFERROR(HYPERLINK("#'Outreach Log'!A"&amp;MATCH(TEXT(K535,"YYYY-MM-DD")&amp;F535,'Outreach Log'!$L:$L,0),"→ View"),"—")</f>
        <v>→ View</v>
      </c>
      <c r="N535" s="6" t="str">
        <f>IFERROR(HYPERLINK("#Companies!A"&amp;MATCH(E535,Companies!$B:$B,0),"→ View"),"—")</f>
        <v>→ View</v>
      </c>
    </row>
    <row r="536" spans="1:14">
      <c r="A536" s="9">
        <f>IF(tblContacts[[#This Row],[First Name]]&lt;&gt;0,ROW()-1,"")</f>
        <v>535</v>
      </c>
      <c r="B536" s="50" t="s">
        <v>1432</v>
      </c>
      <c r="C536" s="50"/>
      <c r="D536" s="10"/>
      <c r="E536" s="10" t="s">
        <v>2130</v>
      </c>
      <c r="F536" s="10" t="s">
        <v>1435</v>
      </c>
      <c r="G536" s="10"/>
      <c r="H536" s="10" t="s">
        <v>2824</v>
      </c>
      <c r="I536" s="10" t="s">
        <v>14</v>
      </c>
      <c r="J536" s="10"/>
      <c r="K536" s="7" cm="1">
        <f t="array" ref="K536">IFERROR(LOOKUP(2,1/('Outreach Log'!$C$2:$C$9998=F536),'Outreach Log'!$B$2:$B$9998),"")</f>
        <v>46093</v>
      </c>
      <c r="L536" s="5" t="str">
        <f>IFERROR(INDEX('Outreach Log'!$F:$F,MATCH(TEXT(K536,"YYYY-MM-DD")&amp;F536,'Outreach Log'!$L:$L,0)),"")</f>
        <v>Email</v>
      </c>
      <c r="M536" s="6" t="str">
        <f>IFERROR(HYPERLINK("#'Outreach Log'!A"&amp;MATCH(TEXT(K536,"YYYY-MM-DD")&amp;F536,'Outreach Log'!$L:$L,0),"→ View"),"—")</f>
        <v>→ View</v>
      </c>
      <c r="N536" s="6" t="str">
        <f>IFERROR(HYPERLINK("#Companies!A"&amp;MATCH(E536,Companies!$B:$B,0),"→ View"),"—")</f>
        <v>→ View</v>
      </c>
    </row>
    <row r="537" spans="1:14">
      <c r="A537" s="9">
        <f>IF(tblContacts[[#This Row],[First Name]]&lt;&gt;0,ROW()-1,"")</f>
        <v>536</v>
      </c>
      <c r="B537" s="50" t="s">
        <v>779</v>
      </c>
      <c r="C537" s="50" t="s">
        <v>1436</v>
      </c>
      <c r="D537" s="10"/>
      <c r="E537" s="10" t="s">
        <v>2143</v>
      </c>
      <c r="F537" s="10" t="s">
        <v>1437</v>
      </c>
      <c r="G537" s="10"/>
      <c r="H537" s="10" t="s">
        <v>2824</v>
      </c>
      <c r="I537" s="10" t="s">
        <v>14</v>
      </c>
      <c r="J537" s="10"/>
      <c r="K537" s="7" cm="1">
        <f t="array" ref="K537">IFERROR(LOOKUP(2,1/('Outreach Log'!$C$2:$C$9998=F537),'Outreach Log'!$B$2:$B$9998),"")</f>
        <v>46093</v>
      </c>
      <c r="L537" s="5" t="str">
        <f>IFERROR(INDEX('Outreach Log'!$F:$F,MATCH(TEXT(K537,"YYYY-MM-DD")&amp;F537,'Outreach Log'!$L:$L,0)),"")</f>
        <v>Email</v>
      </c>
      <c r="M537" s="6" t="str">
        <f>IFERROR(HYPERLINK("#'Outreach Log'!A"&amp;MATCH(TEXT(K537,"YYYY-MM-DD")&amp;F537,'Outreach Log'!$L:$L,0),"→ View"),"—")</f>
        <v>→ View</v>
      </c>
      <c r="N537" s="6" t="str">
        <f>IFERROR(HYPERLINK("#Companies!A"&amp;MATCH(E537,Companies!$B:$B,0),"→ View"),"—")</f>
        <v>→ View</v>
      </c>
    </row>
    <row r="538" spans="1:14">
      <c r="A538" s="9">
        <f>IF(tblContacts[[#This Row],[First Name]]&lt;&gt;0,ROW()-1,"")</f>
        <v>537</v>
      </c>
      <c r="B538" s="50" t="s">
        <v>784</v>
      </c>
      <c r="C538" s="50" t="s">
        <v>1171</v>
      </c>
      <c r="D538" s="10" t="s">
        <v>862</v>
      </c>
      <c r="E538" s="10" t="s">
        <v>2148</v>
      </c>
      <c r="F538" s="10" t="s">
        <v>2054</v>
      </c>
      <c r="G538" s="10"/>
      <c r="H538" s="10" t="s">
        <v>2824</v>
      </c>
      <c r="I538" s="10" t="s">
        <v>14</v>
      </c>
      <c r="J538" s="10"/>
      <c r="K538" s="7" cm="1">
        <f t="array" ref="K538">IFERROR(LOOKUP(2,1/('Outreach Log'!$C$2:$C$9998=F538),'Outreach Log'!$B$2:$B$9998),"")</f>
        <v>46093</v>
      </c>
      <c r="L538" s="5" t="str">
        <f>IFERROR(INDEX('Outreach Log'!$F:$F,MATCH(TEXT(K538,"YYYY-MM-DD")&amp;F538,'Outreach Log'!$L:$L,0)),"")</f>
        <v>Email</v>
      </c>
      <c r="M538" s="6" t="str">
        <f>IFERROR(HYPERLINK("#'Outreach Log'!A"&amp;MATCH(TEXT(K538,"YYYY-MM-DD")&amp;F538,'Outreach Log'!$L:$L,0),"→ View"),"—")</f>
        <v>→ View</v>
      </c>
      <c r="N538" s="6" t="str">
        <f>IFERROR(HYPERLINK("#Companies!A"&amp;MATCH(E538,Companies!$B:$B,0),"→ View"),"—")</f>
        <v>→ View</v>
      </c>
    </row>
    <row r="539" spans="1:14">
      <c r="A539" s="9">
        <f>IF(tblContacts[[#This Row],[First Name]]&lt;&gt;0,ROW()-1,"")</f>
        <v>538</v>
      </c>
      <c r="B539" s="50" t="s">
        <v>1584</v>
      </c>
      <c r="C539" s="50" t="s">
        <v>1585</v>
      </c>
      <c r="D539" s="10" t="s">
        <v>862</v>
      </c>
      <c r="E539" s="10" t="s">
        <v>2126</v>
      </c>
      <c r="F539" s="10" t="s">
        <v>2002</v>
      </c>
      <c r="G539" s="10"/>
      <c r="H539" s="10" t="s">
        <v>2824</v>
      </c>
      <c r="I539" s="10" t="s">
        <v>14</v>
      </c>
      <c r="J539" s="10"/>
      <c r="K539" s="7" cm="1">
        <f t="array" ref="K539">IFERROR(LOOKUP(2,1/('Outreach Log'!$C$2:$C$9998=F539),'Outreach Log'!$B$2:$B$9998),"")</f>
        <v>46093</v>
      </c>
      <c r="L539" s="5" t="str">
        <f>IFERROR(INDEX('Outreach Log'!$F:$F,MATCH(TEXT(K539,"YYYY-MM-DD")&amp;F539,'Outreach Log'!$L:$L,0)),"")</f>
        <v>Email</v>
      </c>
      <c r="M539" s="6" t="str">
        <f>IFERROR(HYPERLINK("#'Outreach Log'!A"&amp;MATCH(TEXT(K539,"YYYY-MM-DD")&amp;F539,'Outreach Log'!$L:$L,0),"→ View"),"—")</f>
        <v>→ View</v>
      </c>
      <c r="N539" s="6" t="str">
        <f>IFERROR(HYPERLINK("#Companies!A"&amp;MATCH(E539,Companies!$B:$B,0),"→ View"),"—")</f>
        <v>→ View</v>
      </c>
    </row>
    <row r="540" spans="1:14">
      <c r="A540" s="9">
        <f>IF(tblContacts[[#This Row],[First Name]]&lt;&gt;0,ROW()-1,"")</f>
        <v>539</v>
      </c>
      <c r="B540" s="50" t="s">
        <v>1471</v>
      </c>
      <c r="C540" s="50" t="s">
        <v>841</v>
      </c>
      <c r="D540" s="10" t="s">
        <v>862</v>
      </c>
      <c r="E540" s="10" t="s">
        <v>360</v>
      </c>
      <c r="F540" s="10" t="s">
        <v>2003</v>
      </c>
      <c r="G540" s="10"/>
      <c r="H540" s="10" t="s">
        <v>2824</v>
      </c>
      <c r="I540" s="10" t="s">
        <v>14</v>
      </c>
      <c r="J540" s="10"/>
      <c r="K540" s="7" cm="1">
        <f t="array" ref="K540">IFERROR(LOOKUP(2,1/('Outreach Log'!$C$2:$C$9998=F540),'Outreach Log'!$B$2:$B$9998),"")</f>
        <v>46093</v>
      </c>
      <c r="L540" s="5" t="str">
        <f>IFERROR(INDEX('Outreach Log'!$F:$F,MATCH(TEXT(K540,"YYYY-MM-DD")&amp;F540,'Outreach Log'!$L:$L,0)),"")</f>
        <v>Email</v>
      </c>
      <c r="M540" s="6" t="str">
        <f>IFERROR(HYPERLINK("#'Outreach Log'!A"&amp;MATCH(TEXT(K540,"YYYY-MM-DD")&amp;F540,'Outreach Log'!$L:$L,0),"→ View"),"—")</f>
        <v>→ View</v>
      </c>
      <c r="N540" s="6" t="str">
        <f>IFERROR(HYPERLINK("#Companies!A"&amp;MATCH(E540,Companies!$B:$B,0),"→ View"),"—")</f>
        <v>→ View</v>
      </c>
    </row>
    <row r="541" spans="1:14">
      <c r="A541" s="9">
        <f>IF(tblContacts[[#This Row],[First Name]]&lt;&gt;0,ROW()-1,"")</f>
        <v>540</v>
      </c>
      <c r="B541" s="50" t="s">
        <v>1496</v>
      </c>
      <c r="C541" s="50"/>
      <c r="D541" s="10"/>
      <c r="E541" s="10" t="s">
        <v>2134</v>
      </c>
      <c r="F541" s="10" t="s">
        <v>1497</v>
      </c>
      <c r="G541" s="10"/>
      <c r="H541" s="10" t="s">
        <v>2824</v>
      </c>
      <c r="I541" s="10" t="s">
        <v>14</v>
      </c>
      <c r="J541" s="10"/>
      <c r="K541" s="7" cm="1">
        <f t="array" ref="K541">IFERROR(LOOKUP(2,1/('Outreach Log'!$C$2:$C$9998=F541),'Outreach Log'!$B$2:$B$9998),"")</f>
        <v>46096</v>
      </c>
      <c r="L541" s="5" t="str">
        <f>IFERROR(INDEX('Outreach Log'!$F:$F,MATCH(TEXT(K541,"YYYY-MM-DD")&amp;F541,'Outreach Log'!$L:$L,0)),"")</f>
        <v>Email</v>
      </c>
      <c r="M541" s="6" t="str">
        <f>IFERROR(HYPERLINK("#'Outreach Log'!A"&amp;MATCH(TEXT(K541,"YYYY-MM-DD")&amp;F541,'Outreach Log'!$L:$L,0),"→ View"),"—")</f>
        <v>→ View</v>
      </c>
      <c r="N541" s="6" t="str">
        <f>IFERROR(HYPERLINK("#Companies!A"&amp;MATCH(E541,Companies!$B:$B,0),"→ View"),"—")</f>
        <v>→ View</v>
      </c>
    </row>
    <row r="542" spans="1:14">
      <c r="A542" s="9">
        <f>IF(tblContacts[[#This Row],[First Name]]&lt;&gt;0,ROW()-1,"")</f>
        <v>541</v>
      </c>
      <c r="B542" s="50" t="s">
        <v>1272</v>
      </c>
      <c r="C542" s="50" t="s">
        <v>1503</v>
      </c>
      <c r="D542" s="10" t="s">
        <v>768</v>
      </c>
      <c r="E542" s="10" t="s">
        <v>470</v>
      </c>
      <c r="F542" s="10" t="s">
        <v>1504</v>
      </c>
      <c r="G542" s="10"/>
      <c r="H542" s="10" t="s">
        <v>2824</v>
      </c>
      <c r="I542" s="10" t="s">
        <v>13</v>
      </c>
      <c r="J542" s="10"/>
      <c r="K542" s="7" cm="1">
        <f t="array" ref="K542">IFERROR(LOOKUP(2,1/('Outreach Log'!$C$2:$C$9998=F542),'Outreach Log'!$B$2:$B$9998),"")</f>
        <v>46084</v>
      </c>
      <c r="L542" s="5" t="str">
        <f>IFERROR(INDEX('Outreach Log'!$F:$F,MATCH(TEXT(K542,"YYYY-MM-DD")&amp;F542,'Outreach Log'!$L:$L,0)),"")</f>
        <v>Email</v>
      </c>
      <c r="M542" s="6" t="str">
        <f>IFERROR(HYPERLINK("#'Outreach Log'!A"&amp;MATCH(TEXT(K542,"YYYY-MM-DD")&amp;F542,'Outreach Log'!$L:$L,0),"→ View"),"—")</f>
        <v>→ View</v>
      </c>
      <c r="N542" s="6" t="str">
        <f>IFERROR(HYPERLINK("#Companies!A"&amp;MATCH(E542,Companies!$B:$B,0),"→ View"),"—")</f>
        <v>→ View</v>
      </c>
    </row>
    <row r="543" spans="1:14">
      <c r="A543" s="9">
        <f>IF(tblContacts[[#This Row],[First Name]]&lt;&gt;0,ROW()-1,"")</f>
        <v>542</v>
      </c>
      <c r="B543" s="50" t="s">
        <v>1080</v>
      </c>
      <c r="C543" s="50" t="s">
        <v>1512</v>
      </c>
      <c r="D543" s="10"/>
      <c r="E543" s="10" t="s">
        <v>2160</v>
      </c>
      <c r="F543" s="10" t="s">
        <v>1513</v>
      </c>
      <c r="G543" s="10"/>
      <c r="H543" s="10" t="s">
        <v>2824</v>
      </c>
      <c r="I543" s="10" t="s">
        <v>14</v>
      </c>
      <c r="J543" s="10"/>
      <c r="K543" s="7" cm="1">
        <f t="array" ref="K543">IFERROR(LOOKUP(2,1/('Outreach Log'!$C$2:$C$9998=F543),'Outreach Log'!$B$2:$B$9998),"")</f>
        <v>46093</v>
      </c>
      <c r="L543" s="5" t="str">
        <f>IFERROR(INDEX('Outreach Log'!$F:$F,MATCH(TEXT(K543,"YYYY-MM-DD")&amp;F543,'Outreach Log'!$L:$L,0)),"")</f>
        <v>Email</v>
      </c>
      <c r="M543" s="6" t="str">
        <f>IFERROR(HYPERLINK("#'Outreach Log'!A"&amp;MATCH(TEXT(K543,"YYYY-MM-DD")&amp;F543,'Outreach Log'!$L:$L,0),"→ View"),"—")</f>
        <v>→ View</v>
      </c>
      <c r="N543" s="6" t="str">
        <f>IFERROR(HYPERLINK("#Companies!A"&amp;MATCH(E543,Companies!$B:$B,0),"→ View"),"—")</f>
        <v>→ View</v>
      </c>
    </row>
    <row r="544" spans="1:14">
      <c r="A544" s="9">
        <f>IF(tblContacts[[#This Row],[First Name]]&lt;&gt;0,ROW()-1,"")</f>
        <v>543</v>
      </c>
      <c r="B544" s="50" t="s">
        <v>1080</v>
      </c>
      <c r="C544" s="50" t="s">
        <v>1119</v>
      </c>
      <c r="D544" s="10" t="s">
        <v>3195</v>
      </c>
      <c r="E544" s="10" t="s">
        <v>3130</v>
      </c>
      <c r="F544" s="10" t="s">
        <v>1516</v>
      </c>
      <c r="G544" s="10" t="s">
        <v>3326</v>
      </c>
      <c r="H544" s="10" t="s">
        <v>2824</v>
      </c>
      <c r="I544" s="44" t="s">
        <v>3363</v>
      </c>
      <c r="K544" s="7" cm="1">
        <f t="array" ref="K544">IFERROR(LOOKUP(2,1/('Outreach Log'!$C$2:$C$9998=F544),'Outreach Log'!$B$2:$B$9998),"")</f>
        <v>46104</v>
      </c>
      <c r="L544" s="5" t="str">
        <f>IFERROR(INDEX('Outreach Log'!$F:$F,MATCH(TEXT(K544,"YYYY-MM-DD")&amp;F544,'Outreach Log'!$L:$L,0)),"")</f>
        <v>Email</v>
      </c>
      <c r="M544" s="6" t="str">
        <f>IFERROR(HYPERLINK("#'Outreach Log'!A"&amp;MATCH(TEXT(K544,"YYYY-MM-DD")&amp;F544,'Outreach Log'!$L:$L,0),"→ View"),"—")</f>
        <v>→ View</v>
      </c>
      <c r="N544" s="6" t="str">
        <f>IFERROR(HYPERLINK("#Companies!A"&amp;MATCH(E544,Companies!$B:$B,0),"→ View"),"—")</f>
        <v>→ View</v>
      </c>
    </row>
    <row r="545" spans="1:14">
      <c r="A545" s="9">
        <f>IF(tblContacts[[#This Row],[First Name]]&lt;&gt;0,ROW()-1,"")</f>
        <v>544</v>
      </c>
      <c r="B545" s="50" t="s">
        <v>1080</v>
      </c>
      <c r="C545" s="50" t="s">
        <v>1028</v>
      </c>
      <c r="D545" s="10"/>
      <c r="E545" s="10" t="s">
        <v>484</v>
      </c>
      <c r="F545" s="10" t="s">
        <v>1522</v>
      </c>
      <c r="G545" s="10"/>
      <c r="H545" s="10" t="s">
        <v>2824</v>
      </c>
      <c r="I545" s="10" t="s">
        <v>14</v>
      </c>
      <c r="J545" s="10"/>
      <c r="K545" s="7" cm="1">
        <f t="array" ref="K545">IFERROR(LOOKUP(2,1/('Outreach Log'!$C$2:$C$9998=F545),'Outreach Log'!$B$2:$B$9998),"")</f>
        <v>46093</v>
      </c>
      <c r="L545" s="5" t="str">
        <f>IFERROR(INDEX('Outreach Log'!$F:$F,MATCH(TEXT(K545,"YYYY-MM-DD")&amp;F545,'Outreach Log'!$L:$L,0)),"")</f>
        <v>Email</v>
      </c>
      <c r="M545" s="6" t="str">
        <f>IFERROR(HYPERLINK("#'Outreach Log'!A"&amp;MATCH(TEXT(K545,"YYYY-MM-DD")&amp;F545,'Outreach Log'!$L:$L,0),"→ View"),"—")</f>
        <v>→ View</v>
      </c>
      <c r="N545" s="6" t="str">
        <f>IFERROR(HYPERLINK("#Companies!A"&amp;MATCH(E545,Companies!$B:$B,0),"→ View"),"—")</f>
        <v>→ View</v>
      </c>
    </row>
    <row r="546" spans="1:14">
      <c r="A546" s="9">
        <f>IF(tblContacts[[#This Row],[First Name]]&lt;&gt;0,ROW()-1,"")</f>
        <v>545</v>
      </c>
      <c r="B546" s="50" t="s">
        <v>771</v>
      </c>
      <c r="C546" s="50" t="s">
        <v>1526</v>
      </c>
      <c r="D546" s="10"/>
      <c r="E546" s="10" t="s">
        <v>2166</v>
      </c>
      <c r="F546" s="10" t="s">
        <v>1527</v>
      </c>
      <c r="G546" s="10"/>
      <c r="H546" s="10" t="s">
        <v>2824</v>
      </c>
      <c r="I546" s="10" t="s">
        <v>14</v>
      </c>
      <c r="J546" s="10"/>
      <c r="K546" s="7" cm="1">
        <f t="array" ref="K546">IFERROR(LOOKUP(2,1/('Outreach Log'!$C$2:$C$9998=F546),'Outreach Log'!$B$2:$B$9998),"")</f>
        <v>46093</v>
      </c>
      <c r="L546" s="5" t="str">
        <f>IFERROR(INDEX('Outreach Log'!$F:$F,MATCH(TEXT(K546,"YYYY-MM-DD")&amp;F546,'Outreach Log'!$L:$L,0)),"")</f>
        <v>Email</v>
      </c>
      <c r="M546" s="6" t="str">
        <f>IFERROR(HYPERLINK("#'Outreach Log'!A"&amp;MATCH(TEXT(K546,"YYYY-MM-DD")&amp;F546,'Outreach Log'!$L:$L,0),"→ View"),"—")</f>
        <v>→ View</v>
      </c>
      <c r="N546" s="6" t="str">
        <f>IFERROR(HYPERLINK("#Companies!A"&amp;MATCH(E546,Companies!$B:$B,0),"→ View"),"—")</f>
        <v>→ View</v>
      </c>
    </row>
    <row r="547" spans="1:14">
      <c r="A547" s="9">
        <f>IF(tblContacts[[#This Row],[First Name]]&lt;&gt;0,ROW()-1,"")</f>
        <v>546</v>
      </c>
      <c r="B547" s="50" t="s">
        <v>1535</v>
      </c>
      <c r="C547" s="50" t="s">
        <v>3238</v>
      </c>
      <c r="D547" s="10" t="s">
        <v>3195</v>
      </c>
      <c r="E547" s="10" t="s">
        <v>3043</v>
      </c>
      <c r="F547" s="10" t="s">
        <v>1538</v>
      </c>
      <c r="G547" s="10" t="s">
        <v>3239</v>
      </c>
      <c r="H547" s="10" t="s">
        <v>2824</v>
      </c>
      <c r="I547" s="44" t="s">
        <v>3363</v>
      </c>
      <c r="K547" s="7" cm="1">
        <f t="array" ref="K547">IFERROR(LOOKUP(2,1/('Outreach Log'!$C$2:$C$9998=F547),'Outreach Log'!$B$2:$B$9998),"")</f>
        <v>46104</v>
      </c>
      <c r="L547" s="5" t="str">
        <f>IFERROR(INDEX('Outreach Log'!$F:$F,MATCH(TEXT(K547,"YYYY-MM-DD")&amp;F547,'Outreach Log'!$L:$L,0)),"")</f>
        <v>Email</v>
      </c>
      <c r="M547" s="6" t="str">
        <f>IFERROR(HYPERLINK("#'Outreach Log'!A"&amp;MATCH(TEXT(K547,"YYYY-MM-DD")&amp;F547,'Outreach Log'!$L:$L,0),"→ View"),"—")</f>
        <v>→ View</v>
      </c>
      <c r="N547" s="6" t="str">
        <f>IFERROR(HYPERLINK("#Companies!A"&amp;MATCH(E547,Companies!$B:$B,0),"→ View"),"—")</f>
        <v>→ View</v>
      </c>
    </row>
    <row r="548" spans="1:14">
      <c r="A548" s="9">
        <f>IF(tblContacts[[#This Row],[First Name]]&lt;&gt;0,ROW()-1,"")</f>
        <v>547</v>
      </c>
      <c r="B548" s="50" t="s">
        <v>771</v>
      </c>
      <c r="C548" s="50" t="s">
        <v>1539</v>
      </c>
      <c r="D548" s="10" t="s">
        <v>768</v>
      </c>
      <c r="E548" s="10" t="s">
        <v>497</v>
      </c>
      <c r="F548" s="10" t="s">
        <v>1540</v>
      </c>
      <c r="G548" s="10"/>
      <c r="H548" s="10" t="s">
        <v>2824</v>
      </c>
      <c r="I548" s="10" t="s">
        <v>13</v>
      </c>
      <c r="J548" s="10"/>
      <c r="K548" s="7" cm="1">
        <f t="array" ref="K548">IFERROR(LOOKUP(2,1/('Outreach Log'!$C$2:$C$9998=F548),'Outreach Log'!$B$2:$B$9998),"")</f>
        <v>46084</v>
      </c>
      <c r="L548" s="5" t="str">
        <f>IFERROR(INDEX('Outreach Log'!$F:$F,MATCH(TEXT(K548,"YYYY-MM-DD")&amp;F548,'Outreach Log'!$L:$L,0)),"")</f>
        <v>Email</v>
      </c>
      <c r="M548" s="6" t="str">
        <f>IFERROR(HYPERLINK("#'Outreach Log'!A"&amp;MATCH(TEXT(K548,"YYYY-MM-DD")&amp;F548,'Outreach Log'!$L:$L,0),"→ View"),"—")</f>
        <v>→ View</v>
      </c>
      <c r="N548" s="6" t="str">
        <f>IFERROR(HYPERLINK("#Companies!A"&amp;MATCH(E548,Companies!$B:$B,0),"→ View"),"—")</f>
        <v>→ View</v>
      </c>
    </row>
    <row r="549" spans="1:14">
      <c r="A549" s="9">
        <f>IF(tblContacts[[#This Row],[First Name]]&lt;&gt;0,ROW()-1,"")</f>
        <v>548</v>
      </c>
      <c r="B549" s="50" t="s">
        <v>1214</v>
      </c>
      <c r="C549" s="50" t="s">
        <v>1979</v>
      </c>
      <c r="D549" s="10" t="s">
        <v>862</v>
      </c>
      <c r="E549" s="10" t="s">
        <v>2115</v>
      </c>
      <c r="F549" s="10" t="s">
        <v>1980</v>
      </c>
      <c r="G549" s="10"/>
      <c r="H549" s="10" t="s">
        <v>2824</v>
      </c>
      <c r="I549" s="10" t="s">
        <v>14</v>
      </c>
      <c r="J549" s="10"/>
      <c r="K549" s="7" cm="1">
        <f t="array" ref="K549">IFERROR(LOOKUP(2,1/('Outreach Log'!$C$2:$C$9998=F549),'Outreach Log'!$B$2:$B$9998),"")</f>
        <v>46093</v>
      </c>
      <c r="L549" s="5" t="str">
        <f>IFERROR(INDEX('Outreach Log'!$F:$F,MATCH(TEXT(K549,"YYYY-MM-DD")&amp;F549,'Outreach Log'!$L:$L,0)),"")</f>
        <v>Email</v>
      </c>
      <c r="M549" s="6" t="str">
        <f>IFERROR(HYPERLINK("#'Outreach Log'!A"&amp;MATCH(TEXT(K549,"YYYY-MM-DD")&amp;F549,'Outreach Log'!$L:$L,0),"→ View"),"—")</f>
        <v>→ View</v>
      </c>
      <c r="N549" s="6" t="str">
        <f>IFERROR(HYPERLINK("#Companies!A"&amp;MATCH(E549,Companies!$B:$B,0),"→ View"),"—")</f>
        <v>→ View</v>
      </c>
    </row>
    <row r="550" spans="1:14">
      <c r="A550" s="9">
        <f>IF(tblContacts[[#This Row],[First Name]]&lt;&gt;0,ROW()-1,"")</f>
        <v>549</v>
      </c>
      <c r="B550" s="50" t="s">
        <v>1547</v>
      </c>
      <c r="C550" s="50" t="s">
        <v>2342</v>
      </c>
      <c r="D550" s="10"/>
      <c r="E550" s="10" t="s">
        <v>2120</v>
      </c>
      <c r="F550" s="10" t="s">
        <v>1548</v>
      </c>
      <c r="G550" s="10"/>
      <c r="H550" s="10" t="s">
        <v>2824</v>
      </c>
      <c r="I550" s="10" t="s">
        <v>2171</v>
      </c>
      <c r="J550" s="10"/>
      <c r="K550" s="7" cm="1">
        <f t="array" ref="K550">IFERROR(LOOKUP(2,1/('Outreach Log'!$C$2:$C$9998=F550),'Outreach Log'!$B$2:$B$9998),"")</f>
        <v>46093</v>
      </c>
      <c r="L550" s="5" t="str">
        <f>IFERROR(INDEX('Outreach Log'!$F:$F,MATCH(TEXT(K550,"YYYY-MM-DD")&amp;F550,'Outreach Log'!$L:$L,0)),"")</f>
        <v>Email</v>
      </c>
      <c r="M550" s="6" t="str">
        <f>IFERROR(HYPERLINK("#'Outreach Log'!A"&amp;MATCH(TEXT(K550,"YYYY-MM-DD")&amp;F550,'Outreach Log'!$L:$L,0),"→ View"),"—")</f>
        <v>→ View</v>
      </c>
      <c r="N550" s="6" t="str">
        <f>IFERROR(HYPERLINK("#Companies!A"&amp;MATCH(E550,Companies!$B:$B,0),"→ View"),"—")</f>
        <v>→ View</v>
      </c>
    </row>
    <row r="551" spans="1:14">
      <c r="A551" s="9">
        <f>IF(tblContacts[[#This Row],[First Name]]&lt;&gt;0,ROW()-1,"")</f>
        <v>550</v>
      </c>
      <c r="B551" s="50" t="s">
        <v>1549</v>
      </c>
      <c r="C551" s="50" t="s">
        <v>1550</v>
      </c>
      <c r="D551" s="10"/>
      <c r="E551" s="10" t="s">
        <v>503</v>
      </c>
      <c r="F551" s="10" t="s">
        <v>1551</v>
      </c>
      <c r="G551" s="10"/>
      <c r="H551" s="10" t="s">
        <v>2824</v>
      </c>
      <c r="I551" s="10" t="s">
        <v>14</v>
      </c>
      <c r="J551" s="10"/>
      <c r="K551" s="7" cm="1">
        <f t="array" ref="K551">IFERROR(LOOKUP(2,1/('Outreach Log'!$C$2:$C$9998=F551),'Outreach Log'!$B$2:$B$9998),"")</f>
        <v>46093</v>
      </c>
      <c r="L551" s="5" t="str">
        <f>IFERROR(INDEX('Outreach Log'!$F:$F,MATCH(TEXT(K551,"YYYY-MM-DD")&amp;F551,'Outreach Log'!$L:$L,0)),"")</f>
        <v>Email</v>
      </c>
      <c r="M551" s="6" t="str">
        <f>IFERROR(HYPERLINK("#'Outreach Log'!A"&amp;MATCH(TEXT(K551,"YYYY-MM-DD")&amp;F551,'Outreach Log'!$L:$L,0),"→ View"),"—")</f>
        <v>→ View</v>
      </c>
      <c r="N551" s="6" t="str">
        <f>IFERROR(HYPERLINK("#Companies!A"&amp;MATCH(E551,Companies!$B:$B,0),"→ View"),"—")</f>
        <v>→ View</v>
      </c>
    </row>
    <row r="552" spans="1:14">
      <c r="A552" s="9">
        <f>IF(tblContacts[[#This Row],[First Name]]&lt;&gt;0,ROW()-1,"")</f>
        <v>551</v>
      </c>
      <c r="B552" s="50" t="s">
        <v>1565</v>
      </c>
      <c r="C552" s="50" t="s">
        <v>766</v>
      </c>
      <c r="D552" s="10"/>
      <c r="E552" s="10" t="s">
        <v>2160</v>
      </c>
      <c r="F552" s="10" t="s">
        <v>1566</v>
      </c>
      <c r="G552" s="10"/>
      <c r="H552" s="10" t="s">
        <v>2824</v>
      </c>
      <c r="I552" s="10" t="s">
        <v>14</v>
      </c>
      <c r="J552" s="10"/>
      <c r="K552" s="7" cm="1">
        <f t="array" ref="K552">IFERROR(LOOKUP(2,1/('Outreach Log'!$C$2:$C$9998=F552),'Outreach Log'!$B$2:$B$9998),"")</f>
        <v>46093</v>
      </c>
      <c r="L552" s="5" t="str">
        <f>IFERROR(INDEX('Outreach Log'!$F:$F,MATCH(TEXT(K552,"YYYY-MM-DD")&amp;F552,'Outreach Log'!$L:$L,0)),"")</f>
        <v>Email</v>
      </c>
      <c r="M552" s="6" t="str">
        <f>IFERROR(HYPERLINK("#'Outreach Log'!A"&amp;MATCH(TEXT(K552,"YYYY-MM-DD")&amp;F552,'Outreach Log'!$L:$L,0),"→ View"),"—")</f>
        <v>→ View</v>
      </c>
      <c r="N552" s="6" t="str">
        <f>IFERROR(HYPERLINK("#Companies!A"&amp;MATCH(E552,Companies!$B:$B,0),"→ View"),"—")</f>
        <v>→ View</v>
      </c>
    </row>
    <row r="553" spans="1:14">
      <c r="A553" s="9">
        <f>IF(tblContacts[[#This Row],[First Name]]&lt;&gt;0,ROW()-1,"")</f>
        <v>552</v>
      </c>
      <c r="B553" s="50" t="s">
        <v>1569</v>
      </c>
      <c r="C553" s="50" t="s">
        <v>2052</v>
      </c>
      <c r="D553" s="10" t="s">
        <v>768</v>
      </c>
      <c r="E553" s="10" t="s">
        <v>2148</v>
      </c>
      <c r="F553" s="10" t="s">
        <v>2053</v>
      </c>
      <c r="G553" s="10"/>
      <c r="H553" s="10" t="s">
        <v>2824</v>
      </c>
      <c r="I553" s="10" t="s">
        <v>14</v>
      </c>
      <c r="J553" s="10"/>
      <c r="K553" s="7" cm="1">
        <f t="array" ref="K553">IFERROR(LOOKUP(2,1/('Outreach Log'!$C$2:$C$9998=F553),'Outreach Log'!$B$2:$B$9998),"")</f>
        <v>46093</v>
      </c>
      <c r="L553" s="5" t="str">
        <f>IFERROR(INDEX('Outreach Log'!$F:$F,MATCH(TEXT(K553,"YYYY-MM-DD")&amp;F553,'Outreach Log'!$L:$L,0)),"")</f>
        <v>Email</v>
      </c>
      <c r="M553" s="6" t="str">
        <f>IFERROR(HYPERLINK("#'Outreach Log'!A"&amp;MATCH(TEXT(K553,"YYYY-MM-DD")&amp;F553,'Outreach Log'!$L:$L,0),"→ View"),"—")</f>
        <v>→ View</v>
      </c>
      <c r="N553" s="6" t="str">
        <f>IFERROR(HYPERLINK("#Companies!A"&amp;MATCH(E553,Companies!$B:$B,0),"→ View"),"—")</f>
        <v>→ View</v>
      </c>
    </row>
    <row r="554" spans="1:14">
      <c r="A554" s="9">
        <f>IF(tblContacts[[#This Row],[First Name]]&lt;&gt;0,ROW()-1,"")</f>
        <v>553</v>
      </c>
      <c r="B554" s="50" t="s">
        <v>1569</v>
      </c>
      <c r="C554" s="50" t="s">
        <v>833</v>
      </c>
      <c r="D554" s="10"/>
      <c r="E554" s="10" t="s">
        <v>2147</v>
      </c>
      <c r="F554" s="10" t="s">
        <v>1570</v>
      </c>
      <c r="G554" s="10"/>
      <c r="H554" s="10" t="s">
        <v>2824</v>
      </c>
      <c r="I554" s="10" t="s">
        <v>14</v>
      </c>
      <c r="J554" s="10"/>
      <c r="K554" s="7" cm="1">
        <f t="array" ref="K554">IFERROR(LOOKUP(2,1/('Outreach Log'!$C$2:$C$9998=F554),'Outreach Log'!$B$2:$B$9998),"")</f>
        <v>46093</v>
      </c>
      <c r="L554" s="5" t="str">
        <f>IFERROR(INDEX('Outreach Log'!$F:$F,MATCH(TEXT(K554,"YYYY-MM-DD")&amp;F554,'Outreach Log'!$L:$L,0)),"")</f>
        <v>Email</v>
      </c>
      <c r="M554" s="6" t="str">
        <f>IFERROR(HYPERLINK("#'Outreach Log'!A"&amp;MATCH(TEXT(K554,"YYYY-MM-DD")&amp;F554,'Outreach Log'!$L:$L,0),"→ View"),"—")</f>
        <v>→ View</v>
      </c>
      <c r="N554" s="6" t="str">
        <f>IFERROR(HYPERLINK("#Companies!A"&amp;MATCH(E554,Companies!$B:$B,0),"→ View"),"—")</f>
        <v>→ View</v>
      </c>
    </row>
    <row r="555" spans="1:14">
      <c r="A555" s="9">
        <f>IF(tblContacts[[#This Row],[First Name]]&lt;&gt;0,ROW()-1,"")</f>
        <v>554</v>
      </c>
      <c r="B555" s="50" t="s">
        <v>766</v>
      </c>
      <c r="C555" s="50" t="s">
        <v>1578</v>
      </c>
      <c r="D555" s="10"/>
      <c r="E555" s="10" t="s">
        <v>2113</v>
      </c>
      <c r="F555" s="10" t="s">
        <v>1579</v>
      </c>
      <c r="G555" s="10"/>
      <c r="H555" s="10" t="s">
        <v>2824</v>
      </c>
      <c r="I555" s="10" t="s">
        <v>14</v>
      </c>
      <c r="J555" s="10"/>
      <c r="K555" s="7" cm="1">
        <f t="array" ref="K555">IFERROR(LOOKUP(2,1/('Outreach Log'!$C$2:$C$9998=F555),'Outreach Log'!$B$2:$B$9998),"")</f>
        <v>46093</v>
      </c>
      <c r="L555" s="5" t="str">
        <f>IFERROR(INDEX('Outreach Log'!$F:$F,MATCH(TEXT(K555,"YYYY-MM-DD")&amp;F555,'Outreach Log'!$L:$L,0)),"")</f>
        <v>Email</v>
      </c>
      <c r="M555" s="6" t="str">
        <f>IFERROR(HYPERLINK("#'Outreach Log'!A"&amp;MATCH(TEXT(K555,"YYYY-MM-DD")&amp;F555,'Outreach Log'!$L:$L,0),"→ View"),"—")</f>
        <v>→ View</v>
      </c>
      <c r="N555" s="6" t="str">
        <f>IFERROR(HYPERLINK("#Companies!A"&amp;MATCH(E555,Companies!$B:$B,0),"→ View"),"—")</f>
        <v>→ View</v>
      </c>
    </row>
    <row r="556" spans="1:14">
      <c r="A556" s="9">
        <f>IF(tblContacts[[#This Row],[First Name]]&lt;&gt;0,ROW()-1,"")</f>
        <v>555</v>
      </c>
      <c r="B556" s="50" t="s">
        <v>860</v>
      </c>
      <c r="C556" s="50" t="s">
        <v>1102</v>
      </c>
      <c r="D556" s="10"/>
      <c r="E556" s="10" t="s">
        <v>508</v>
      </c>
      <c r="F556" s="10" t="s">
        <v>1581</v>
      </c>
      <c r="G556" s="10"/>
      <c r="H556" s="10" t="s">
        <v>2824</v>
      </c>
      <c r="I556" s="10" t="s">
        <v>14</v>
      </c>
      <c r="J556" s="10"/>
      <c r="K556" s="7" cm="1">
        <f t="array" ref="K556">IFERROR(LOOKUP(2,1/('Outreach Log'!$C$2:$C$9998=F556),'Outreach Log'!$B$2:$B$9998),"")</f>
        <v>46093</v>
      </c>
      <c r="L556" s="5" t="str">
        <f>IFERROR(INDEX('Outreach Log'!$F:$F,MATCH(TEXT(K556,"YYYY-MM-DD")&amp;F556,'Outreach Log'!$L:$L,0)),"")</f>
        <v>Email</v>
      </c>
      <c r="M556" s="6" t="str">
        <f>IFERROR(HYPERLINK("#'Outreach Log'!A"&amp;MATCH(TEXT(K556,"YYYY-MM-DD")&amp;F556,'Outreach Log'!$L:$L,0),"→ View"),"—")</f>
        <v>→ View</v>
      </c>
      <c r="N556" s="6" t="str">
        <f>IFERROR(HYPERLINK("#Companies!A"&amp;MATCH(E556,Companies!$B:$B,0),"→ View"),"—")</f>
        <v>→ View</v>
      </c>
    </row>
    <row r="557" spans="1:14">
      <c r="A557" s="9">
        <f>IF(tblContacts[[#This Row],[First Name]]&lt;&gt;0,ROW()-1,"")</f>
        <v>556</v>
      </c>
      <c r="B557" s="50" t="s">
        <v>1582</v>
      </c>
      <c r="C557" s="50"/>
      <c r="D557" s="10"/>
      <c r="E557" s="10" t="s">
        <v>521</v>
      </c>
      <c r="F557" s="10" t="s">
        <v>1583</v>
      </c>
      <c r="G557" s="10"/>
      <c r="H557" s="10" t="s">
        <v>2824</v>
      </c>
      <c r="I557" s="10" t="s">
        <v>14</v>
      </c>
      <c r="J557" s="10"/>
      <c r="K557" s="7" cm="1">
        <f t="array" ref="K557">IFERROR(LOOKUP(2,1/('Outreach Log'!$C$2:$C$9998=F557),'Outreach Log'!$B$2:$B$9998),"")</f>
        <v>46093</v>
      </c>
      <c r="L557" s="5" t="str">
        <f>IFERROR(INDEX('Outreach Log'!$F:$F,MATCH(TEXT(K557,"YYYY-MM-DD")&amp;F557,'Outreach Log'!$L:$L,0)),"")</f>
        <v>Email</v>
      </c>
      <c r="M557" s="6" t="str">
        <f>IFERROR(HYPERLINK("#'Outreach Log'!A"&amp;MATCH(TEXT(K557,"YYYY-MM-DD")&amp;F557,'Outreach Log'!$L:$L,0),"→ View"),"—")</f>
        <v>→ View</v>
      </c>
      <c r="N557" s="6" t="str">
        <f>IFERROR(HYPERLINK("#Companies!A"&amp;MATCH(E557,Companies!$B:$B,0),"→ View"),"—")</f>
        <v>→ View</v>
      </c>
    </row>
    <row r="558" spans="1:14">
      <c r="A558" s="9">
        <f>IF(tblContacts[[#This Row],[First Name]]&lt;&gt;0,ROW()-1,"")</f>
        <v>557</v>
      </c>
      <c r="B558" s="50" t="s">
        <v>1593</v>
      </c>
      <c r="C558" s="50" t="s">
        <v>1207</v>
      </c>
      <c r="D558" s="10"/>
      <c r="E558" s="10" t="s">
        <v>2107</v>
      </c>
      <c r="F558" s="10" t="s">
        <v>1594</v>
      </c>
      <c r="G558" s="10"/>
      <c r="H558" s="10" t="s">
        <v>2824</v>
      </c>
      <c r="I558" s="10" t="s">
        <v>14</v>
      </c>
      <c r="J558" s="10"/>
      <c r="K558" s="7" cm="1">
        <f t="array" ref="K558">IFERROR(LOOKUP(2,1/('Outreach Log'!$C$2:$C$9998=F558),'Outreach Log'!$B$2:$B$9998),"")</f>
        <v>46093</v>
      </c>
      <c r="L558" s="5" t="str">
        <f>IFERROR(INDEX('Outreach Log'!$F:$F,MATCH(TEXT(K558,"YYYY-MM-DD")&amp;F558,'Outreach Log'!$L:$L,0)),"")</f>
        <v>Email</v>
      </c>
      <c r="M558" s="6" t="str">
        <f>IFERROR(HYPERLINK("#'Outreach Log'!A"&amp;MATCH(TEXT(K558,"YYYY-MM-DD")&amp;F558,'Outreach Log'!$L:$L,0),"→ View"),"—")</f>
        <v>→ View</v>
      </c>
      <c r="N558" s="6" t="str">
        <f>IFERROR(HYPERLINK("#Companies!A"&amp;MATCH(E558,Companies!$B:$B,0),"→ View"),"—")</f>
        <v>→ View</v>
      </c>
    </row>
    <row r="559" spans="1:14">
      <c r="A559" s="9">
        <f>IF(tblContacts[[#This Row],[First Name]]&lt;&gt;0,ROW()-1,"")</f>
        <v>558</v>
      </c>
      <c r="B559" s="50" t="s">
        <v>1597</v>
      </c>
      <c r="C559" s="50" t="s">
        <v>1599</v>
      </c>
      <c r="D559" s="10"/>
      <c r="E559" s="10" t="s">
        <v>2999</v>
      </c>
      <c r="F559" s="10" t="s">
        <v>1600</v>
      </c>
      <c r="G559" s="10"/>
      <c r="H559" s="10" t="s">
        <v>2824</v>
      </c>
      <c r="I559" s="10" t="s">
        <v>14</v>
      </c>
      <c r="J559" s="10"/>
      <c r="K559" s="7" cm="1">
        <f t="array" ref="K559">IFERROR(LOOKUP(2,1/('Outreach Log'!$C$2:$C$9998=F559),'Outreach Log'!$B$2:$B$9998),"")</f>
        <v>46093</v>
      </c>
      <c r="L559" s="5" t="str">
        <f>IFERROR(INDEX('Outreach Log'!$F:$F,MATCH(TEXT(K559,"YYYY-MM-DD")&amp;F559,'Outreach Log'!$L:$L,0)),"")</f>
        <v>Email</v>
      </c>
      <c r="M559" s="6" t="str">
        <f>IFERROR(HYPERLINK("#'Outreach Log'!A"&amp;MATCH(TEXT(K559,"YYYY-MM-DD")&amp;F559,'Outreach Log'!$L:$L,0),"→ View"),"—")</f>
        <v>→ View</v>
      </c>
      <c r="N559" s="6" t="str">
        <f>IFERROR(HYPERLINK("#Companies!A"&amp;MATCH(E559,Companies!$B:$B,0),"→ View"),"—")</f>
        <v>→ View</v>
      </c>
    </row>
    <row r="560" spans="1:14">
      <c r="A560" s="9">
        <f>IF(tblContacts[[#This Row],[First Name]]&lt;&gt;0,ROW()-1,"")</f>
        <v>559</v>
      </c>
      <c r="B560" s="50" t="s">
        <v>1389</v>
      </c>
      <c r="C560" s="50" t="s">
        <v>3219</v>
      </c>
      <c r="D560" s="10" t="s">
        <v>3220</v>
      </c>
      <c r="E560" s="10" t="s">
        <v>3028</v>
      </c>
      <c r="F560" s="32" t="s">
        <v>3221</v>
      </c>
      <c r="G560" s="10"/>
      <c r="H560" s="10" t="s">
        <v>2824</v>
      </c>
      <c r="I560" s="44" t="s">
        <v>3363</v>
      </c>
      <c r="K560" s="7" cm="1">
        <f t="array" ref="K560">IFERROR(LOOKUP(2,1/('Outreach Log'!$C$2:$C$9998=F560),'Outreach Log'!$B$2:$B$9998),"")</f>
        <v>46104</v>
      </c>
      <c r="L560" s="5" t="str">
        <f>IFERROR(INDEX('Outreach Log'!$F:$F,MATCH(TEXT(K560,"YYYY-MM-DD")&amp;F560,'Outreach Log'!$L:$L,0)),"")</f>
        <v>Email</v>
      </c>
      <c r="M560" s="6" t="str">
        <f>IFERROR(HYPERLINK("#'Outreach Log'!A"&amp;MATCH(TEXT(K560,"YYYY-MM-DD")&amp;F560,'Outreach Log'!$L:$L,0),"→ View"),"—")</f>
        <v>→ View</v>
      </c>
      <c r="N560" s="6" t="str">
        <f>IFERROR(HYPERLINK("#Companies!A"&amp;MATCH(E560,Companies!$B:$B,0),"→ View"),"—")</f>
        <v>→ View</v>
      </c>
    </row>
    <row r="561" spans="1:14" ht="15" customHeight="1">
      <c r="A561" s="9">
        <f>IF(tblContacts[[#This Row],[First Name]]&lt;&gt;0,ROW()-1,"")</f>
        <v>560</v>
      </c>
      <c r="B561" s="50" t="s">
        <v>1389</v>
      </c>
      <c r="C561" s="50" t="s">
        <v>1612</v>
      </c>
      <c r="D561" s="10"/>
      <c r="E561" s="10" t="s">
        <v>2109</v>
      </c>
      <c r="F561" s="10" t="s">
        <v>1613</v>
      </c>
      <c r="G561" s="10"/>
      <c r="H561" s="10" t="s">
        <v>2824</v>
      </c>
      <c r="I561" s="10" t="s">
        <v>14</v>
      </c>
      <c r="J561" s="10"/>
      <c r="K561" s="7" cm="1">
        <f t="array" ref="K561">IFERROR(LOOKUP(2,1/('Outreach Log'!$C$2:$C$9998=F561),'Outreach Log'!$B$2:$B$9998),"")</f>
        <v>46093</v>
      </c>
      <c r="L561" s="5" t="str">
        <f>IFERROR(INDEX('Outreach Log'!$F:$F,MATCH(TEXT(K561,"YYYY-MM-DD")&amp;F561,'Outreach Log'!$L:$L,0)),"")</f>
        <v>Email</v>
      </c>
      <c r="M561" s="6" t="str">
        <f>IFERROR(HYPERLINK("#'Outreach Log'!A"&amp;MATCH(TEXT(K561,"YYYY-MM-DD")&amp;F561,'Outreach Log'!$L:$L,0),"→ View"),"—")</f>
        <v>→ View</v>
      </c>
      <c r="N561" s="6" t="str">
        <f>IFERROR(HYPERLINK("#Companies!A"&amp;MATCH(E561,Companies!$B:$B,0),"→ View"),"—")</f>
        <v>→ View</v>
      </c>
    </row>
    <row r="562" spans="1:14" ht="15" customHeight="1">
      <c r="A562" s="9">
        <f>IF(tblContacts[[#This Row],[First Name]]&lt;&gt;0,ROW()-1,"")</f>
        <v>561</v>
      </c>
      <c r="B562" s="50" t="s">
        <v>1616</v>
      </c>
      <c r="C562" s="50" t="s">
        <v>1619</v>
      </c>
      <c r="D562" s="10"/>
      <c r="E562" s="10" t="s">
        <v>2120</v>
      </c>
      <c r="F562" s="32" t="s">
        <v>1620</v>
      </c>
      <c r="G562" s="10"/>
      <c r="H562" s="10" t="s">
        <v>2824</v>
      </c>
      <c r="I562" s="10" t="s">
        <v>14</v>
      </c>
      <c r="J562" s="10"/>
      <c r="K562" s="7" cm="1">
        <f t="array" ref="K562">IFERROR(LOOKUP(2,1/('Outreach Log'!$C$2:$C$9998=F562),'Outreach Log'!$B$2:$B$9998),"")</f>
        <v>46093</v>
      </c>
      <c r="L562" s="5" t="str">
        <f>IFERROR(INDEX('Outreach Log'!$F:$F,MATCH(TEXT(K562,"YYYY-MM-DD")&amp;F562,'Outreach Log'!$L:$L,0)),"")</f>
        <v>Email</v>
      </c>
      <c r="M562" s="6" t="str">
        <f>IFERROR(HYPERLINK("#'Outreach Log'!A"&amp;MATCH(TEXT(K562,"YYYY-MM-DD")&amp;F562,'Outreach Log'!$L:$L,0),"→ View"),"—")</f>
        <v>→ View</v>
      </c>
      <c r="N562" s="6" t="str">
        <f>IFERROR(HYPERLINK("#Companies!A"&amp;MATCH(E562,Companies!$B:$B,0),"→ View"),"—")</f>
        <v>→ View</v>
      </c>
    </row>
    <row r="563" spans="1:14" ht="15" customHeight="1">
      <c r="A563" s="9">
        <f>IF(tblContacts[[#This Row],[First Name]]&lt;&gt;0,ROW()-1,"")</f>
        <v>562</v>
      </c>
      <c r="B563" s="50" t="s">
        <v>1625</v>
      </c>
      <c r="C563" s="50" t="s">
        <v>3253</v>
      </c>
      <c r="D563" s="10" t="s">
        <v>3195</v>
      </c>
      <c r="E563" s="10" t="s">
        <v>3056</v>
      </c>
      <c r="F563" s="32" t="s">
        <v>3254</v>
      </c>
      <c r="G563" s="10" t="s">
        <v>3255</v>
      </c>
      <c r="H563" s="10" t="s">
        <v>2824</v>
      </c>
      <c r="I563" s="44" t="s">
        <v>3363</v>
      </c>
      <c r="K563" s="7" cm="1">
        <f t="array" ref="K563">IFERROR(LOOKUP(2,1/('Outreach Log'!$C$2:$C$9998=F563),'Outreach Log'!$B$2:$B$9998),"")</f>
        <v>46104</v>
      </c>
      <c r="L563" s="5" t="str">
        <f>IFERROR(INDEX('Outreach Log'!$F:$F,MATCH(TEXT(K563,"YYYY-MM-DD")&amp;F563,'Outreach Log'!$L:$L,0)),"")</f>
        <v>Email</v>
      </c>
      <c r="M563" s="6" t="str">
        <f>IFERROR(HYPERLINK("#'Outreach Log'!A"&amp;MATCH(TEXT(K563,"YYYY-MM-DD")&amp;F563,'Outreach Log'!$L:$L,0),"→ View"),"—")</f>
        <v>→ View</v>
      </c>
      <c r="N563" s="6" t="str">
        <f>IFERROR(HYPERLINK("#Companies!A"&amp;MATCH(E563,Companies!$B:$B,0),"→ View"),"—")</f>
        <v>→ View</v>
      </c>
    </row>
    <row r="564" spans="1:14" ht="15" customHeight="1">
      <c r="A564" s="9">
        <f>IF(tblContacts[[#This Row],[First Name]]&lt;&gt;0,ROW()-1,"")</f>
        <v>563</v>
      </c>
      <c r="B564" s="50" t="s">
        <v>1278</v>
      </c>
      <c r="C564" s="50" t="s">
        <v>1982</v>
      </c>
      <c r="D564" s="10" t="s">
        <v>768</v>
      </c>
      <c r="E564" s="10" t="s">
        <v>2116</v>
      </c>
      <c r="F564" s="32" t="s">
        <v>1983</v>
      </c>
      <c r="G564" s="10"/>
      <c r="H564" s="10" t="s">
        <v>2824</v>
      </c>
      <c r="I564" s="10" t="s">
        <v>14</v>
      </c>
      <c r="J564" s="10"/>
      <c r="K564" s="7" cm="1">
        <f t="array" ref="K564">IFERROR(LOOKUP(2,1/('Outreach Log'!$C$2:$C$9998=F564),'Outreach Log'!$B$2:$B$9998),"")</f>
        <v>46093</v>
      </c>
      <c r="L564" s="5" t="str">
        <f>IFERROR(INDEX('Outreach Log'!$F:$F,MATCH(TEXT(K564,"YYYY-MM-DD")&amp;F564,'Outreach Log'!$L:$L,0)),"")</f>
        <v>Email</v>
      </c>
      <c r="M564" s="6" t="str">
        <f>IFERROR(HYPERLINK("#'Outreach Log'!A"&amp;MATCH(TEXT(K564,"YYYY-MM-DD")&amp;F564,'Outreach Log'!$L:$L,0),"→ View"),"—")</f>
        <v>→ View</v>
      </c>
      <c r="N564" s="6" t="str">
        <f>IFERROR(HYPERLINK("#Companies!A"&amp;MATCH(E564,Companies!$B:$B,0),"→ View"),"—")</f>
        <v>→ View</v>
      </c>
    </row>
    <row r="565" spans="1:14" ht="15" customHeight="1">
      <c r="A565" s="9">
        <f>IF(tblContacts[[#This Row],[First Name]]&lt;&gt;0,ROW()-1,"")</f>
        <v>564</v>
      </c>
      <c r="B565" s="50" t="s">
        <v>1278</v>
      </c>
      <c r="C565" s="50" t="s">
        <v>1630</v>
      </c>
      <c r="D565" s="10" t="s">
        <v>862</v>
      </c>
      <c r="E565" s="10" t="s">
        <v>540</v>
      </c>
      <c r="F565" s="32" t="s">
        <v>1631</v>
      </c>
      <c r="G565" s="10"/>
      <c r="H565" s="10" t="s">
        <v>2824</v>
      </c>
      <c r="I565" s="10" t="s">
        <v>13</v>
      </c>
      <c r="J565" s="10"/>
      <c r="K565" s="7" cm="1">
        <f t="array" ref="K565">IFERROR(LOOKUP(2,1/('Outreach Log'!$C$2:$C$9998=F565),'Outreach Log'!$B$2:$B$9998),"")</f>
        <v>46084</v>
      </c>
      <c r="L565" s="5" t="str">
        <f>IFERROR(INDEX('Outreach Log'!$F:$F,MATCH(TEXT(K565,"YYYY-MM-DD")&amp;F565,'Outreach Log'!$L:$L,0)),"")</f>
        <v>Email</v>
      </c>
      <c r="M565" s="6" t="str">
        <f>IFERROR(HYPERLINK("#'Outreach Log'!A"&amp;MATCH(TEXT(K565,"YYYY-MM-DD")&amp;F565,'Outreach Log'!$L:$L,0),"→ View"),"—")</f>
        <v>→ View</v>
      </c>
      <c r="N565" s="6" t="str">
        <f>IFERROR(HYPERLINK("#Companies!A"&amp;MATCH(E565,Companies!$B:$B,0),"→ View"),"—")</f>
        <v>→ View</v>
      </c>
    </row>
    <row r="566" spans="1:14" ht="15" customHeight="1">
      <c r="A566" s="9">
        <f>IF(tblContacts[[#This Row],[First Name]]&lt;&gt;0,ROW()-1,"")</f>
        <v>565</v>
      </c>
      <c r="B566" s="50" t="s">
        <v>1278</v>
      </c>
      <c r="C566" s="50" t="s">
        <v>2057</v>
      </c>
      <c r="D566" s="10" t="s">
        <v>862</v>
      </c>
      <c r="E566" s="10" t="s">
        <v>2149</v>
      </c>
      <c r="F566" s="32" t="s">
        <v>2058</v>
      </c>
      <c r="G566" s="10"/>
      <c r="H566" s="10" t="s">
        <v>2824</v>
      </c>
      <c r="I566" s="10" t="s">
        <v>14</v>
      </c>
      <c r="J566" s="10"/>
      <c r="K566" s="7" cm="1">
        <f t="array" ref="K566">IFERROR(LOOKUP(2,1/('Outreach Log'!$C$2:$C$9998=F566),'Outreach Log'!$B$2:$B$9998),"")</f>
        <v>46093</v>
      </c>
      <c r="L566" s="5" t="str">
        <f>IFERROR(INDEX('Outreach Log'!$F:$F,MATCH(TEXT(K566,"YYYY-MM-DD")&amp;F566,'Outreach Log'!$L:$L,0)),"")</f>
        <v>Email</v>
      </c>
      <c r="M566" s="6" t="str">
        <f>IFERROR(HYPERLINK("#'Outreach Log'!A"&amp;MATCH(TEXT(K566,"YYYY-MM-DD")&amp;F566,'Outreach Log'!$L:$L,0),"→ View"),"—")</f>
        <v>→ View</v>
      </c>
      <c r="N566" s="6" t="str">
        <f>IFERROR(HYPERLINK("#Companies!A"&amp;MATCH(E566,Companies!$B:$B,0),"→ View"),"—")</f>
        <v>→ View</v>
      </c>
    </row>
    <row r="567" spans="1:14" ht="15" customHeight="1">
      <c r="A567" s="9">
        <f>IF(tblContacts[[#This Row],[First Name]]&lt;&gt;0,ROW()-1,"")</f>
        <v>566</v>
      </c>
      <c r="B567" s="50" t="s">
        <v>1278</v>
      </c>
      <c r="C567" s="50" t="s">
        <v>1632</v>
      </c>
      <c r="D567" s="10"/>
      <c r="E567" s="10" t="s">
        <v>2160</v>
      </c>
      <c r="F567" s="32" t="s">
        <v>1633</v>
      </c>
      <c r="G567" s="10"/>
      <c r="H567" s="10" t="s">
        <v>2824</v>
      </c>
      <c r="I567" s="10" t="s">
        <v>14</v>
      </c>
      <c r="J567" s="10"/>
      <c r="K567" s="7" cm="1">
        <f t="array" ref="K567">IFERROR(LOOKUP(2,1/('Outreach Log'!$C$2:$C$9998=F567),'Outreach Log'!$B$2:$B$9998),"")</f>
        <v>46093</v>
      </c>
      <c r="L567" s="5" t="str">
        <f>IFERROR(INDEX('Outreach Log'!$F:$F,MATCH(TEXT(K567,"YYYY-MM-DD")&amp;F567,'Outreach Log'!$L:$L,0)),"")</f>
        <v>Email</v>
      </c>
      <c r="M567" s="6" t="str">
        <f>IFERROR(HYPERLINK("#'Outreach Log'!A"&amp;MATCH(TEXT(K567,"YYYY-MM-DD")&amp;F567,'Outreach Log'!$L:$L,0),"→ View"),"—")</f>
        <v>→ View</v>
      </c>
      <c r="N567" s="6" t="str">
        <f>IFERROR(HYPERLINK("#Companies!A"&amp;MATCH(E567,Companies!$B:$B,0),"→ View"),"—")</f>
        <v>→ View</v>
      </c>
    </row>
    <row r="568" spans="1:14" ht="15" customHeight="1">
      <c r="A568" s="9">
        <f>IF(tblContacts[[#This Row],[First Name]]&lt;&gt;0,ROW()-1,"")</f>
        <v>567</v>
      </c>
      <c r="B568" s="50" t="s">
        <v>1278</v>
      </c>
      <c r="C568" s="50" t="s">
        <v>3360</v>
      </c>
      <c r="D568" s="10" t="s">
        <v>3195</v>
      </c>
      <c r="E568" s="10" t="s">
        <v>3187</v>
      </c>
      <c r="F568" s="32" t="s">
        <v>3361</v>
      </c>
      <c r="G568" s="10" t="s">
        <v>3362</v>
      </c>
      <c r="H568" s="10" t="s">
        <v>2824</v>
      </c>
      <c r="I568" s="44" t="s">
        <v>3363</v>
      </c>
      <c r="K568" s="7" cm="1">
        <f t="array" ref="K568">IFERROR(LOOKUP(2,1/('Outreach Log'!$C$2:$C$9998=F568),'Outreach Log'!$B$2:$B$9998),"")</f>
        <v>46104</v>
      </c>
      <c r="L568" s="5" t="str">
        <f>IFERROR(INDEX('Outreach Log'!$F:$F,MATCH(TEXT(K568,"YYYY-MM-DD")&amp;F568,'Outreach Log'!$L:$L,0)),"")</f>
        <v>Email</v>
      </c>
      <c r="M568" s="6" t="str">
        <f>IFERROR(HYPERLINK("#'Outreach Log'!A"&amp;MATCH(TEXT(K568,"YYYY-MM-DD")&amp;F568,'Outreach Log'!$L:$L,0),"→ View"),"—")</f>
        <v>→ View</v>
      </c>
      <c r="N568" s="6" t="str">
        <f>IFERROR(HYPERLINK("#Companies!A"&amp;MATCH(E568,Companies!$B:$B,0),"→ View"),"—")</f>
        <v>→ View</v>
      </c>
    </row>
    <row r="569" spans="1:14" ht="15" customHeight="1">
      <c r="A569" s="9">
        <f>IF(tblContacts[[#This Row],[First Name]]&lt;&gt;0,ROW()-1,"")</f>
        <v>568</v>
      </c>
      <c r="B569" s="50" t="s">
        <v>1635</v>
      </c>
      <c r="C569" s="50" t="s">
        <v>1636</v>
      </c>
      <c r="D569" s="10" t="s">
        <v>1992</v>
      </c>
      <c r="E569" s="10" t="s">
        <v>2204</v>
      </c>
      <c r="F569" s="32" t="s">
        <v>1993</v>
      </c>
      <c r="G569" s="10"/>
      <c r="H569" s="10" t="s">
        <v>2824</v>
      </c>
      <c r="I569" s="10" t="s">
        <v>14</v>
      </c>
      <c r="J569" s="10"/>
      <c r="K569" s="7" cm="1">
        <f t="array" ref="K569">IFERROR(LOOKUP(2,1/('Outreach Log'!$C$2:$C$9998=F569),'Outreach Log'!$B$2:$B$9998),"")</f>
        <v>46093</v>
      </c>
      <c r="L569" s="5" t="str">
        <f>IFERROR(INDEX('Outreach Log'!$F:$F,MATCH(TEXT(K569,"YYYY-MM-DD")&amp;F569,'Outreach Log'!$L:$L,0)),"")</f>
        <v>Email</v>
      </c>
      <c r="M569" s="6" t="str">
        <f>IFERROR(HYPERLINK("#'Outreach Log'!A"&amp;MATCH(TEXT(K569,"YYYY-MM-DD")&amp;F569,'Outreach Log'!$L:$L,0),"→ View"),"—")</f>
        <v>→ View</v>
      </c>
      <c r="N569" s="6" t="str">
        <f>IFERROR(HYPERLINK("#Companies!A"&amp;MATCH(E569,Companies!$B:$B,0),"→ View"),"—")</f>
        <v>→ View</v>
      </c>
    </row>
    <row r="570" spans="1:14" ht="15" customHeight="1">
      <c r="A570" s="9">
        <f>IF(tblContacts[[#This Row],[First Name]]&lt;&gt;0,ROW()-1,"")</f>
        <v>569</v>
      </c>
      <c r="B570" s="50" t="s">
        <v>1635</v>
      </c>
      <c r="C570" s="50" t="s">
        <v>1968</v>
      </c>
      <c r="D570" s="10" t="s">
        <v>768</v>
      </c>
      <c r="E570" s="10" t="s">
        <v>2112</v>
      </c>
      <c r="F570" s="32" t="s">
        <v>1969</v>
      </c>
      <c r="G570" s="10"/>
      <c r="H570" s="10" t="s">
        <v>2824</v>
      </c>
      <c r="I570" s="10" t="s">
        <v>14</v>
      </c>
      <c r="J570" s="10"/>
      <c r="K570" s="7" cm="1">
        <f t="array" ref="K570">IFERROR(LOOKUP(2,1/('Outreach Log'!$C$2:$C$9998=F570),'Outreach Log'!$B$2:$B$9998),"")</f>
        <v>46093</v>
      </c>
      <c r="L570" s="5" t="str">
        <f>IFERROR(INDEX('Outreach Log'!$F:$F,MATCH(TEXT(K570,"YYYY-MM-DD")&amp;F570,'Outreach Log'!$L:$L,0)),"")</f>
        <v>Email</v>
      </c>
      <c r="M570" s="6" t="str">
        <f>IFERROR(HYPERLINK("#'Outreach Log'!A"&amp;MATCH(TEXT(K570,"YYYY-MM-DD")&amp;F570,'Outreach Log'!$L:$L,0),"→ View"),"—")</f>
        <v>→ View</v>
      </c>
      <c r="N570" s="6" t="str">
        <f>IFERROR(HYPERLINK("#Companies!A"&amp;MATCH(E570,Companies!$B:$B,0),"→ View"),"—")</f>
        <v>→ View</v>
      </c>
    </row>
    <row r="571" spans="1:14" ht="15" customHeight="1">
      <c r="A571" s="9">
        <f>IF(tblContacts[[#This Row],[First Name]]&lt;&gt;0,ROW()-1,"")</f>
        <v>570</v>
      </c>
      <c r="B571" s="50" t="s">
        <v>1642</v>
      </c>
      <c r="C571" s="50" t="s">
        <v>846</v>
      </c>
      <c r="D571" s="10"/>
      <c r="E571" s="10" t="s">
        <v>2144</v>
      </c>
      <c r="F571" s="32" t="s">
        <v>1643</v>
      </c>
      <c r="G571" s="10"/>
      <c r="H571" s="10" t="s">
        <v>2824</v>
      </c>
      <c r="I571" s="10" t="s">
        <v>14</v>
      </c>
      <c r="J571" s="10"/>
      <c r="K571" s="7" cm="1">
        <f t="array" ref="K571">IFERROR(LOOKUP(2,1/('Outreach Log'!$C$2:$C$9998=F571),'Outreach Log'!$B$2:$B$9998),"")</f>
        <v>46093</v>
      </c>
      <c r="L571" s="5" t="str">
        <f>IFERROR(INDEX('Outreach Log'!$F:$F,MATCH(TEXT(K571,"YYYY-MM-DD")&amp;F571,'Outreach Log'!$L:$L,0)),"")</f>
        <v>Email</v>
      </c>
      <c r="M571" s="6" t="str">
        <f>IFERROR(HYPERLINK("#'Outreach Log'!A"&amp;MATCH(TEXT(K571,"YYYY-MM-DD")&amp;F571,'Outreach Log'!$L:$L,0),"→ View"),"—")</f>
        <v>→ View</v>
      </c>
      <c r="N571" s="6" t="str">
        <f>IFERROR(HYPERLINK("#Companies!A"&amp;MATCH(E571,Companies!$B:$B,0),"→ View"),"—")</f>
        <v>→ View</v>
      </c>
    </row>
    <row r="572" spans="1:14" ht="15" customHeight="1">
      <c r="A572" s="9">
        <f>IF(tblContacts[[#This Row],[First Name]]&lt;&gt;0,ROW()-1,"")</f>
        <v>571</v>
      </c>
      <c r="B572" s="50" t="s">
        <v>1644</v>
      </c>
      <c r="C572" s="50" t="s">
        <v>1645</v>
      </c>
      <c r="D572" s="10"/>
      <c r="E572" s="10" t="s">
        <v>2135</v>
      </c>
      <c r="F572" s="32" t="s">
        <v>1646</v>
      </c>
      <c r="G572" s="10"/>
      <c r="H572" s="10" t="s">
        <v>2824</v>
      </c>
      <c r="I572" s="10" t="s">
        <v>14</v>
      </c>
      <c r="J572" s="10"/>
      <c r="K572" s="7" cm="1">
        <f t="array" ref="K572">IFERROR(LOOKUP(2,1/('Outreach Log'!$C$2:$C$9998=F572),'Outreach Log'!$B$2:$B$9998),"")</f>
        <v>46093</v>
      </c>
      <c r="L572" s="5" t="str">
        <f>IFERROR(INDEX('Outreach Log'!$F:$F,MATCH(TEXT(K572,"YYYY-MM-DD")&amp;F572,'Outreach Log'!$L:$L,0)),"")</f>
        <v>Email</v>
      </c>
      <c r="M572" s="6" t="str">
        <f>IFERROR(HYPERLINK("#'Outreach Log'!A"&amp;MATCH(TEXT(K572,"YYYY-MM-DD")&amp;F572,'Outreach Log'!$L:$L,0),"→ View"),"—")</f>
        <v>→ View</v>
      </c>
      <c r="N572" s="6" t="str">
        <f>IFERROR(HYPERLINK("#Companies!A"&amp;MATCH(E572,Companies!$B:$B,0),"→ View"),"—")</f>
        <v>→ View</v>
      </c>
    </row>
    <row r="573" spans="1:14" ht="15" customHeight="1">
      <c r="A573" s="9">
        <f>IF(tblContacts[[#This Row],[First Name]]&lt;&gt;0,ROW()-1,"")</f>
        <v>572</v>
      </c>
      <c r="B573" s="50" t="s">
        <v>1644</v>
      </c>
      <c r="C573" s="50"/>
      <c r="D573" s="10" t="s">
        <v>3261</v>
      </c>
      <c r="E573" s="10" t="s">
        <v>3125</v>
      </c>
      <c r="F573" s="32" t="s">
        <v>3323</v>
      </c>
      <c r="G573" s="10"/>
      <c r="H573" s="10" t="s">
        <v>2824</v>
      </c>
      <c r="I573" s="44" t="s">
        <v>3363</v>
      </c>
      <c r="K573" s="7" cm="1">
        <f t="array" ref="K573">IFERROR(LOOKUP(2,1/('Outreach Log'!$C$2:$C$9998=F573),'Outreach Log'!$B$2:$B$9998),"")</f>
        <v>46104</v>
      </c>
      <c r="L573" s="5" t="str">
        <f>IFERROR(INDEX('Outreach Log'!$F:$F,MATCH(TEXT(K573,"YYYY-MM-DD")&amp;F573,'Outreach Log'!$L:$L,0)),"")</f>
        <v>Email</v>
      </c>
      <c r="M573" s="6" t="str">
        <f>IFERROR(HYPERLINK("#'Outreach Log'!A"&amp;MATCH(TEXT(K573,"YYYY-MM-DD")&amp;F573,'Outreach Log'!$L:$L,0),"→ View"),"—")</f>
        <v>→ View</v>
      </c>
      <c r="N573" s="6" t="str">
        <f>IFERROR(HYPERLINK("#Companies!A"&amp;MATCH(E573,Companies!$B:$B,0),"→ View"),"—")</f>
        <v>→ View</v>
      </c>
    </row>
    <row r="574" spans="1:14" ht="15" customHeight="1">
      <c r="A574" s="9">
        <f>IF(tblContacts[[#This Row],[First Name]]&lt;&gt;0,ROW()-1,"")</f>
        <v>573</v>
      </c>
      <c r="B574" s="50" t="s">
        <v>3193</v>
      </c>
      <c r="C574" s="50" t="s">
        <v>3194</v>
      </c>
      <c r="D574" s="10" t="s">
        <v>3195</v>
      </c>
      <c r="E574" s="10" t="s">
        <v>3001</v>
      </c>
      <c r="F574" s="32" t="s">
        <v>3196</v>
      </c>
      <c r="G574" s="10" t="s">
        <v>3197</v>
      </c>
      <c r="H574" s="10" t="s">
        <v>2824</v>
      </c>
      <c r="I574" s="44" t="s">
        <v>3363</v>
      </c>
      <c r="K574" s="7" cm="1">
        <f t="array" ref="K574">IFERROR(LOOKUP(2,1/('Outreach Log'!$C$2:$C$9998=F574),'Outreach Log'!$B$2:$B$9998),"")</f>
        <v>46104</v>
      </c>
      <c r="L574" s="5" t="str">
        <f>IFERROR(INDEX('Outreach Log'!$F:$F,MATCH(TEXT(K574,"YYYY-MM-DD")&amp;F574,'Outreach Log'!$L:$L,0)),"")</f>
        <v>Email</v>
      </c>
      <c r="M574" s="6" t="str">
        <f>IFERROR(HYPERLINK("#'Outreach Log'!A"&amp;MATCH(TEXT(K574,"YYYY-MM-DD")&amp;F574,'Outreach Log'!$L:$L,0),"→ View"),"—")</f>
        <v>→ View</v>
      </c>
      <c r="N574" s="6" t="str">
        <f>IFERROR(HYPERLINK("#Companies!A"&amp;MATCH(E574,Companies!$B:$B,0),"→ View"),"—")</f>
        <v>→ View</v>
      </c>
    </row>
    <row r="575" spans="1:14" ht="15" customHeight="1">
      <c r="A575" s="9">
        <f>IF(tblContacts[[#This Row],[First Name]]&lt;&gt;0,ROW()-1,"")</f>
        <v>574</v>
      </c>
      <c r="B575" s="50" t="s">
        <v>1128</v>
      </c>
      <c r="C575" s="50" t="s">
        <v>1649</v>
      </c>
      <c r="D575" s="10"/>
      <c r="E575" s="10" t="s">
        <v>188</v>
      </c>
      <c r="F575" s="32" t="s">
        <v>1650</v>
      </c>
      <c r="G575" s="10"/>
      <c r="H575" s="10" t="s">
        <v>2824</v>
      </c>
      <c r="I575" s="10" t="s">
        <v>14</v>
      </c>
      <c r="J575" s="10"/>
      <c r="K575" s="7" cm="1">
        <f t="array" ref="K575">IFERROR(LOOKUP(2,1/('Outreach Log'!$C$2:$C$9998=F575),'Outreach Log'!$B$2:$B$9998),"")</f>
        <v>46093</v>
      </c>
      <c r="L575" s="5" t="str">
        <f>IFERROR(INDEX('Outreach Log'!$F:$F,MATCH(TEXT(K575,"YYYY-MM-DD")&amp;F575,'Outreach Log'!$L:$L,0)),"")</f>
        <v>Email</v>
      </c>
      <c r="M575" s="6" t="str">
        <f>IFERROR(HYPERLINK("#'Outreach Log'!A"&amp;MATCH(TEXT(K575,"YYYY-MM-DD")&amp;F575,'Outreach Log'!$L:$L,0),"→ View"),"—")</f>
        <v>→ View</v>
      </c>
      <c r="N575" s="6" t="str">
        <f>IFERROR(HYPERLINK("#Companies!A"&amp;MATCH(E575,Companies!$B:$B,0),"→ View"),"—")</f>
        <v>→ View</v>
      </c>
    </row>
    <row r="576" spans="1:14" ht="15" customHeight="1">
      <c r="A576" s="9">
        <f>IF(tblContacts[[#This Row],[First Name]]&lt;&gt;0,ROW()-1,"")</f>
        <v>575</v>
      </c>
      <c r="B576" s="50" t="s">
        <v>1665</v>
      </c>
      <c r="C576" s="50" t="s">
        <v>1666</v>
      </c>
      <c r="D576" s="10" t="s">
        <v>1667</v>
      </c>
      <c r="E576" s="10" t="s">
        <v>553</v>
      </c>
      <c r="F576" s="32" t="s">
        <v>1668</v>
      </c>
      <c r="G576" s="10"/>
      <c r="H576" s="10" t="s">
        <v>2824</v>
      </c>
      <c r="I576" s="10" t="s">
        <v>13</v>
      </c>
      <c r="J576" s="10"/>
      <c r="K576" s="7" cm="1">
        <f t="array" ref="K576">IFERROR(LOOKUP(2,1/('Outreach Log'!$C$2:$C$9998=F576),'Outreach Log'!$B$2:$B$9998),"")</f>
        <v>46084</v>
      </c>
      <c r="L576" s="5" t="str">
        <f>IFERROR(INDEX('Outreach Log'!$F:$F,MATCH(TEXT(K576,"YYYY-MM-DD")&amp;F576,'Outreach Log'!$L:$L,0)),"")</f>
        <v>Email</v>
      </c>
      <c r="M576" s="6" t="str">
        <f>IFERROR(HYPERLINK("#'Outreach Log'!A"&amp;MATCH(TEXT(K576,"YYYY-MM-DD")&amp;F576,'Outreach Log'!$L:$L,0),"→ View"),"—")</f>
        <v>→ View</v>
      </c>
      <c r="N576" s="6" t="str">
        <f>IFERROR(HYPERLINK("#Companies!A"&amp;MATCH(E576,Companies!$B:$B,0),"→ View"),"—")</f>
        <v>→ View</v>
      </c>
    </row>
    <row r="577" spans="1:14" ht="15" customHeight="1">
      <c r="A577" s="9">
        <f>IF(tblContacts[[#This Row],[First Name]]&lt;&gt;0,ROW()-1,"")</f>
        <v>576</v>
      </c>
      <c r="B577" s="50" t="s">
        <v>1250</v>
      </c>
      <c r="C577" s="50" t="s">
        <v>2032</v>
      </c>
      <c r="D577" s="10" t="s">
        <v>862</v>
      </c>
      <c r="E577" s="10" t="s">
        <v>2139</v>
      </c>
      <c r="F577" s="32" t="s">
        <v>2033</v>
      </c>
      <c r="G577" s="10"/>
      <c r="H577" s="10" t="s">
        <v>2824</v>
      </c>
      <c r="I577" s="10" t="s">
        <v>14</v>
      </c>
      <c r="J577" s="10"/>
      <c r="K577" s="7" cm="1">
        <f t="array" ref="K577">IFERROR(LOOKUP(2,1/('Outreach Log'!$C$2:$C$9998=F577),'Outreach Log'!$B$2:$B$9998),"")</f>
        <v>46093</v>
      </c>
      <c r="L577" s="5" t="str">
        <f>IFERROR(INDEX('Outreach Log'!$F:$F,MATCH(TEXT(K577,"YYYY-MM-DD")&amp;F577,'Outreach Log'!$L:$L,0)),"")</f>
        <v>Email</v>
      </c>
      <c r="M577" s="6" t="str">
        <f>IFERROR(HYPERLINK("#'Outreach Log'!A"&amp;MATCH(TEXT(K577,"YYYY-MM-DD")&amp;F577,'Outreach Log'!$L:$L,0),"→ View"),"—")</f>
        <v>→ View</v>
      </c>
      <c r="N577" s="6" t="str">
        <f>IFERROR(HYPERLINK("#Companies!A"&amp;MATCH(E577,Companies!$B:$B,0),"→ View"),"—")</f>
        <v>→ View</v>
      </c>
    </row>
    <row r="578" spans="1:14" ht="15" customHeight="1">
      <c r="A578" s="9">
        <f>IF(tblContacts[[#This Row],[First Name]]&lt;&gt;0,ROW()-1,"")</f>
        <v>577</v>
      </c>
      <c r="B578" s="50" t="s">
        <v>1204</v>
      </c>
      <c r="C578" s="50" t="s">
        <v>2026</v>
      </c>
      <c r="D578" s="10" t="s">
        <v>768</v>
      </c>
      <c r="E578" s="10" t="s">
        <v>2138</v>
      </c>
      <c r="F578" s="10" t="s">
        <v>2027</v>
      </c>
      <c r="G578" s="10"/>
      <c r="H578" s="10" t="s">
        <v>2824</v>
      </c>
      <c r="I578" s="10" t="s">
        <v>14</v>
      </c>
      <c r="J578" s="10"/>
      <c r="K578" s="7" cm="1">
        <f t="array" ref="K578">IFERROR(LOOKUP(2,1/('Outreach Log'!$C$2:$C$9998=F578),'Outreach Log'!$B$2:$B$9998),"")</f>
        <v>46093</v>
      </c>
      <c r="L578" s="5" t="str">
        <f>IFERROR(INDEX('Outreach Log'!$F:$F,MATCH(TEXT(K578,"YYYY-MM-DD")&amp;F578,'Outreach Log'!$L:$L,0)),"")</f>
        <v>Email</v>
      </c>
      <c r="M578" s="6" t="str">
        <f>IFERROR(HYPERLINK("#'Outreach Log'!A"&amp;MATCH(TEXT(K578,"YYYY-MM-DD")&amp;F578,'Outreach Log'!$L:$L,0),"→ View"),"—")</f>
        <v>→ View</v>
      </c>
      <c r="N578" s="6" t="str">
        <f>IFERROR(HYPERLINK("#Companies!A"&amp;MATCH(E578,Companies!$B:$B,0),"→ View"),"—")</f>
        <v>→ View</v>
      </c>
    </row>
    <row r="579" spans="1:14" ht="15" customHeight="1">
      <c r="A579" s="9">
        <f>IF(tblContacts[[#This Row],[First Name]]&lt;&gt;0,ROW()-1,"")</f>
        <v>578</v>
      </c>
      <c r="B579" s="50" t="s">
        <v>3243</v>
      </c>
      <c r="C579" s="50" t="s">
        <v>3244</v>
      </c>
      <c r="D579" s="10" t="s">
        <v>3195</v>
      </c>
      <c r="E579" s="10" t="s">
        <v>3049</v>
      </c>
      <c r="F579" s="10" t="s">
        <v>3245</v>
      </c>
      <c r="G579" s="10" t="s">
        <v>3246</v>
      </c>
      <c r="H579" s="10" t="s">
        <v>2824</v>
      </c>
      <c r="I579" s="44" t="s">
        <v>3363</v>
      </c>
      <c r="K579" s="7" cm="1">
        <f t="array" ref="K579">IFERROR(LOOKUP(2,1/('Outreach Log'!$C$2:$C$9998=F579),'Outreach Log'!$B$2:$B$9998),"")</f>
        <v>46104</v>
      </c>
      <c r="L579" s="5" t="str">
        <f>IFERROR(INDEX('Outreach Log'!$F:$F,MATCH(TEXT(K579,"YYYY-MM-DD")&amp;F579,'Outreach Log'!$L:$L,0)),"")</f>
        <v>Email</v>
      </c>
      <c r="M579" s="6" t="str">
        <f>IFERROR(HYPERLINK("#'Outreach Log'!A"&amp;MATCH(TEXT(K579,"YYYY-MM-DD")&amp;F579,'Outreach Log'!$L:$L,0),"→ View"),"—")</f>
        <v>→ View</v>
      </c>
      <c r="N579" s="6" t="str">
        <f>IFERROR(HYPERLINK("#Companies!A"&amp;MATCH(E579,Companies!$B:$B,0),"→ View"),"—")</f>
        <v>→ View</v>
      </c>
    </row>
    <row r="580" spans="1:14" ht="15" customHeight="1">
      <c r="A580" s="9">
        <f>IF(tblContacts[[#This Row],[First Name]]&lt;&gt;0,ROW()-1,"")</f>
        <v>579</v>
      </c>
      <c r="B580" s="56" t="s">
        <v>1683</v>
      </c>
      <c r="C580" s="56" t="s">
        <v>3296</v>
      </c>
      <c r="D580" s="10" t="s">
        <v>768</v>
      </c>
      <c r="E580" s="10" t="s">
        <v>3106</v>
      </c>
      <c r="F580" s="10" t="s">
        <v>3297</v>
      </c>
      <c r="G580" s="10"/>
      <c r="H580" s="10" t="s">
        <v>2824</v>
      </c>
      <c r="I580" s="44" t="s">
        <v>3363</v>
      </c>
      <c r="K580" s="7" cm="1">
        <f t="array" ref="K580">IFERROR(LOOKUP(2,1/('Outreach Log'!$C$2:$C$9998=F580),'Outreach Log'!$B$2:$B$9998),"")</f>
        <v>46104</v>
      </c>
      <c r="L580" s="5" t="str">
        <f>IFERROR(INDEX('Outreach Log'!$F:$F,MATCH(TEXT(K580,"YYYY-MM-DD")&amp;F580,'Outreach Log'!$L:$L,0)),"")</f>
        <v>Email</v>
      </c>
      <c r="M580" s="6" t="str">
        <f>IFERROR(HYPERLINK("#'Outreach Log'!A"&amp;MATCH(TEXT(K580,"YYYY-MM-DD")&amp;F580,'Outreach Log'!$L:$L,0),"→ View"),"—")</f>
        <v>→ View</v>
      </c>
      <c r="N580" s="6" t="str">
        <f>IFERROR(HYPERLINK("#Companies!A"&amp;MATCH(E580,Companies!$B:$B,0),"→ View"),"—")</f>
        <v>→ View</v>
      </c>
    </row>
    <row r="581" spans="1:14" ht="15" customHeight="1">
      <c r="A581" s="9">
        <f>IF(tblContacts[[#This Row],[First Name]]&lt;&gt;0,ROW()-1,"")</f>
        <v>580</v>
      </c>
      <c r="B581" s="50" t="s">
        <v>1683</v>
      </c>
      <c r="C581" s="50"/>
      <c r="D581" s="10"/>
      <c r="E581" s="10" t="s">
        <v>2132</v>
      </c>
      <c r="F581" s="10" t="s">
        <v>1684</v>
      </c>
      <c r="G581" s="10"/>
      <c r="H581" s="10" t="s">
        <v>2824</v>
      </c>
      <c r="I581" s="10" t="s">
        <v>14</v>
      </c>
      <c r="J581" s="10"/>
      <c r="K581" s="7" cm="1">
        <f t="array" ref="K581">IFERROR(LOOKUP(2,1/('Outreach Log'!$C$2:$C$9998=F581),'Outreach Log'!$B$2:$B$9998),"")</f>
        <v>46093</v>
      </c>
      <c r="L581" s="5" t="str">
        <f>IFERROR(INDEX('Outreach Log'!$F:$F,MATCH(TEXT(K581,"YYYY-MM-DD")&amp;F581,'Outreach Log'!$L:$L,0)),"")</f>
        <v>Email</v>
      </c>
      <c r="M581" s="6" t="str">
        <f>IFERROR(HYPERLINK("#'Outreach Log'!A"&amp;MATCH(TEXT(K581,"YYYY-MM-DD")&amp;F581,'Outreach Log'!$L:$L,0),"→ View"),"—")</f>
        <v>→ View</v>
      </c>
      <c r="N581" s="6" t="str">
        <f>IFERROR(HYPERLINK("#Companies!A"&amp;MATCH(E581,Companies!$B:$B,0),"→ View"),"—")</f>
        <v>→ View</v>
      </c>
    </row>
    <row r="582" spans="1:14" ht="15" customHeight="1">
      <c r="A582" s="9">
        <f>IF(tblContacts[[#This Row],[First Name]]&lt;&gt;0,ROW()-1,"")</f>
        <v>581</v>
      </c>
      <c r="B582" s="50" t="s">
        <v>2077</v>
      </c>
      <c r="C582" s="50" t="s">
        <v>2078</v>
      </c>
      <c r="D582" s="10" t="s">
        <v>768</v>
      </c>
      <c r="E582" s="10" t="s">
        <v>2160</v>
      </c>
      <c r="F582" s="10" t="s">
        <v>2079</v>
      </c>
      <c r="G582" s="10"/>
      <c r="H582" s="10" t="s">
        <v>2824</v>
      </c>
      <c r="I582" s="10" t="s">
        <v>14</v>
      </c>
      <c r="J582" s="10"/>
      <c r="K582" s="7" cm="1">
        <f t="array" ref="K582">IFERROR(LOOKUP(2,1/('Outreach Log'!$C$2:$C$9998=F582),'Outreach Log'!$B$2:$B$9998),"")</f>
        <v>46093</v>
      </c>
      <c r="L582" s="5" t="str">
        <f>IFERROR(INDEX('Outreach Log'!$F:$F,MATCH(TEXT(K582,"YYYY-MM-DD")&amp;F582,'Outreach Log'!$L:$L,0)),"")</f>
        <v>Email</v>
      </c>
      <c r="M582" s="6" t="str">
        <f>IFERROR(HYPERLINK("#'Outreach Log'!A"&amp;MATCH(TEXT(K582,"YYYY-MM-DD")&amp;F582,'Outreach Log'!$L:$L,0),"→ View"),"—")</f>
        <v>→ View</v>
      </c>
      <c r="N582" s="6" t="str">
        <f>IFERROR(HYPERLINK("#Companies!A"&amp;MATCH(E582,Companies!$B:$B,0),"→ View"),"—")</f>
        <v>→ View</v>
      </c>
    </row>
    <row r="583" spans="1:14" ht="15" customHeight="1">
      <c r="A583" s="9">
        <f>IF(tblContacts[[#This Row],[First Name]]&lt;&gt;0,ROW()-1,"")</f>
        <v>582</v>
      </c>
      <c r="B583" s="50" t="s">
        <v>1432</v>
      </c>
      <c r="C583" s="50" t="s">
        <v>1685</v>
      </c>
      <c r="D583" s="10" t="s">
        <v>768</v>
      </c>
      <c r="E583" s="10" t="s">
        <v>563</v>
      </c>
      <c r="F583" s="10" t="s">
        <v>1686</v>
      </c>
      <c r="G583" s="10"/>
      <c r="H583" s="10" t="s">
        <v>2824</v>
      </c>
      <c r="I583" s="10" t="s">
        <v>13</v>
      </c>
      <c r="J583" s="10"/>
      <c r="K583" s="7" cm="1">
        <f t="array" ref="K583">IFERROR(LOOKUP(2,1/('Outreach Log'!$C$2:$C$9998=F583),'Outreach Log'!$B$2:$B$9998),"")</f>
        <v>46084</v>
      </c>
      <c r="L583" s="5" t="str">
        <f>IFERROR(INDEX('Outreach Log'!$F:$F,MATCH(TEXT(K583,"YYYY-MM-DD")&amp;F583,'Outreach Log'!$L:$L,0)),"")</f>
        <v>Email</v>
      </c>
      <c r="M583" s="6" t="str">
        <f>IFERROR(HYPERLINK("#'Outreach Log'!A"&amp;MATCH(TEXT(K583,"YYYY-MM-DD")&amp;F583,'Outreach Log'!$L:$L,0),"→ View"),"—")</f>
        <v>→ View</v>
      </c>
      <c r="N583" s="6" t="str">
        <f>IFERROR(HYPERLINK("#Companies!A"&amp;MATCH(E583,Companies!$B:$B,0),"→ View"),"—")</f>
        <v>→ View</v>
      </c>
    </row>
    <row r="584" spans="1:14" ht="15" customHeight="1">
      <c r="A584" s="9">
        <f>IF(tblContacts[[#This Row],[First Name]]&lt;&gt;0,ROW()-1,"")</f>
        <v>583</v>
      </c>
      <c r="B584" s="50" t="s">
        <v>1697</v>
      </c>
      <c r="C584" s="50" t="s">
        <v>1698</v>
      </c>
      <c r="D584" s="10"/>
      <c r="E584" s="10" t="s">
        <v>2166</v>
      </c>
      <c r="F584" s="10" t="s">
        <v>1699</v>
      </c>
      <c r="G584" s="10"/>
      <c r="H584" s="10" t="s">
        <v>2824</v>
      </c>
      <c r="I584" s="10" t="s">
        <v>14</v>
      </c>
      <c r="J584" s="10"/>
      <c r="K584" s="7" cm="1">
        <f t="array" ref="K584">IFERROR(LOOKUP(2,1/('Outreach Log'!$C$2:$C$9998=F584),'Outreach Log'!$B$2:$B$9998),"")</f>
        <v>46093</v>
      </c>
      <c r="L584" s="5" t="str">
        <f>IFERROR(INDEX('Outreach Log'!$F:$F,MATCH(TEXT(K584,"YYYY-MM-DD")&amp;F584,'Outreach Log'!$L:$L,0)),"")</f>
        <v>Email</v>
      </c>
      <c r="M584" s="6" t="str">
        <f>IFERROR(HYPERLINK("#'Outreach Log'!A"&amp;MATCH(TEXT(K584,"YYYY-MM-DD")&amp;F584,'Outreach Log'!$L:$L,0),"→ View"),"—")</f>
        <v>→ View</v>
      </c>
      <c r="N584" s="6" t="str">
        <f>IFERROR(HYPERLINK("#Companies!A"&amp;MATCH(E584,Companies!$B:$B,0),"→ View"),"—")</f>
        <v>→ View</v>
      </c>
    </row>
    <row r="585" spans="1:14" ht="15" customHeight="1">
      <c r="A585" s="9">
        <f>IF(tblContacts[[#This Row],[First Name]]&lt;&gt;0,ROW()-1,"")</f>
        <v>584</v>
      </c>
      <c r="B585" s="50" t="s">
        <v>1227</v>
      </c>
      <c r="C585" s="50" t="s">
        <v>789</v>
      </c>
      <c r="D585" s="10" t="s">
        <v>3195</v>
      </c>
      <c r="E585" s="10" t="s">
        <v>3133</v>
      </c>
      <c r="F585" s="10" t="s">
        <v>1701</v>
      </c>
      <c r="G585" s="10" t="s">
        <v>3327</v>
      </c>
      <c r="H585" s="10" t="s">
        <v>2824</v>
      </c>
      <c r="I585" s="44" t="s">
        <v>3363</v>
      </c>
      <c r="K585" s="7" cm="1">
        <f t="array" ref="K585">IFERROR(LOOKUP(2,1/('Outreach Log'!$C$2:$C$9998=F585),'Outreach Log'!$B$2:$B$9998),"")</f>
        <v>46104</v>
      </c>
      <c r="L585" s="5" t="str">
        <f>IFERROR(INDEX('Outreach Log'!$F:$F,MATCH(TEXT(K585,"YYYY-MM-DD")&amp;F585,'Outreach Log'!$L:$L,0)),"")</f>
        <v>Email</v>
      </c>
      <c r="M585" s="6" t="str">
        <f>IFERROR(HYPERLINK("#'Outreach Log'!A"&amp;MATCH(TEXT(K585,"YYYY-MM-DD")&amp;F585,'Outreach Log'!$L:$L,0),"→ View"),"—")</f>
        <v>→ View</v>
      </c>
      <c r="N585" s="6" t="str">
        <f>IFERROR(HYPERLINK("#Companies!A"&amp;MATCH(E585,Companies!$B:$B,0),"→ View"),"—")</f>
        <v>→ View</v>
      </c>
    </row>
    <row r="586" spans="1:14" ht="15" customHeight="1">
      <c r="A586" s="9">
        <f>IF(tblContacts[[#This Row],[First Name]]&lt;&gt;0,ROW()-1,"")</f>
        <v>585</v>
      </c>
      <c r="B586" s="50" t="s">
        <v>1707</v>
      </c>
      <c r="C586" s="50" t="s">
        <v>2059</v>
      </c>
      <c r="D586" s="10" t="s">
        <v>1950</v>
      </c>
      <c r="E586" s="10" t="s">
        <v>2150</v>
      </c>
      <c r="F586" s="10" t="s">
        <v>2060</v>
      </c>
      <c r="G586" s="10"/>
      <c r="H586" s="10" t="s">
        <v>2824</v>
      </c>
      <c r="I586" s="10" t="s">
        <v>14</v>
      </c>
      <c r="J586" s="10"/>
      <c r="K586" s="7" cm="1">
        <f t="array" ref="K586">IFERROR(LOOKUP(2,1/('Outreach Log'!$C$2:$C$9998=F586),'Outreach Log'!$B$2:$B$9998),"")</f>
        <v>46093</v>
      </c>
      <c r="L586" s="5" t="str">
        <f>IFERROR(INDEX('Outreach Log'!$F:$F,MATCH(TEXT(K586,"YYYY-MM-DD")&amp;F586,'Outreach Log'!$L:$L,0)),"")</f>
        <v>Email</v>
      </c>
      <c r="M586" s="6" t="str">
        <f>IFERROR(HYPERLINK("#'Outreach Log'!A"&amp;MATCH(TEXT(K586,"YYYY-MM-DD")&amp;F586,'Outreach Log'!$L:$L,0),"→ View"),"—")</f>
        <v>→ View</v>
      </c>
      <c r="N586" s="6" t="str">
        <f>IFERROR(HYPERLINK("#Companies!A"&amp;MATCH(E586,Companies!$B:$B,0),"→ View"),"—")</f>
        <v>→ View</v>
      </c>
    </row>
    <row r="587" spans="1:14" ht="15" customHeight="1">
      <c r="A587" s="9">
        <f>IF(tblContacts[[#This Row],[First Name]]&lt;&gt;0,ROW()-1,"")</f>
        <v>586</v>
      </c>
      <c r="B587" s="50" t="s">
        <v>1713</v>
      </c>
      <c r="C587" s="50" t="s">
        <v>1704</v>
      </c>
      <c r="D587" s="10" t="s">
        <v>3195</v>
      </c>
      <c r="E587" s="10" t="s">
        <v>3179</v>
      </c>
      <c r="F587" s="10" t="s">
        <v>1714</v>
      </c>
      <c r="G587" s="10" t="s">
        <v>3354</v>
      </c>
      <c r="H587" s="10" t="s">
        <v>2824</v>
      </c>
      <c r="I587" s="44" t="s">
        <v>3363</v>
      </c>
      <c r="J587" s="3" t="s">
        <v>3373</v>
      </c>
      <c r="K587" s="7" cm="1">
        <f t="array" ref="K587">IFERROR(LOOKUP(2,1/('Outreach Log'!$C$2:$C$9998=F587),'Outreach Log'!$B$2:$B$9998),"")</f>
        <v>46104</v>
      </c>
      <c r="L587" s="5" t="str">
        <f>IFERROR(INDEX('Outreach Log'!$F:$F,MATCH(TEXT(K587,"YYYY-MM-DD")&amp;F587,'Outreach Log'!$L:$L,0)),"")</f>
        <v>Email</v>
      </c>
      <c r="M587" s="6" t="str">
        <f>IFERROR(HYPERLINK("#'Outreach Log'!A"&amp;MATCH(TEXT(K587,"YYYY-MM-DD")&amp;F587,'Outreach Log'!$L:$L,0),"→ View"),"—")</f>
        <v>→ View</v>
      </c>
      <c r="N587" s="6" t="str">
        <f>IFERROR(HYPERLINK("#Companies!A"&amp;MATCH(E587,Companies!$B:$B,0),"→ View"),"—")</f>
        <v>→ View</v>
      </c>
    </row>
    <row r="588" spans="1:14" ht="15" customHeight="1">
      <c r="A588" s="9">
        <f>IF(tblContacts[[#This Row],[First Name]]&lt;&gt;0,ROW()-1,"")</f>
        <v>587</v>
      </c>
      <c r="B588" s="50" t="s">
        <v>1721</v>
      </c>
      <c r="C588" s="50" t="s">
        <v>883</v>
      </c>
      <c r="D588" s="10" t="s">
        <v>1722</v>
      </c>
      <c r="E588" s="10" t="s">
        <v>584</v>
      </c>
      <c r="F588" s="10" t="s">
        <v>1723</v>
      </c>
      <c r="G588" s="10"/>
      <c r="H588" s="10" t="s">
        <v>2824</v>
      </c>
      <c r="I588" s="10" t="s">
        <v>13</v>
      </c>
      <c r="J588" s="10"/>
      <c r="K588" s="7" cm="1">
        <f t="array" ref="K588">IFERROR(LOOKUP(2,1/('Outreach Log'!$C$2:$C$9998=F588),'Outreach Log'!$B$2:$B$9998),"")</f>
        <v>46084</v>
      </c>
      <c r="L588" s="5" t="str">
        <f>IFERROR(INDEX('Outreach Log'!$F:$F,MATCH(TEXT(K588,"YYYY-MM-DD")&amp;F588,'Outreach Log'!$L:$L,0)),"")</f>
        <v>Email</v>
      </c>
      <c r="M588" s="6" t="str">
        <f>IFERROR(HYPERLINK("#'Outreach Log'!A"&amp;MATCH(TEXT(K588,"YYYY-MM-DD")&amp;F588,'Outreach Log'!$L:$L,0),"→ View"),"—")</f>
        <v>→ View</v>
      </c>
      <c r="N588" s="6" t="str">
        <f>IFERROR(HYPERLINK("#Companies!A"&amp;MATCH(E588,Companies!$B:$B,0),"→ View"),"—")</f>
        <v>→ View</v>
      </c>
    </row>
    <row r="589" spans="1:14" ht="15" customHeight="1">
      <c r="A589" s="9">
        <f>IF(tblContacts[[#This Row],[First Name]]&lt;&gt;0,ROW()-1,"")</f>
        <v>588</v>
      </c>
      <c r="B589" s="50" t="s">
        <v>1724</v>
      </c>
      <c r="C589" s="50" t="s">
        <v>2069</v>
      </c>
      <c r="D589" s="10" t="s">
        <v>862</v>
      </c>
      <c r="E589" s="10" t="s">
        <v>2157</v>
      </c>
      <c r="F589" s="10" t="s">
        <v>2070</v>
      </c>
      <c r="G589" s="10"/>
      <c r="H589" s="10" t="s">
        <v>2824</v>
      </c>
      <c r="I589" s="10" t="s">
        <v>14</v>
      </c>
      <c r="J589" s="10"/>
      <c r="K589" s="7" cm="1">
        <f t="array" ref="K589">IFERROR(LOOKUP(2,1/('Outreach Log'!$C$2:$C$9998=F589),'Outreach Log'!$B$2:$B$9998),"")</f>
        <v>46093</v>
      </c>
      <c r="L589" s="5" t="str">
        <f>IFERROR(INDEX('Outreach Log'!$F:$F,MATCH(TEXT(K589,"YYYY-MM-DD")&amp;F589,'Outreach Log'!$L:$L,0)),"")</f>
        <v>Email</v>
      </c>
      <c r="M589" s="6" t="str">
        <f>IFERROR(HYPERLINK("#'Outreach Log'!A"&amp;MATCH(TEXT(K589,"YYYY-MM-DD")&amp;F589,'Outreach Log'!$L:$L,0),"→ View"),"—")</f>
        <v>→ View</v>
      </c>
      <c r="N589" s="6" t="str">
        <f>IFERROR(HYPERLINK("#Companies!A"&amp;MATCH(E589,Companies!$B:$B,0),"→ View"),"—")</f>
        <v>→ View</v>
      </c>
    </row>
    <row r="590" spans="1:14" ht="15" customHeight="1">
      <c r="A590" s="9">
        <f>IF(tblContacts[[#This Row],[First Name]]&lt;&gt;0,ROW()-1,"")</f>
        <v>589</v>
      </c>
      <c r="B590" s="50" t="s">
        <v>843</v>
      </c>
      <c r="C590" s="50" t="s">
        <v>1273</v>
      </c>
      <c r="D590" s="10" t="s">
        <v>768</v>
      </c>
      <c r="E590" s="10" t="s">
        <v>3017</v>
      </c>
      <c r="F590" s="52" t="s">
        <v>3213</v>
      </c>
      <c r="G590" s="10" t="s">
        <v>3214</v>
      </c>
      <c r="H590" s="10" t="s">
        <v>2824</v>
      </c>
      <c r="I590" s="44" t="s">
        <v>3363</v>
      </c>
      <c r="K590" s="7" cm="1">
        <f t="array" ref="K590">IFERROR(LOOKUP(2,1/('Outreach Log'!$C$2:$C$9998=F590),'Outreach Log'!$B$2:$B$9998),"")</f>
        <v>46104</v>
      </c>
      <c r="L590" s="5" t="str">
        <f>IFERROR(INDEX('Outreach Log'!$F:$F,MATCH(TEXT(K590,"YYYY-MM-DD")&amp;F590,'Outreach Log'!$L:$L,0)),"")</f>
        <v>Email</v>
      </c>
      <c r="M590" s="6" t="str">
        <f>IFERROR(HYPERLINK("#'Outreach Log'!A"&amp;MATCH(TEXT(K590,"YYYY-MM-DD")&amp;F590,'Outreach Log'!$L:$L,0),"→ View"),"—")</f>
        <v>→ View</v>
      </c>
      <c r="N590" s="6" t="str">
        <f>IFERROR(HYPERLINK("#Companies!A"&amp;MATCH(E590,Companies!$B:$B,0),"→ View"),"—")</f>
        <v>→ View</v>
      </c>
    </row>
    <row r="591" spans="1:14" ht="15" customHeight="1">
      <c r="A591" s="9">
        <f>IF(tblContacts[[#This Row],[First Name]]&lt;&gt;0,ROW()-1,"")</f>
        <v>590</v>
      </c>
      <c r="B591" s="50" t="s">
        <v>1196</v>
      </c>
      <c r="C591" s="50" t="s">
        <v>2071</v>
      </c>
      <c r="D591" s="10" t="s">
        <v>749</v>
      </c>
      <c r="E591" s="10" t="s">
        <v>2158</v>
      </c>
      <c r="F591" s="10" t="s">
        <v>2072</v>
      </c>
      <c r="G591" s="10"/>
      <c r="H591" s="10" t="s">
        <v>2824</v>
      </c>
      <c r="I591" s="10" t="s">
        <v>14</v>
      </c>
      <c r="J591" s="10"/>
      <c r="K591" s="7" cm="1">
        <f t="array" ref="K591">IFERROR(LOOKUP(2,1/('Outreach Log'!$C$2:$C$9998=F591),'Outreach Log'!$B$2:$B$9998),"")</f>
        <v>46093</v>
      </c>
      <c r="L591" s="5" t="str">
        <f>IFERROR(INDEX('Outreach Log'!$F:$F,MATCH(TEXT(K591,"YYYY-MM-DD")&amp;F591,'Outreach Log'!$L:$L,0)),"")</f>
        <v>Email</v>
      </c>
      <c r="M591" s="6" t="str">
        <f>IFERROR(HYPERLINK("#'Outreach Log'!A"&amp;MATCH(TEXT(K591,"YYYY-MM-DD")&amp;F591,'Outreach Log'!$L:$L,0),"→ View"),"—")</f>
        <v>→ View</v>
      </c>
      <c r="N591" s="6" t="str">
        <f>IFERROR(HYPERLINK("#Companies!A"&amp;MATCH(E591,Companies!$B:$B,0),"→ View"),"—")</f>
        <v>→ View</v>
      </c>
    </row>
    <row r="592" spans="1:14" ht="15" customHeight="1">
      <c r="A592" s="9">
        <f>IF(tblContacts[[#This Row],[First Name]]&lt;&gt;0,ROW()-1,"")</f>
        <v>591</v>
      </c>
      <c r="B592" s="50" t="s">
        <v>1196</v>
      </c>
      <c r="C592" s="50" t="s">
        <v>1756</v>
      </c>
      <c r="D592" s="10"/>
      <c r="E592" s="10" t="s">
        <v>2111</v>
      </c>
      <c r="F592" s="10" t="s">
        <v>1757</v>
      </c>
      <c r="G592" s="10"/>
      <c r="H592" s="10" t="s">
        <v>2824</v>
      </c>
      <c r="I592" s="10" t="s">
        <v>14</v>
      </c>
      <c r="J592" s="10"/>
      <c r="K592" s="7" cm="1">
        <f t="array" ref="K592">IFERROR(LOOKUP(2,1/('Outreach Log'!$C$2:$C$9998=F592),'Outreach Log'!$B$2:$B$9998),"")</f>
        <v>46093</v>
      </c>
      <c r="L592" s="5" t="str">
        <f>IFERROR(INDEX('Outreach Log'!$F:$F,MATCH(TEXT(K592,"YYYY-MM-DD")&amp;F592,'Outreach Log'!$L:$L,0)),"")</f>
        <v>Email</v>
      </c>
      <c r="M592" s="6" t="str">
        <f>IFERROR(HYPERLINK("#'Outreach Log'!A"&amp;MATCH(TEXT(K592,"YYYY-MM-DD")&amp;F592,'Outreach Log'!$L:$L,0),"→ View"),"—")</f>
        <v>→ View</v>
      </c>
      <c r="N592" s="6" t="str">
        <f>IFERROR(HYPERLINK("#Companies!A"&amp;MATCH(E592,Companies!$B:$B,0),"→ View"),"—")</f>
        <v>→ View</v>
      </c>
    </row>
    <row r="593" spans="1:14" ht="15" customHeight="1">
      <c r="A593" s="9">
        <f>IF(tblContacts[[#This Row],[First Name]]&lt;&gt;0,ROW()-1,"")</f>
        <v>592</v>
      </c>
      <c r="B593" s="50" t="s">
        <v>1760</v>
      </c>
      <c r="C593" s="50" t="s">
        <v>2075</v>
      </c>
      <c r="D593" s="10" t="s">
        <v>749</v>
      </c>
      <c r="E593" s="10" t="s">
        <v>2159</v>
      </c>
      <c r="F593" s="10" t="s">
        <v>2076</v>
      </c>
      <c r="G593" s="10"/>
      <c r="H593" s="10" t="s">
        <v>2824</v>
      </c>
      <c r="I593" s="10" t="s">
        <v>14</v>
      </c>
      <c r="J593" s="10"/>
      <c r="K593" s="7" cm="1">
        <f t="array" ref="K593">IFERROR(LOOKUP(2,1/('Outreach Log'!$C$2:$C$9998=F593),'Outreach Log'!$B$2:$B$9998),"")</f>
        <v>46093</v>
      </c>
      <c r="L593" s="5" t="str">
        <f>IFERROR(INDEX('Outreach Log'!$F:$F,MATCH(TEXT(K593,"YYYY-MM-DD")&amp;F593,'Outreach Log'!$L:$L,0)),"")</f>
        <v>Email</v>
      </c>
      <c r="M593" s="6" t="str">
        <f>IFERROR(HYPERLINK("#'Outreach Log'!A"&amp;MATCH(TEXT(K593,"YYYY-MM-DD")&amp;F593,'Outreach Log'!$L:$L,0),"→ View"),"—")</f>
        <v>→ View</v>
      </c>
      <c r="N593" s="6" t="str">
        <f>IFERROR(HYPERLINK("#Companies!A"&amp;MATCH(E593,Companies!$B:$B,0),"→ View"),"—")</f>
        <v>→ View</v>
      </c>
    </row>
    <row r="594" spans="1:14" ht="15" customHeight="1">
      <c r="A594" s="9">
        <f>IF(tblContacts[[#This Row],[First Name]]&lt;&gt;0,ROW()-1,"")</f>
        <v>593</v>
      </c>
      <c r="B594" s="50" t="s">
        <v>1211</v>
      </c>
      <c r="C594" s="50" t="s">
        <v>1763</v>
      </c>
      <c r="D594" s="10"/>
      <c r="E594" s="10" t="s">
        <v>2160</v>
      </c>
      <c r="F594" s="10" t="s">
        <v>1764</v>
      </c>
      <c r="G594" s="10"/>
      <c r="H594" s="10" t="s">
        <v>2824</v>
      </c>
      <c r="I594" s="10" t="s">
        <v>14</v>
      </c>
      <c r="J594" s="10"/>
      <c r="K594" s="7" cm="1">
        <f t="array" ref="K594">IFERROR(LOOKUP(2,1/('Outreach Log'!$C$2:$C$9998=F594),'Outreach Log'!$B$2:$B$9998),"")</f>
        <v>46093</v>
      </c>
      <c r="L594" s="5" t="str">
        <f>IFERROR(INDEX('Outreach Log'!$F:$F,MATCH(TEXT(K594,"YYYY-MM-DD")&amp;F594,'Outreach Log'!$L:$L,0)),"")</f>
        <v>Email</v>
      </c>
      <c r="M594" s="6" t="str">
        <f>IFERROR(HYPERLINK("#'Outreach Log'!A"&amp;MATCH(TEXT(K594,"YYYY-MM-DD")&amp;F594,'Outreach Log'!$L:$L,0),"→ View"),"—")</f>
        <v>→ View</v>
      </c>
      <c r="N594" s="6" t="str">
        <f>IFERROR(HYPERLINK("#Companies!A"&amp;MATCH(E594,Companies!$B:$B,0),"→ View"),"—")</f>
        <v>→ View</v>
      </c>
    </row>
    <row r="595" spans="1:14" ht="15" customHeight="1">
      <c r="A595" s="9">
        <f>IF(tblContacts[[#This Row],[First Name]]&lt;&gt;0,ROW()-1,"")</f>
        <v>594</v>
      </c>
      <c r="B595" s="50" t="s">
        <v>1211</v>
      </c>
      <c r="C595" s="50" t="s">
        <v>2017</v>
      </c>
      <c r="D595" s="10" t="s">
        <v>768</v>
      </c>
      <c r="E595" s="10" t="s">
        <v>2135</v>
      </c>
      <c r="F595" s="10" t="s">
        <v>2018</v>
      </c>
      <c r="G595" s="10"/>
      <c r="H595" s="10" t="s">
        <v>2824</v>
      </c>
      <c r="I595" s="10" t="s">
        <v>14</v>
      </c>
      <c r="J595" s="10"/>
      <c r="K595" s="7" cm="1">
        <f t="array" ref="K595">IFERROR(LOOKUP(2,1/('Outreach Log'!$C$2:$C$9998=F595),'Outreach Log'!$B$2:$B$9998),"")</f>
        <v>46093</v>
      </c>
      <c r="L595" s="5" t="str">
        <f>IFERROR(INDEX('Outreach Log'!$F:$F,MATCH(TEXT(K595,"YYYY-MM-DD")&amp;F595,'Outreach Log'!$L:$L,0)),"")</f>
        <v>Email</v>
      </c>
      <c r="M595" s="6" t="str">
        <f>IFERROR(HYPERLINK("#'Outreach Log'!A"&amp;MATCH(TEXT(K595,"YYYY-MM-DD")&amp;F595,'Outreach Log'!$L:$L,0),"→ View"),"—")</f>
        <v>→ View</v>
      </c>
      <c r="N595" s="6" t="str">
        <f>IFERROR(HYPERLINK("#Companies!A"&amp;MATCH(E595,Companies!$B:$B,0),"→ View"),"—")</f>
        <v>→ View</v>
      </c>
    </row>
    <row r="596" spans="1:14" ht="15" customHeight="1">
      <c r="A596" s="9">
        <f>IF(tblContacts[[#This Row],[First Name]]&lt;&gt;0,ROW()-1,"")</f>
        <v>595</v>
      </c>
      <c r="B596" s="50" t="s">
        <v>1211</v>
      </c>
      <c r="C596" s="50" t="s">
        <v>1406</v>
      </c>
      <c r="D596" s="10" t="s">
        <v>768</v>
      </c>
      <c r="E596" s="10" t="s">
        <v>606</v>
      </c>
      <c r="F596" s="10" t="s">
        <v>1765</v>
      </c>
      <c r="G596" s="10"/>
      <c r="H596" s="10" t="s">
        <v>2824</v>
      </c>
      <c r="I596" s="10" t="s">
        <v>13</v>
      </c>
      <c r="J596" s="10"/>
      <c r="K596" s="7" cm="1">
        <f t="array" ref="K596">IFERROR(LOOKUP(2,1/('Outreach Log'!$C$2:$C$9998=F596),'Outreach Log'!$B$2:$B$9998),"")</f>
        <v>46084</v>
      </c>
      <c r="L596" s="5" t="str">
        <f>IFERROR(INDEX('Outreach Log'!$F:$F,MATCH(TEXT(K596,"YYYY-MM-DD")&amp;F596,'Outreach Log'!$L:$L,0)),"")</f>
        <v>Email</v>
      </c>
      <c r="M596" s="6" t="str">
        <f>IFERROR(HYPERLINK("#'Outreach Log'!A"&amp;MATCH(TEXT(K596,"YYYY-MM-DD")&amp;F596,'Outreach Log'!$L:$L,0),"→ View"),"—")</f>
        <v>→ View</v>
      </c>
      <c r="N596" s="6" t="str">
        <f>IFERROR(HYPERLINK("#Companies!A"&amp;MATCH(E596,Companies!$B:$B,0),"→ View"),"—")</f>
        <v>→ View</v>
      </c>
    </row>
    <row r="597" spans="1:14" ht="15" customHeight="1">
      <c r="A597" s="9">
        <f>IF(tblContacts[[#This Row],[First Name]]&lt;&gt;0,ROW()-1,"")</f>
        <v>596</v>
      </c>
      <c r="B597" s="50" t="s">
        <v>1719</v>
      </c>
      <c r="C597" s="50" t="s">
        <v>2093</v>
      </c>
      <c r="D597" s="10" t="s">
        <v>749</v>
      </c>
      <c r="E597" s="10" t="s">
        <v>2168</v>
      </c>
      <c r="F597" s="10" t="s">
        <v>2094</v>
      </c>
      <c r="G597" s="10"/>
      <c r="H597" s="10" t="s">
        <v>2824</v>
      </c>
      <c r="I597" s="10" t="s">
        <v>14</v>
      </c>
      <c r="J597" s="10"/>
      <c r="K597" s="7" cm="1">
        <f t="array" ref="K597">IFERROR(LOOKUP(2,1/('Outreach Log'!$C$2:$C$9998=F597),'Outreach Log'!$B$2:$B$9998),"")</f>
        <v>46093</v>
      </c>
      <c r="L597" s="5" t="str">
        <f>IFERROR(INDEX('Outreach Log'!$F:$F,MATCH(TEXT(K597,"YYYY-MM-DD")&amp;F597,'Outreach Log'!$L:$L,0)),"")</f>
        <v>Email</v>
      </c>
      <c r="M597" s="6" t="str">
        <f>IFERROR(HYPERLINK("#'Outreach Log'!A"&amp;MATCH(TEXT(K597,"YYYY-MM-DD")&amp;F597,'Outreach Log'!$L:$L,0),"→ View"),"—")</f>
        <v>→ View</v>
      </c>
      <c r="N597" s="6" t="str">
        <f>IFERROR(HYPERLINK("#Companies!A"&amp;MATCH(E597,Companies!$B:$B,0),"→ View"),"—")</f>
        <v>→ View</v>
      </c>
    </row>
    <row r="598" spans="1:14" ht="15" customHeight="1">
      <c r="A598" s="9">
        <f>IF(tblContacts[[#This Row],[First Name]]&lt;&gt;0,ROW()-1,"")</f>
        <v>597</v>
      </c>
      <c r="B598" s="50" t="s">
        <v>1719</v>
      </c>
      <c r="C598" s="50" t="s">
        <v>1973</v>
      </c>
      <c r="D598" s="10" t="s">
        <v>1950</v>
      </c>
      <c r="E598" s="10" t="s">
        <v>2113</v>
      </c>
      <c r="F598" s="10" t="s">
        <v>1974</v>
      </c>
      <c r="G598" s="10"/>
      <c r="H598" s="10" t="s">
        <v>2824</v>
      </c>
      <c r="I598" s="10" t="s">
        <v>14</v>
      </c>
      <c r="J598" s="10"/>
      <c r="K598" s="7" cm="1">
        <f t="array" ref="K598">IFERROR(LOOKUP(2,1/('Outreach Log'!$C$2:$C$9998=F598),'Outreach Log'!$B$2:$B$9998),"")</f>
        <v>46093</v>
      </c>
      <c r="L598" s="5" t="str">
        <f>IFERROR(INDEX('Outreach Log'!$F:$F,MATCH(TEXT(K598,"YYYY-MM-DD")&amp;F598,'Outreach Log'!$L:$L,0)),"")</f>
        <v>Email</v>
      </c>
      <c r="M598" s="6" t="str">
        <f>IFERROR(HYPERLINK("#'Outreach Log'!A"&amp;MATCH(TEXT(K598,"YYYY-MM-DD")&amp;F598,'Outreach Log'!$L:$L,0),"→ View"),"—")</f>
        <v>→ View</v>
      </c>
      <c r="N598" s="6" t="str">
        <f>IFERROR(HYPERLINK("#Companies!A"&amp;MATCH(E598,Companies!$B:$B,0),"→ View"),"—")</f>
        <v>→ View</v>
      </c>
    </row>
    <row r="599" spans="1:14" ht="15" customHeight="1">
      <c r="A599" s="9">
        <f>IF(tblContacts[[#This Row],[First Name]]&lt;&gt;0,ROW()-1,"")</f>
        <v>598</v>
      </c>
      <c r="B599" s="50" t="s">
        <v>1975</v>
      </c>
      <c r="C599" s="50" t="s">
        <v>2433</v>
      </c>
      <c r="D599" s="10" t="s">
        <v>768</v>
      </c>
      <c r="E599" s="10" t="s">
        <v>2114</v>
      </c>
      <c r="F599" s="10" t="s">
        <v>1976</v>
      </c>
      <c r="G599" s="10"/>
      <c r="H599" s="10" t="s">
        <v>2824</v>
      </c>
      <c r="I599" s="10" t="s">
        <v>14</v>
      </c>
      <c r="J599" s="10"/>
      <c r="K599" s="7" cm="1">
        <f t="array" ref="K599">IFERROR(LOOKUP(2,1/('Outreach Log'!$C$2:$C$9998=F599),'Outreach Log'!$B$2:$B$9998),"")</f>
        <v>46093</v>
      </c>
      <c r="L599" s="5" t="str">
        <f>IFERROR(INDEX('Outreach Log'!$F:$F,MATCH(TEXT(K599,"YYYY-MM-DD")&amp;F599,'Outreach Log'!$L:$L,0)),"")</f>
        <v>Email</v>
      </c>
      <c r="M599" s="6" t="str">
        <f>IFERROR(HYPERLINK("#'Outreach Log'!A"&amp;MATCH(TEXT(K599,"YYYY-MM-DD")&amp;F599,'Outreach Log'!$L:$L,0),"→ View"),"—")</f>
        <v>→ View</v>
      </c>
      <c r="N599" s="6" t="str">
        <f>IFERROR(HYPERLINK("#Companies!A"&amp;MATCH(E599,Companies!$B:$B,0),"→ View"),"—")</f>
        <v>→ View</v>
      </c>
    </row>
    <row r="600" spans="1:14" ht="15" customHeight="1">
      <c r="A600" s="9">
        <f>IF(tblContacts[[#This Row],[First Name]]&lt;&gt;0,ROW()-1,"")</f>
        <v>599</v>
      </c>
      <c r="B600" s="50" t="s">
        <v>2006</v>
      </c>
      <c r="C600" s="50" t="s">
        <v>2007</v>
      </c>
      <c r="D600" s="10" t="s">
        <v>862</v>
      </c>
      <c r="E600" s="10" t="s">
        <v>2127</v>
      </c>
      <c r="F600" s="10" t="s">
        <v>2008</v>
      </c>
      <c r="G600" s="10"/>
      <c r="H600" s="10" t="s">
        <v>2824</v>
      </c>
      <c r="I600" s="10" t="s">
        <v>14</v>
      </c>
      <c r="J600" s="10"/>
      <c r="K600" s="7" cm="1">
        <f t="array" ref="K600">IFERROR(LOOKUP(2,1/('Outreach Log'!$C$2:$C$9998=F600),'Outreach Log'!$B$2:$B$9998),"")</f>
        <v>46093</v>
      </c>
      <c r="L600" s="5" t="str">
        <f>IFERROR(INDEX('Outreach Log'!$F:$F,MATCH(TEXT(K600,"YYYY-MM-DD")&amp;F600,'Outreach Log'!$L:$L,0)),"")</f>
        <v>Email</v>
      </c>
      <c r="M600" s="6" t="str">
        <f>IFERROR(HYPERLINK("#'Outreach Log'!A"&amp;MATCH(TEXT(K600,"YYYY-MM-DD")&amp;F600,'Outreach Log'!$L:$L,0),"→ View"),"—")</f>
        <v>→ View</v>
      </c>
      <c r="N600" s="6" t="str">
        <f>IFERROR(HYPERLINK("#Companies!A"&amp;MATCH(E600,Companies!$B:$B,0),"→ View"),"—")</f>
        <v>→ View</v>
      </c>
    </row>
    <row r="601" spans="1:14" ht="15" customHeight="1">
      <c r="A601" s="9">
        <f>IF(tblContacts[[#This Row],[First Name]]&lt;&gt;0,ROW()-1,"")</f>
        <v>600</v>
      </c>
      <c r="B601" s="50" t="s">
        <v>2006</v>
      </c>
      <c r="C601" s="50" t="s">
        <v>1196</v>
      </c>
      <c r="D601" s="10" t="s">
        <v>862</v>
      </c>
      <c r="E601" s="10" t="s">
        <v>2137</v>
      </c>
      <c r="F601" s="10" t="s">
        <v>2025</v>
      </c>
      <c r="G601" s="10"/>
      <c r="H601" s="10" t="s">
        <v>2824</v>
      </c>
      <c r="I601" s="10" t="s">
        <v>14</v>
      </c>
      <c r="J601" s="10"/>
      <c r="K601" s="7" cm="1">
        <f t="array" ref="K601">IFERROR(LOOKUP(2,1/('Outreach Log'!$C$2:$C$9998=F601),'Outreach Log'!$B$2:$B$9998),"")</f>
        <v>46093</v>
      </c>
      <c r="L601" s="5" t="str">
        <f>IFERROR(INDEX('Outreach Log'!$F:$F,MATCH(TEXT(K601,"YYYY-MM-DD")&amp;F601,'Outreach Log'!$L:$L,0)),"")</f>
        <v>Email</v>
      </c>
      <c r="M601" s="6" t="str">
        <f>IFERROR(HYPERLINK("#'Outreach Log'!A"&amp;MATCH(TEXT(K601,"YYYY-MM-DD")&amp;F601,'Outreach Log'!$L:$L,0),"→ View"),"—")</f>
        <v>→ View</v>
      </c>
      <c r="N601" s="6" t="str">
        <f>IFERROR(HYPERLINK("#Companies!A"&amp;MATCH(E601,Companies!$B:$B,0),"→ View"),"—")</f>
        <v>→ View</v>
      </c>
    </row>
    <row r="602" spans="1:14" ht="15" customHeight="1">
      <c r="A602" s="9">
        <f>IF(tblContacts[[#This Row],[First Name]]&lt;&gt;0,ROW()-1,"")</f>
        <v>601</v>
      </c>
      <c r="B602" s="50" t="s">
        <v>1785</v>
      </c>
      <c r="C602" s="50" t="s">
        <v>1786</v>
      </c>
      <c r="D602" s="10"/>
      <c r="E602" s="10" t="s">
        <v>620</v>
      </c>
      <c r="F602" s="10" t="s">
        <v>1787</v>
      </c>
      <c r="G602" s="10"/>
      <c r="H602" s="10" t="s">
        <v>2824</v>
      </c>
      <c r="I602" s="10" t="s">
        <v>14</v>
      </c>
      <c r="J602" s="10"/>
      <c r="K602" s="7" cm="1">
        <f t="array" ref="K602">IFERROR(LOOKUP(2,1/('Outreach Log'!$C$2:$C$9998=F602),'Outreach Log'!$B$2:$B$9998),"")</f>
        <v>46093</v>
      </c>
      <c r="L602" s="5" t="str">
        <f>IFERROR(INDEX('Outreach Log'!$F:$F,MATCH(TEXT(K602,"YYYY-MM-DD")&amp;F602,'Outreach Log'!$L:$L,0)),"")</f>
        <v>Email</v>
      </c>
      <c r="M602" s="6" t="str">
        <f>IFERROR(HYPERLINK("#'Outreach Log'!A"&amp;MATCH(TEXT(K602,"YYYY-MM-DD")&amp;F602,'Outreach Log'!$L:$L,0),"→ View"),"—")</f>
        <v>→ View</v>
      </c>
      <c r="N602" s="6" t="str">
        <f>IFERROR(HYPERLINK("#Companies!A"&amp;MATCH(E602,Companies!$B:$B,0),"→ View"),"—")</f>
        <v>→ View</v>
      </c>
    </row>
    <row r="603" spans="1:14" ht="15" customHeight="1">
      <c r="A603" s="9">
        <f>IF(tblContacts[[#This Row],[First Name]]&lt;&gt;0,ROW()-1,"")</f>
        <v>602</v>
      </c>
      <c r="B603" s="50" t="s">
        <v>1248</v>
      </c>
      <c r="C603" s="50" t="s">
        <v>2028</v>
      </c>
      <c r="D603" s="10" t="s">
        <v>768</v>
      </c>
      <c r="E603" s="10" t="s">
        <v>620</v>
      </c>
      <c r="F603" s="10" t="s">
        <v>2029</v>
      </c>
      <c r="G603" s="10"/>
      <c r="H603" s="10" t="s">
        <v>2824</v>
      </c>
      <c r="I603" s="10" t="s">
        <v>14</v>
      </c>
      <c r="J603" s="10"/>
      <c r="K603" s="7" cm="1">
        <f t="array" ref="K603">IFERROR(LOOKUP(2,1/('Outreach Log'!$C$2:$C$9998=F603),'Outreach Log'!$B$2:$B$9998),"")</f>
        <v>46093</v>
      </c>
      <c r="L603" s="5" t="str">
        <f>IFERROR(INDEX('Outreach Log'!$F:$F,MATCH(TEXT(K603,"YYYY-MM-DD")&amp;F603,'Outreach Log'!$L:$L,0)),"")</f>
        <v>Email</v>
      </c>
      <c r="M603" s="6" t="str">
        <f>IFERROR(HYPERLINK("#'Outreach Log'!A"&amp;MATCH(TEXT(K603,"YYYY-MM-DD")&amp;F603,'Outreach Log'!$L:$L,0),"→ View"),"—")</f>
        <v>→ View</v>
      </c>
      <c r="N603" s="6" t="str">
        <f>IFERROR(HYPERLINK("#Companies!A"&amp;MATCH(E603,Companies!$B:$B,0),"→ View"),"—")</f>
        <v>→ View</v>
      </c>
    </row>
    <row r="604" spans="1:14" ht="15" customHeight="1">
      <c r="A604" s="9">
        <f>IF(tblContacts[[#This Row],[First Name]]&lt;&gt;0,ROW()-1,"")</f>
        <v>603</v>
      </c>
      <c r="B604" s="50" t="s">
        <v>1248</v>
      </c>
      <c r="C604" s="50" t="s">
        <v>1953</v>
      </c>
      <c r="D604" s="10" t="s">
        <v>768</v>
      </c>
      <c r="E604" s="10" t="s">
        <v>422</v>
      </c>
      <c r="F604" s="10" t="s">
        <v>1954</v>
      </c>
      <c r="G604" s="10"/>
      <c r="H604" s="10" t="s">
        <v>2824</v>
      </c>
      <c r="I604" s="10" t="s">
        <v>14</v>
      </c>
      <c r="J604" s="10"/>
      <c r="K604" s="7" cm="1">
        <f t="array" ref="K604">IFERROR(LOOKUP(2,1/('Outreach Log'!$C$2:$C$9998=F604),'Outreach Log'!$B$2:$B$9998),"")</f>
        <v>46093</v>
      </c>
      <c r="L604" s="5" t="str">
        <f>IFERROR(INDEX('Outreach Log'!$F:$F,MATCH(TEXT(K604,"YYYY-MM-DD")&amp;F604,'Outreach Log'!$L:$L,0)),"")</f>
        <v>Email</v>
      </c>
      <c r="M604" s="6" t="str">
        <f>IFERROR(HYPERLINK("#'Outreach Log'!A"&amp;MATCH(TEXT(K604,"YYYY-MM-DD")&amp;F604,'Outreach Log'!$L:$L,0),"→ View"),"—")</f>
        <v>→ View</v>
      </c>
      <c r="N604" s="6" t="str">
        <f>IFERROR(HYPERLINK("#Companies!A"&amp;MATCH(E604,Companies!$B:$B,0),"→ View"),"—")</f>
        <v>→ View</v>
      </c>
    </row>
    <row r="605" spans="1:14" ht="15" customHeight="1">
      <c r="A605" s="9">
        <f>IF(tblContacts[[#This Row],[First Name]]&lt;&gt;0,ROW()-1,"")</f>
        <v>604</v>
      </c>
      <c r="B605" s="50" t="s">
        <v>766</v>
      </c>
      <c r="C605" s="50" t="s">
        <v>1794</v>
      </c>
      <c r="D605" s="10"/>
      <c r="E605" s="10" t="s">
        <v>355</v>
      </c>
      <c r="F605" s="10" t="s">
        <v>1795</v>
      </c>
      <c r="G605" s="10"/>
      <c r="H605" s="10" t="s">
        <v>2824</v>
      </c>
      <c r="I605" s="10" t="s">
        <v>14</v>
      </c>
      <c r="J605" s="10"/>
      <c r="K605" s="7" cm="1">
        <f t="array" ref="K605">IFERROR(LOOKUP(2,1/('Outreach Log'!$C$2:$C$9998=F605),'Outreach Log'!$B$2:$B$9998),"")</f>
        <v>46093</v>
      </c>
      <c r="L605" s="5" t="str">
        <f>IFERROR(INDEX('Outreach Log'!$F:$F,MATCH(TEXT(K605,"YYYY-MM-DD")&amp;F605,'Outreach Log'!$L:$L,0)),"")</f>
        <v>Email</v>
      </c>
      <c r="M605" s="6" t="str">
        <f>IFERROR(HYPERLINK("#'Outreach Log'!A"&amp;MATCH(TEXT(K605,"YYYY-MM-DD")&amp;F605,'Outreach Log'!$L:$L,0),"→ View"),"—")</f>
        <v>→ View</v>
      </c>
      <c r="N605" s="6" t="str">
        <f>IFERROR(HYPERLINK("#Companies!A"&amp;MATCH(E605,Companies!$B:$B,0),"→ View"),"—")</f>
        <v>→ View</v>
      </c>
    </row>
    <row r="606" spans="1:14" ht="15" customHeight="1">
      <c r="A606" s="9">
        <f>IF(tblContacts[[#This Row],[First Name]]&lt;&gt;0,ROW()-1,"")</f>
        <v>605</v>
      </c>
      <c r="B606" s="50" t="s">
        <v>1196</v>
      </c>
      <c r="C606" s="50" t="s">
        <v>1799</v>
      </c>
      <c r="D606" s="10"/>
      <c r="E606" s="10" t="s">
        <v>2158</v>
      </c>
      <c r="F606" s="10" t="s">
        <v>1800</v>
      </c>
      <c r="G606" s="10"/>
      <c r="H606" s="10" t="s">
        <v>2824</v>
      </c>
      <c r="I606" s="10" t="s">
        <v>14</v>
      </c>
      <c r="J606" s="10"/>
      <c r="K606" s="7" cm="1">
        <f t="array" ref="K606">IFERROR(LOOKUP(2,1/('Outreach Log'!$C$2:$C$9998=F606),'Outreach Log'!$B$2:$B$9998),"")</f>
        <v>46093</v>
      </c>
      <c r="L606" s="5" t="str">
        <f>IFERROR(INDEX('Outreach Log'!$F:$F,MATCH(TEXT(K606,"YYYY-MM-DD")&amp;F606,'Outreach Log'!$L:$L,0)),"")</f>
        <v>Email</v>
      </c>
      <c r="M606" s="6" t="str">
        <f>IFERROR(HYPERLINK("#'Outreach Log'!A"&amp;MATCH(TEXT(K606,"YYYY-MM-DD")&amp;F606,'Outreach Log'!$L:$L,0),"→ View"),"—")</f>
        <v>→ View</v>
      </c>
      <c r="N606" s="6" t="str">
        <f>IFERROR(HYPERLINK("#Companies!A"&amp;MATCH(E606,Companies!$B:$B,0),"→ View"),"—")</f>
        <v>→ View</v>
      </c>
    </row>
    <row r="607" spans="1:14" ht="15" customHeight="1">
      <c r="A607" s="9">
        <f>IF(tblContacts[[#This Row],[First Name]]&lt;&gt;0,ROW()-1,"")</f>
        <v>606</v>
      </c>
      <c r="B607" s="50" t="s">
        <v>1807</v>
      </c>
      <c r="C607" s="50" t="s">
        <v>2067</v>
      </c>
      <c r="D607" s="10" t="s">
        <v>768</v>
      </c>
      <c r="E607" s="10" t="s">
        <v>2156</v>
      </c>
      <c r="F607" s="10" t="s">
        <v>2068</v>
      </c>
      <c r="G607" s="10"/>
      <c r="H607" s="10" t="s">
        <v>2824</v>
      </c>
      <c r="I607" s="10" t="s">
        <v>14</v>
      </c>
      <c r="J607" s="10"/>
      <c r="K607" s="7" cm="1">
        <f t="array" ref="K607">IFERROR(LOOKUP(2,1/('Outreach Log'!$C$2:$C$9998=F607),'Outreach Log'!$B$2:$B$9998),"")</f>
        <v>46093</v>
      </c>
      <c r="L607" s="5" t="str">
        <f>IFERROR(INDEX('Outreach Log'!$F:$F,MATCH(TEXT(K607,"YYYY-MM-DD")&amp;F607,'Outreach Log'!$L:$L,0)),"")</f>
        <v>Email</v>
      </c>
      <c r="M607" s="6" t="str">
        <f>IFERROR(HYPERLINK("#'Outreach Log'!A"&amp;MATCH(TEXT(K607,"YYYY-MM-DD")&amp;F607,'Outreach Log'!$L:$L,0),"→ View"),"—")</f>
        <v>→ View</v>
      </c>
      <c r="N607" s="6" t="str">
        <f>IFERROR(HYPERLINK("#Companies!A"&amp;MATCH(E607,Companies!$B:$B,0),"→ View"),"—")</f>
        <v>→ View</v>
      </c>
    </row>
    <row r="608" spans="1:14" ht="15" customHeight="1">
      <c r="A608" s="9">
        <f>IF(tblContacts[[#This Row],[First Name]]&lt;&gt;0,ROW()-1,"")</f>
        <v>607</v>
      </c>
      <c r="B608" s="50" t="s">
        <v>1196</v>
      </c>
      <c r="C608" s="50" t="s">
        <v>1960</v>
      </c>
      <c r="D608" s="10" t="s">
        <v>768</v>
      </c>
      <c r="E608" s="10" t="s">
        <v>188</v>
      </c>
      <c r="F608" s="10" t="s">
        <v>1961</v>
      </c>
      <c r="G608" s="10"/>
      <c r="H608" s="10" t="s">
        <v>2824</v>
      </c>
      <c r="I608" s="10" t="s">
        <v>14</v>
      </c>
      <c r="J608" s="10"/>
      <c r="K608" s="7" cm="1">
        <f t="array" ref="K608">IFERROR(LOOKUP(2,1/('Outreach Log'!$C$2:$C$9998=F608),'Outreach Log'!$B$2:$B$9998),"")</f>
        <v>46093</v>
      </c>
      <c r="L608" s="5" t="str">
        <f>IFERROR(INDEX('Outreach Log'!$F:$F,MATCH(TEXT(K608,"YYYY-MM-DD")&amp;F608,'Outreach Log'!$L:$L,0)),"")</f>
        <v>Email</v>
      </c>
      <c r="M608" s="6" t="str">
        <f>IFERROR(HYPERLINK("#'Outreach Log'!A"&amp;MATCH(TEXT(K608,"YYYY-MM-DD")&amp;F608,'Outreach Log'!$L:$L,0),"→ View"),"—")</f>
        <v>→ View</v>
      </c>
      <c r="N608" s="6" t="str">
        <f>IFERROR(HYPERLINK("#Companies!A"&amp;MATCH(E608,Companies!$B:$B,0),"→ View"),"—")</f>
        <v>→ View</v>
      </c>
    </row>
    <row r="609" spans="1:14" ht="15" customHeight="1">
      <c r="A609" s="9">
        <f>IF(tblContacts[[#This Row],[First Name]]&lt;&gt;0,ROW()-1,"")</f>
        <v>608</v>
      </c>
      <c r="B609" s="50" t="s">
        <v>1217</v>
      </c>
      <c r="C609" s="50" t="s">
        <v>1813</v>
      </c>
      <c r="D609" s="10"/>
      <c r="E609" s="10" t="s">
        <v>636</v>
      </c>
      <c r="F609" s="10" t="s">
        <v>1814</v>
      </c>
      <c r="G609" s="10"/>
      <c r="H609" s="10" t="s">
        <v>2824</v>
      </c>
      <c r="I609" s="10" t="s">
        <v>13</v>
      </c>
      <c r="J609" s="10"/>
      <c r="K609" s="7" cm="1">
        <f t="array" ref="K609">IFERROR(LOOKUP(2,1/('Outreach Log'!$C$2:$C$9998=F609),'Outreach Log'!$B$2:$B$9998),"")</f>
        <v>46084</v>
      </c>
      <c r="L609" s="5" t="str">
        <f>IFERROR(INDEX('Outreach Log'!$F:$F,MATCH(TEXT(K609,"YYYY-MM-DD")&amp;F609,'Outreach Log'!$L:$L,0)),"")</f>
        <v>Email</v>
      </c>
      <c r="M609" s="6" t="str">
        <f>IFERROR(HYPERLINK("#'Outreach Log'!A"&amp;MATCH(TEXT(K609,"YYYY-MM-DD")&amp;F609,'Outreach Log'!$L:$L,0),"→ View"),"—")</f>
        <v>→ View</v>
      </c>
      <c r="N609" s="6" t="str">
        <f>IFERROR(HYPERLINK("#Companies!A"&amp;MATCH(E609,Companies!$B:$B,0),"→ View"),"—")</f>
        <v>→ View</v>
      </c>
    </row>
    <row r="610" spans="1:14" ht="15" customHeight="1">
      <c r="A610" s="9">
        <f>IF(tblContacts[[#This Row],[First Name]]&lt;&gt;0,ROW()-1,"")</f>
        <v>609</v>
      </c>
      <c r="B610" s="50" t="s">
        <v>1217</v>
      </c>
      <c r="C610" s="50" t="s">
        <v>1942</v>
      </c>
      <c r="D610" s="10" t="s">
        <v>749</v>
      </c>
      <c r="E610" s="10" t="s">
        <v>2107</v>
      </c>
      <c r="F610" s="10" t="s">
        <v>1957</v>
      </c>
      <c r="G610" s="10"/>
      <c r="H610" s="10" t="s">
        <v>2824</v>
      </c>
      <c r="I610" s="10" t="s">
        <v>14</v>
      </c>
      <c r="J610" s="10"/>
      <c r="K610" s="7" cm="1">
        <f t="array" ref="K610">IFERROR(LOOKUP(2,1/('Outreach Log'!$C$2:$C$9998=F610),'Outreach Log'!$B$2:$B$9998),"")</f>
        <v>46093</v>
      </c>
      <c r="L610" s="5" t="str">
        <f>IFERROR(INDEX('Outreach Log'!$F:$F,MATCH(TEXT(K610,"YYYY-MM-DD")&amp;F610,'Outreach Log'!$L:$L,0)),"")</f>
        <v>Email</v>
      </c>
      <c r="M610" s="6" t="str">
        <f>IFERROR(HYPERLINK("#'Outreach Log'!A"&amp;MATCH(TEXT(K610,"YYYY-MM-DD")&amp;F610,'Outreach Log'!$L:$L,0),"→ View"),"—")</f>
        <v>→ View</v>
      </c>
      <c r="N610" s="6" t="str">
        <f>IFERROR(HYPERLINK("#Companies!A"&amp;MATCH(E610,Companies!$B:$B,0),"→ View"),"—")</f>
        <v>→ View</v>
      </c>
    </row>
    <row r="611" spans="1:14" ht="15" customHeight="1">
      <c r="A611" s="9">
        <f>IF(tblContacts[[#This Row],[First Name]]&lt;&gt;0,ROW()-1,"")</f>
        <v>610</v>
      </c>
      <c r="B611" s="50" t="s">
        <v>1217</v>
      </c>
      <c r="C611" s="50" t="s">
        <v>3210</v>
      </c>
      <c r="D611" s="10" t="s">
        <v>3195</v>
      </c>
      <c r="E611" s="10" t="s">
        <v>3014</v>
      </c>
      <c r="F611" s="51" t="s">
        <v>3211</v>
      </c>
      <c r="G611" s="10" t="s">
        <v>3212</v>
      </c>
      <c r="H611" s="10" t="s">
        <v>2824</v>
      </c>
      <c r="I611" s="44" t="s">
        <v>3363</v>
      </c>
      <c r="K611" s="7" cm="1">
        <f t="array" ref="K611">IFERROR(LOOKUP(2,1/('Outreach Log'!$C$2:$C$9998=F611),'Outreach Log'!$B$2:$B$9998),"")</f>
        <v>46104</v>
      </c>
      <c r="L611" s="5" t="str">
        <f>IFERROR(INDEX('Outreach Log'!$F:$F,MATCH(TEXT(K611,"YYYY-MM-DD")&amp;F611,'Outreach Log'!$L:$L,0)),"")</f>
        <v>Email</v>
      </c>
      <c r="M611" s="6" t="str">
        <f>IFERROR(HYPERLINK("#'Outreach Log'!A"&amp;MATCH(TEXT(K611,"YYYY-MM-DD")&amp;F611,'Outreach Log'!$L:$L,0),"→ View"),"—")</f>
        <v>→ View</v>
      </c>
      <c r="N611" s="6" t="str">
        <f>IFERROR(HYPERLINK("#Companies!A"&amp;MATCH(E611,Companies!$B:$B,0),"→ View"),"—")</f>
        <v>→ View</v>
      </c>
    </row>
    <row r="612" spans="1:14" ht="15" customHeight="1">
      <c r="A612" s="9">
        <f>IF(tblContacts[[#This Row],[First Name]]&lt;&gt;0,ROW()-1,"")</f>
        <v>611</v>
      </c>
      <c r="B612" s="50" t="s">
        <v>3216</v>
      </c>
      <c r="C612" s="50" t="s">
        <v>1826</v>
      </c>
      <c r="D612" s="10" t="s">
        <v>3217</v>
      </c>
      <c r="E612" s="10" t="s">
        <v>3028</v>
      </c>
      <c r="F612" s="10" t="s">
        <v>3218</v>
      </c>
      <c r="G612" s="10"/>
      <c r="H612" s="10" t="s">
        <v>2824</v>
      </c>
      <c r="I612" s="44" t="s">
        <v>3363</v>
      </c>
      <c r="K612" s="7" cm="1">
        <f t="array" ref="K612">IFERROR(LOOKUP(2,1/('Outreach Log'!$C$2:$C$9998=F612),'Outreach Log'!$B$2:$B$9998),"")</f>
        <v>46104</v>
      </c>
      <c r="L612" s="5" t="str">
        <f>IFERROR(INDEX('Outreach Log'!$F:$F,MATCH(TEXT(K612,"YYYY-MM-DD")&amp;F612,'Outreach Log'!$L:$L,0)),"")</f>
        <v>Email</v>
      </c>
      <c r="M612" s="6" t="str">
        <f>IFERROR(HYPERLINK("#'Outreach Log'!A"&amp;MATCH(TEXT(K612,"YYYY-MM-DD")&amp;F612,'Outreach Log'!$L:$L,0),"→ View"),"—")</f>
        <v>→ View</v>
      </c>
      <c r="N612" s="6" t="str">
        <f>IFERROR(HYPERLINK("#Companies!A"&amp;MATCH(E612,Companies!$B:$B,0),"→ View"),"—")</f>
        <v>→ View</v>
      </c>
    </row>
    <row r="613" spans="1:14" ht="15" customHeight="1">
      <c r="A613" s="9">
        <f>IF(tblContacts[[#This Row],[First Name]]&lt;&gt;0,ROW()-1,"")</f>
        <v>612</v>
      </c>
      <c r="B613" s="50" t="s">
        <v>1825</v>
      </c>
      <c r="C613" s="50" t="s">
        <v>1826</v>
      </c>
      <c r="D613" s="10"/>
      <c r="E613" s="10" t="s">
        <v>2109</v>
      </c>
      <c r="F613" s="10" t="s">
        <v>1827</v>
      </c>
      <c r="G613" s="10"/>
      <c r="H613" s="10" t="s">
        <v>2824</v>
      </c>
      <c r="I613" s="10" t="s">
        <v>14</v>
      </c>
      <c r="J613" s="10"/>
      <c r="K613" s="7" cm="1">
        <f t="array" ref="K613">IFERROR(LOOKUP(2,1/('Outreach Log'!$C$2:$C$9998=F613),'Outreach Log'!$B$2:$B$9998),"")</f>
        <v>46093</v>
      </c>
      <c r="L613" s="5" t="str">
        <f>IFERROR(INDEX('Outreach Log'!$F:$F,MATCH(TEXT(K613,"YYYY-MM-DD")&amp;F613,'Outreach Log'!$L:$L,0)),"")</f>
        <v>Email</v>
      </c>
      <c r="M613" s="6" t="str">
        <f>IFERROR(HYPERLINK("#'Outreach Log'!A"&amp;MATCH(TEXT(K613,"YYYY-MM-DD")&amp;F613,'Outreach Log'!$L:$L,0),"→ View"),"—")</f>
        <v>→ View</v>
      </c>
      <c r="N613" s="6" t="str">
        <f>IFERROR(HYPERLINK("#Companies!A"&amp;MATCH(E613,Companies!$B:$B,0),"→ View"),"—")</f>
        <v>→ View</v>
      </c>
    </row>
    <row r="614" spans="1:14" ht="15" customHeight="1">
      <c r="A614" s="9">
        <f>IF(tblContacts[[#This Row],[First Name]]&lt;&gt;0,ROW()-1,"")</f>
        <v>613</v>
      </c>
      <c r="B614" s="50" t="s">
        <v>907</v>
      </c>
      <c r="C614" s="50" t="s">
        <v>2050</v>
      </c>
      <c r="D614" s="10" t="s">
        <v>862</v>
      </c>
      <c r="E614" s="10" t="s">
        <v>503</v>
      </c>
      <c r="F614" s="10" t="s">
        <v>2051</v>
      </c>
      <c r="G614" s="10"/>
      <c r="H614" s="10" t="s">
        <v>2824</v>
      </c>
      <c r="I614" s="10" t="s">
        <v>14</v>
      </c>
      <c r="J614" s="10"/>
      <c r="K614" s="7" cm="1">
        <f t="array" ref="K614">IFERROR(LOOKUP(2,1/('Outreach Log'!$C$2:$C$9998=F614),'Outreach Log'!$B$2:$B$9998),"")</f>
        <v>46093</v>
      </c>
      <c r="L614" s="5" t="str">
        <f>IFERROR(INDEX('Outreach Log'!$F:$F,MATCH(TEXT(K614,"YYYY-MM-DD")&amp;F614,'Outreach Log'!$L:$L,0)),"")</f>
        <v>Email</v>
      </c>
      <c r="M614" s="6" t="str">
        <f>IFERROR(HYPERLINK("#'Outreach Log'!A"&amp;MATCH(TEXT(K614,"YYYY-MM-DD")&amp;F614,'Outreach Log'!$L:$L,0),"→ View"),"—")</f>
        <v>→ View</v>
      </c>
      <c r="N614" s="6" t="str">
        <f>IFERROR(HYPERLINK("#Companies!A"&amp;MATCH(E614,Companies!$B:$B,0),"→ View"),"—")</f>
        <v>→ View</v>
      </c>
    </row>
    <row r="615" spans="1:14" ht="15" customHeight="1">
      <c r="A615" s="9">
        <f>IF(tblContacts[[#This Row],[First Name]]&lt;&gt;0,ROW()-1,"")</f>
        <v>614</v>
      </c>
      <c r="B615" s="50" t="s">
        <v>1948</v>
      </c>
      <c r="C615" s="50" t="s">
        <v>1949</v>
      </c>
      <c r="D615" s="10" t="s">
        <v>1950</v>
      </c>
      <c r="E615" s="10" t="s">
        <v>2999</v>
      </c>
      <c r="F615" s="10" t="s">
        <v>1951</v>
      </c>
      <c r="G615" s="10"/>
      <c r="H615" s="10" t="s">
        <v>2824</v>
      </c>
      <c r="I615" s="10" t="s">
        <v>14</v>
      </c>
      <c r="J615" s="10"/>
      <c r="K615" s="7" cm="1">
        <f t="array" ref="K615">IFERROR(LOOKUP(2,1/('Outreach Log'!$C$2:$C$9998=F615),'Outreach Log'!$B$2:$B$9998),"")</f>
        <v>46093</v>
      </c>
      <c r="L615" s="5" t="str">
        <f>IFERROR(INDEX('Outreach Log'!$F:$F,MATCH(TEXT(K615,"YYYY-MM-DD")&amp;F615,'Outreach Log'!$L:$L,0)),"")</f>
        <v>Email</v>
      </c>
      <c r="M615" s="6" t="str">
        <f>IFERROR(HYPERLINK("#'Outreach Log'!A"&amp;MATCH(TEXT(K615,"YYYY-MM-DD")&amp;F615,'Outreach Log'!$L:$L,0),"→ View"),"—")</f>
        <v>→ View</v>
      </c>
      <c r="N615" s="6" t="str">
        <f>IFERROR(HYPERLINK("#Companies!A"&amp;MATCH(E615,Companies!$B:$B,0),"→ View"),"—")</f>
        <v>→ View</v>
      </c>
    </row>
    <row r="616" spans="1:14" ht="15" customHeight="1">
      <c r="A616" s="9">
        <f>IF(tblContacts[[#This Row],[First Name]]&lt;&gt;0,ROW()-1,"")</f>
        <v>615</v>
      </c>
      <c r="B616" s="50" t="s">
        <v>1833</v>
      </c>
      <c r="C616" s="50" t="s">
        <v>1958</v>
      </c>
      <c r="D616" s="10" t="s">
        <v>862</v>
      </c>
      <c r="E616" s="10" t="s">
        <v>2107</v>
      </c>
      <c r="F616" s="10" t="s">
        <v>1959</v>
      </c>
      <c r="G616" s="10"/>
      <c r="H616" s="10" t="s">
        <v>2824</v>
      </c>
      <c r="I616" s="10" t="s">
        <v>14</v>
      </c>
      <c r="J616" s="10"/>
      <c r="K616" s="7" cm="1">
        <f t="array" ref="K616">IFERROR(LOOKUP(2,1/('Outreach Log'!$C$2:$C$9998=F616),'Outreach Log'!$B$2:$B$9998),"")</f>
        <v>46093</v>
      </c>
      <c r="L616" s="5" t="str">
        <f>IFERROR(INDEX('Outreach Log'!$F:$F,MATCH(TEXT(K616,"YYYY-MM-DD")&amp;F616,'Outreach Log'!$L:$L,0)),"")</f>
        <v>Email</v>
      </c>
      <c r="M616" s="6" t="str">
        <f>IFERROR(HYPERLINK("#'Outreach Log'!A"&amp;MATCH(TEXT(K616,"YYYY-MM-DD")&amp;F616,'Outreach Log'!$L:$L,0),"→ View"),"—")</f>
        <v>→ View</v>
      </c>
      <c r="N616" s="6" t="str">
        <f>IFERROR(HYPERLINK("#Companies!A"&amp;MATCH(E616,Companies!$B:$B,0),"→ View"),"—")</f>
        <v>→ View</v>
      </c>
    </row>
    <row r="617" spans="1:14" ht="15" customHeight="1">
      <c r="A617" s="9">
        <f>IF(tblContacts[[#This Row],[First Name]]&lt;&gt;0,ROW()-1,"")</f>
        <v>616</v>
      </c>
      <c r="B617" s="56" t="s">
        <v>1833</v>
      </c>
      <c r="C617" s="56" t="s">
        <v>740</v>
      </c>
      <c r="D617" s="10" t="s">
        <v>749</v>
      </c>
      <c r="E617" s="10" t="s">
        <v>3122</v>
      </c>
      <c r="F617" s="10" t="s">
        <v>3310</v>
      </c>
      <c r="G617" s="10"/>
      <c r="H617" s="10" t="s">
        <v>2824</v>
      </c>
      <c r="I617" s="44" t="s">
        <v>3363</v>
      </c>
      <c r="K617" s="7" cm="1">
        <f t="array" ref="K617">IFERROR(LOOKUP(2,1/('Outreach Log'!$C$2:$C$9998=F617),'Outreach Log'!$B$2:$B$9998),"")</f>
        <v>46104</v>
      </c>
      <c r="L617" s="5" t="str">
        <f>IFERROR(INDEX('Outreach Log'!$F:$F,MATCH(TEXT(K617,"YYYY-MM-DD")&amp;F617,'Outreach Log'!$L:$L,0)),"")</f>
        <v>Email</v>
      </c>
      <c r="M617" s="6" t="str">
        <f>IFERROR(HYPERLINK("#'Outreach Log'!A"&amp;MATCH(TEXT(K617,"YYYY-MM-DD")&amp;F617,'Outreach Log'!$L:$L,0),"→ View"),"—")</f>
        <v>→ View</v>
      </c>
      <c r="N617" s="6" t="str">
        <f>IFERROR(HYPERLINK("#Companies!A"&amp;MATCH(E617,Companies!$B:$B,0),"→ View"),"—")</f>
        <v>→ View</v>
      </c>
    </row>
    <row r="618" spans="1:14" ht="15" customHeight="1">
      <c r="A618" s="9">
        <f>IF(tblContacts[[#This Row],[First Name]]&lt;&gt;0,ROW()-1,"")</f>
        <v>617</v>
      </c>
      <c r="B618" s="50" t="s">
        <v>1269</v>
      </c>
      <c r="C618" s="50" t="s">
        <v>1835</v>
      </c>
      <c r="D618" s="10"/>
      <c r="E618" s="10" t="s">
        <v>650</v>
      </c>
      <c r="F618" s="10" t="s">
        <v>1836</v>
      </c>
      <c r="G618" s="10"/>
      <c r="H618" s="10" t="s">
        <v>2824</v>
      </c>
      <c r="I618" s="10" t="s">
        <v>14</v>
      </c>
      <c r="J618" s="10"/>
      <c r="K618" s="7" cm="1">
        <f t="array" ref="K618">IFERROR(LOOKUP(2,1/('Outreach Log'!$C$2:$C$9998=F618),'Outreach Log'!$B$2:$B$9998),"")</f>
        <v>46093</v>
      </c>
      <c r="L618" s="5" t="str">
        <f>IFERROR(INDEX('Outreach Log'!$F:$F,MATCH(TEXT(K618,"YYYY-MM-DD")&amp;F618,'Outreach Log'!$L:$L,0)),"")</f>
        <v>Email</v>
      </c>
      <c r="M618" s="6" t="str">
        <f>IFERROR(HYPERLINK("#'Outreach Log'!A"&amp;MATCH(TEXT(K618,"YYYY-MM-DD")&amp;F618,'Outreach Log'!$L:$L,0),"→ View"),"—")</f>
        <v>→ View</v>
      </c>
      <c r="N618" s="6" t="str">
        <f>IFERROR(HYPERLINK("#Companies!A"&amp;MATCH(E618,Companies!$B:$B,0),"→ View"),"—")</f>
        <v>→ View</v>
      </c>
    </row>
    <row r="619" spans="1:14" ht="15" customHeight="1">
      <c r="A619" s="9">
        <f>IF(tblContacts[[#This Row],[First Name]]&lt;&gt;0,ROW()-1,"")</f>
        <v>618</v>
      </c>
      <c r="B619" s="50" t="s">
        <v>1842</v>
      </c>
      <c r="C619" s="50" t="s">
        <v>1985</v>
      </c>
      <c r="D619" s="10" t="s">
        <v>768</v>
      </c>
      <c r="E619" s="10" t="s">
        <v>2118</v>
      </c>
      <c r="F619" s="10" t="s">
        <v>1986</v>
      </c>
      <c r="G619" s="10"/>
      <c r="H619" s="10" t="s">
        <v>2824</v>
      </c>
      <c r="I619" s="10" t="s">
        <v>14</v>
      </c>
      <c r="J619" s="10"/>
      <c r="K619" s="7" cm="1">
        <f t="array" ref="K619">IFERROR(LOOKUP(2,1/('Outreach Log'!$C$2:$C$9998=F619),'Outreach Log'!$B$2:$B$9998),"")</f>
        <v>46093</v>
      </c>
      <c r="L619" s="5" t="str">
        <f>IFERROR(INDEX('Outreach Log'!$F:$F,MATCH(TEXT(K619,"YYYY-MM-DD")&amp;F619,'Outreach Log'!$L:$L,0)),"")</f>
        <v>Email</v>
      </c>
      <c r="M619" s="6" t="str">
        <f>IFERROR(HYPERLINK("#'Outreach Log'!A"&amp;MATCH(TEXT(K619,"YYYY-MM-DD")&amp;F619,'Outreach Log'!$L:$L,0),"→ View"),"—")</f>
        <v>→ View</v>
      </c>
      <c r="N619" s="6" t="str">
        <f>IFERROR(HYPERLINK("#Companies!A"&amp;MATCH(E619,Companies!$B:$B,0),"→ View"),"—")</f>
        <v>→ View</v>
      </c>
    </row>
    <row r="620" spans="1:14" ht="15" customHeight="1">
      <c r="A620" s="9">
        <f>IF(tblContacts[[#This Row],[First Name]]&lt;&gt;0,ROW()-1,"")</f>
        <v>619</v>
      </c>
      <c r="B620" s="50" t="s">
        <v>1847</v>
      </c>
      <c r="C620" s="50" t="s">
        <v>2038</v>
      </c>
      <c r="D620" s="10" t="s">
        <v>1950</v>
      </c>
      <c r="E620" s="10" t="s">
        <v>2144</v>
      </c>
      <c r="F620" s="10" t="s">
        <v>2039</v>
      </c>
      <c r="G620" s="10"/>
      <c r="H620" s="10" t="s">
        <v>2824</v>
      </c>
      <c r="I620" s="10" t="s">
        <v>14</v>
      </c>
      <c r="J620" s="10"/>
      <c r="K620" s="7" cm="1">
        <f t="array" ref="K620">IFERROR(LOOKUP(2,1/('Outreach Log'!$C$2:$C$9998=F620),'Outreach Log'!$B$2:$B$9998),"")</f>
        <v>46093</v>
      </c>
      <c r="L620" s="5" t="str">
        <f>IFERROR(INDEX('Outreach Log'!$F:$F,MATCH(TEXT(K620,"YYYY-MM-DD")&amp;F620,'Outreach Log'!$L:$L,0)),"")</f>
        <v>Email</v>
      </c>
      <c r="M620" s="6" t="str">
        <f>IFERROR(HYPERLINK("#'Outreach Log'!A"&amp;MATCH(TEXT(K620,"YYYY-MM-DD")&amp;F620,'Outreach Log'!$L:$L,0),"→ View"),"—")</f>
        <v>→ View</v>
      </c>
      <c r="N620" s="6" t="str">
        <f>IFERROR(HYPERLINK("#Companies!A"&amp;MATCH(E620,Companies!$B:$B,0),"→ View"),"—")</f>
        <v>→ View</v>
      </c>
    </row>
    <row r="621" spans="1:14" ht="15" customHeight="1">
      <c r="A621" s="9">
        <f>IF(tblContacts[[#This Row],[First Name]]&lt;&gt;0,ROW()-1,"")</f>
        <v>620</v>
      </c>
      <c r="B621" s="50" t="s">
        <v>1847</v>
      </c>
      <c r="C621" s="50" t="s">
        <v>2065</v>
      </c>
      <c r="D621" s="10" t="s">
        <v>862</v>
      </c>
      <c r="E621" s="10" t="s">
        <v>2151</v>
      </c>
      <c r="F621" s="10" t="s">
        <v>2066</v>
      </c>
      <c r="G621" s="10"/>
      <c r="H621" s="10" t="s">
        <v>2824</v>
      </c>
      <c r="I621" s="10" t="s">
        <v>14</v>
      </c>
      <c r="J621" s="10"/>
      <c r="K621" s="7" cm="1">
        <f t="array" ref="K621">IFERROR(LOOKUP(2,1/('Outreach Log'!$C$2:$C$9998=F621),'Outreach Log'!$B$2:$B$9998),"")</f>
        <v>46093</v>
      </c>
      <c r="L621" s="5" t="str">
        <f>IFERROR(INDEX('Outreach Log'!$F:$F,MATCH(TEXT(K621,"YYYY-MM-DD")&amp;F621,'Outreach Log'!$L:$L,0)),"")</f>
        <v>Email</v>
      </c>
      <c r="M621" s="6" t="str">
        <f>IFERROR(HYPERLINK("#'Outreach Log'!A"&amp;MATCH(TEXT(K621,"YYYY-MM-DD")&amp;F621,'Outreach Log'!$L:$L,0),"→ View"),"—")</f>
        <v>→ View</v>
      </c>
      <c r="N621" s="6" t="str">
        <f>IFERROR(HYPERLINK("#Companies!A"&amp;MATCH(E621,Companies!$B:$B,0),"→ View"),"—")</f>
        <v>→ View</v>
      </c>
    </row>
    <row r="622" spans="1:14" ht="15" customHeight="1">
      <c r="A622" s="9">
        <f>IF(tblContacts[[#This Row],[First Name]]&lt;&gt;0,ROW()-1,"")</f>
        <v>621</v>
      </c>
      <c r="B622" s="50" t="s">
        <v>2040</v>
      </c>
      <c r="C622" s="50" t="s">
        <v>2041</v>
      </c>
      <c r="D622" s="10" t="s">
        <v>768</v>
      </c>
      <c r="E622" s="10" t="s">
        <v>2805</v>
      </c>
      <c r="F622" s="10" t="s">
        <v>2043</v>
      </c>
      <c r="G622" s="10"/>
      <c r="H622" s="10" t="s">
        <v>2824</v>
      </c>
      <c r="I622" s="10" t="s">
        <v>14</v>
      </c>
      <c r="J622" s="10"/>
      <c r="K622" s="7" cm="1">
        <f t="array" ref="K622">IFERROR(LOOKUP(2,1/('Outreach Log'!$C$2:$C$9998=F622),'Outreach Log'!$B$2:$B$9998),"")</f>
        <v>46098</v>
      </c>
      <c r="L622" s="5" t="str">
        <f>IFERROR(INDEX('Outreach Log'!$F:$F,MATCH(TEXT(K622,"YYYY-MM-DD")&amp;F622,'Outreach Log'!$L:$L,0)),"")</f>
        <v>Email</v>
      </c>
      <c r="M622" s="6" t="str">
        <f>IFERROR(HYPERLINK("#'Outreach Log'!A"&amp;MATCH(TEXT(K622,"YYYY-MM-DD")&amp;F622,'Outreach Log'!$L:$L,0),"→ View"),"—")</f>
        <v>→ View</v>
      </c>
      <c r="N622" s="6" t="str">
        <f>IFERROR(HYPERLINK("#Companies!A"&amp;MATCH(E622,Companies!$B:$B,0),"→ View"),"—")</f>
        <v>→ View</v>
      </c>
    </row>
    <row r="623" spans="1:14" ht="15" customHeight="1">
      <c r="A623" s="9">
        <f>IF(tblContacts[[#This Row],[First Name]]&lt;&gt;0,ROW()-1,"")</f>
        <v>622</v>
      </c>
      <c r="B623" s="50" t="s">
        <v>1278</v>
      </c>
      <c r="C623" s="50"/>
      <c r="D623" s="10"/>
      <c r="E623" s="10" t="s">
        <v>2164</v>
      </c>
      <c r="F623" s="10" t="s">
        <v>1854</v>
      </c>
      <c r="G623" s="10"/>
      <c r="H623" s="10" t="s">
        <v>2824</v>
      </c>
      <c r="I623" s="10" t="s">
        <v>14</v>
      </c>
      <c r="J623" s="10"/>
      <c r="K623" s="7" cm="1">
        <f t="array" ref="K623">IFERROR(LOOKUP(2,1/('Outreach Log'!$C$2:$C$9998=F623),'Outreach Log'!$B$2:$B$9998),"")</f>
        <v>46093</v>
      </c>
      <c r="L623" s="5" t="str">
        <f>IFERROR(INDEX('Outreach Log'!$F:$F,MATCH(TEXT(K623,"YYYY-MM-DD")&amp;F623,'Outreach Log'!$L:$L,0)),"")</f>
        <v>Email</v>
      </c>
      <c r="M623" s="6" t="str">
        <f>IFERROR(HYPERLINK("#'Outreach Log'!A"&amp;MATCH(TEXT(K623,"YYYY-MM-DD")&amp;F623,'Outreach Log'!$L:$L,0),"→ View"),"—")</f>
        <v>→ View</v>
      </c>
      <c r="N623" s="6" t="str">
        <f>IFERROR(HYPERLINK("#Companies!A"&amp;MATCH(E623,Companies!$B:$B,0),"→ View"),"—")</f>
        <v>→ View</v>
      </c>
    </row>
    <row r="624" spans="1:14" ht="15" customHeight="1">
      <c r="A624" s="9">
        <f>IF(tblContacts[[#This Row],[First Name]]&lt;&gt;0,ROW()-1,"")</f>
        <v>623</v>
      </c>
      <c r="B624" s="50" t="s">
        <v>1379</v>
      </c>
      <c r="C624" s="50" t="s">
        <v>1380</v>
      </c>
      <c r="D624" s="10" t="s">
        <v>768</v>
      </c>
      <c r="E624" s="10" t="s">
        <v>2168</v>
      </c>
      <c r="F624" s="10" t="s">
        <v>2092</v>
      </c>
      <c r="G624" s="10"/>
      <c r="H624" s="10" t="s">
        <v>2824</v>
      </c>
      <c r="I624" s="10" t="s">
        <v>14</v>
      </c>
      <c r="J624" s="10"/>
      <c r="K624" s="7" cm="1">
        <f t="array" ref="K624">IFERROR(LOOKUP(2,1/('Outreach Log'!$C$2:$C$9998=F624),'Outreach Log'!$B$2:$B$9998),"")</f>
        <v>46093</v>
      </c>
      <c r="L624" s="5" t="str">
        <f>IFERROR(INDEX('Outreach Log'!$F:$F,MATCH(TEXT(K624,"YYYY-MM-DD")&amp;F624,'Outreach Log'!$L:$L,0)),"")</f>
        <v>Email</v>
      </c>
      <c r="M624" s="6" t="str">
        <f>IFERROR(HYPERLINK("#'Outreach Log'!A"&amp;MATCH(TEXT(K624,"YYYY-MM-DD")&amp;F624,'Outreach Log'!$L:$L,0),"→ View"),"—")</f>
        <v>→ View</v>
      </c>
      <c r="N624" s="6" t="str">
        <f>IFERROR(HYPERLINK("#Companies!A"&amp;MATCH(E624,Companies!$B:$B,0),"→ View"),"—")</f>
        <v>→ View</v>
      </c>
    </row>
    <row r="625" spans="1:14" ht="15" customHeight="1">
      <c r="A625" s="9">
        <f>IF(tblContacts[[#This Row],[First Name]]&lt;&gt;0,ROW()-1,"")</f>
        <v>624</v>
      </c>
      <c r="B625" s="50" t="s">
        <v>3270</v>
      </c>
      <c r="C625" s="50" t="s">
        <v>3271</v>
      </c>
      <c r="D625" s="10" t="s">
        <v>3195</v>
      </c>
      <c r="E625" s="10" t="s">
        <v>3071</v>
      </c>
      <c r="F625" s="10" t="s">
        <v>3272</v>
      </c>
      <c r="G625" s="10" t="s">
        <v>3273</v>
      </c>
      <c r="H625" s="10" t="s">
        <v>2824</v>
      </c>
      <c r="I625" s="44" t="s">
        <v>3363</v>
      </c>
      <c r="K625" s="7" cm="1">
        <f t="array" ref="K625">IFERROR(LOOKUP(2,1/('Outreach Log'!$C$2:$C$9998=F625),'Outreach Log'!$B$2:$B$9998),"")</f>
        <v>46104</v>
      </c>
      <c r="L625" s="5" t="str">
        <f>IFERROR(INDEX('Outreach Log'!$F:$F,MATCH(TEXT(K625,"YYYY-MM-DD")&amp;F625,'Outreach Log'!$L:$L,0)),"")</f>
        <v>Email</v>
      </c>
      <c r="M625" s="6" t="str">
        <f>IFERROR(HYPERLINK("#'Outreach Log'!A"&amp;MATCH(TEXT(K625,"YYYY-MM-DD")&amp;F625,'Outreach Log'!$L:$L,0),"→ View"),"—")</f>
        <v>→ View</v>
      </c>
      <c r="N625" s="6" t="str">
        <f>IFERROR(HYPERLINK("#Companies!A"&amp;MATCH(E625,Companies!$B:$B,0),"→ View"),"—")</f>
        <v>→ View</v>
      </c>
    </row>
    <row r="626" spans="1:14" ht="15" customHeight="1">
      <c r="A626" s="9">
        <f>IF(tblContacts[[#This Row],[First Name]]&lt;&gt;0,ROW()-1,"")</f>
        <v>625</v>
      </c>
      <c r="B626" s="50" t="s">
        <v>2046</v>
      </c>
      <c r="C626" s="50" t="s">
        <v>1905</v>
      </c>
      <c r="D626" s="10" t="s">
        <v>862</v>
      </c>
      <c r="E626" s="10" t="s">
        <v>2146</v>
      </c>
      <c r="F626" s="10" t="s">
        <v>2047</v>
      </c>
      <c r="G626" s="10"/>
      <c r="H626" s="10" t="s">
        <v>2824</v>
      </c>
      <c r="I626" s="10" t="s">
        <v>14</v>
      </c>
      <c r="J626" s="10"/>
      <c r="K626" s="7" cm="1">
        <f t="array" ref="K626">IFERROR(LOOKUP(2,1/('Outreach Log'!$C$2:$C$9998=F626),'Outreach Log'!$B$2:$B$9998),"")</f>
        <v>46093</v>
      </c>
      <c r="L626" s="5" t="str">
        <f>IFERROR(INDEX('Outreach Log'!$F:$F,MATCH(TEXT(K626,"YYYY-MM-DD")&amp;F626,'Outreach Log'!$L:$L,0)),"")</f>
        <v>Email</v>
      </c>
      <c r="M626" s="6" t="str">
        <f>IFERROR(HYPERLINK("#'Outreach Log'!A"&amp;MATCH(TEXT(K626,"YYYY-MM-DD")&amp;F626,'Outreach Log'!$L:$L,0),"→ View"),"—")</f>
        <v>→ View</v>
      </c>
      <c r="N626" s="6" t="str">
        <f>IFERROR(HYPERLINK("#Companies!A"&amp;MATCH(E626,Companies!$B:$B,0),"→ View"),"—")</f>
        <v>→ View</v>
      </c>
    </row>
    <row r="627" spans="1:14" ht="15" customHeight="1">
      <c r="A627" s="9">
        <f>IF(tblContacts[[#This Row],[First Name]]&lt;&gt;0,ROW()-1,"")</f>
        <v>626</v>
      </c>
      <c r="B627" s="50" t="s">
        <v>1269</v>
      </c>
      <c r="C627" s="50" t="s">
        <v>2090</v>
      </c>
      <c r="D627" s="10" t="s">
        <v>768</v>
      </c>
      <c r="E627" s="10" t="s">
        <v>2167</v>
      </c>
      <c r="F627" s="10" t="s">
        <v>2091</v>
      </c>
      <c r="G627" s="10"/>
      <c r="H627" s="10" t="s">
        <v>2824</v>
      </c>
      <c r="I627" s="10" t="s">
        <v>14</v>
      </c>
      <c r="J627" s="10"/>
      <c r="K627" s="7" cm="1">
        <f t="array" ref="K627">IFERROR(LOOKUP(2,1/('Outreach Log'!$C$2:$C$9998=F627),'Outreach Log'!$B$2:$B$9998),"")</f>
        <v>46093</v>
      </c>
      <c r="L627" s="5" t="str">
        <f>IFERROR(INDEX('Outreach Log'!$F:$F,MATCH(TEXT(K627,"YYYY-MM-DD")&amp;F627,'Outreach Log'!$L:$L,0)),"")</f>
        <v>Email</v>
      </c>
      <c r="M627" s="6" t="str">
        <f>IFERROR(HYPERLINK("#'Outreach Log'!A"&amp;MATCH(TEXT(K627,"YYYY-MM-DD")&amp;F627,'Outreach Log'!$L:$L,0),"→ View"),"—")</f>
        <v>→ View</v>
      </c>
      <c r="N627" s="6" t="str">
        <f>IFERROR(HYPERLINK("#Companies!A"&amp;MATCH(E627,Companies!$B:$B,0),"→ View"),"—")</f>
        <v>→ View</v>
      </c>
    </row>
    <row r="628" spans="1:14" ht="15" customHeight="1">
      <c r="A628" s="9">
        <f>IF(tblContacts[[#This Row],[First Name]]&lt;&gt;0,ROW()-1,"")</f>
        <v>627</v>
      </c>
      <c r="B628" s="56" t="s">
        <v>1269</v>
      </c>
      <c r="C628" s="56" t="s">
        <v>3313</v>
      </c>
      <c r="D628" s="10" t="s">
        <v>3314</v>
      </c>
      <c r="E628" s="10" t="s">
        <v>3122</v>
      </c>
      <c r="F628" s="10" t="s">
        <v>3315</v>
      </c>
      <c r="G628" s="10"/>
      <c r="H628" s="10" t="s">
        <v>2824</v>
      </c>
      <c r="I628" s="44" t="s">
        <v>3363</v>
      </c>
      <c r="K628" s="7" cm="1">
        <f t="array" ref="K628">IFERROR(LOOKUP(2,1/('Outreach Log'!$C$2:$C$9998=F628),'Outreach Log'!$B$2:$B$9998),"")</f>
        <v>46104</v>
      </c>
      <c r="L628" s="5" t="str">
        <f>IFERROR(INDEX('Outreach Log'!$F:$F,MATCH(TEXT(K628,"YYYY-MM-DD")&amp;F628,'Outreach Log'!$L:$L,0)),"")</f>
        <v>Email</v>
      </c>
      <c r="M628" s="6" t="str">
        <f>IFERROR(HYPERLINK("#'Outreach Log'!A"&amp;MATCH(TEXT(K628,"YYYY-MM-DD")&amp;F628,'Outreach Log'!$L:$L,0),"→ View"),"—")</f>
        <v>→ View</v>
      </c>
      <c r="N628" s="6" t="str">
        <f>IFERROR(HYPERLINK("#Companies!A"&amp;MATCH(E628,Companies!$B:$B,0),"→ View"),"—")</f>
        <v>→ View</v>
      </c>
    </row>
    <row r="629" spans="1:14" ht="15" customHeight="1">
      <c r="A629" s="9">
        <f>IF(tblContacts[[#This Row],[First Name]]&lt;&gt;0,ROW()-1,"")</f>
        <v>628</v>
      </c>
      <c r="B629" s="50" t="s">
        <v>1402</v>
      </c>
      <c r="C629" s="50" t="s">
        <v>1104</v>
      </c>
      <c r="D629" s="10"/>
      <c r="E629" s="10" t="s">
        <v>2111</v>
      </c>
      <c r="F629" s="10" t="s">
        <v>1875</v>
      </c>
      <c r="G629" s="10"/>
      <c r="H629" s="10" t="s">
        <v>2824</v>
      </c>
      <c r="I629" s="10" t="s">
        <v>14</v>
      </c>
      <c r="J629" s="10"/>
      <c r="K629" s="7" cm="1">
        <f t="array" ref="K629">IFERROR(LOOKUP(2,1/('Outreach Log'!$C$2:$C$9998=F629),'Outreach Log'!$B$2:$B$9998),"")</f>
        <v>46093</v>
      </c>
      <c r="L629" s="5" t="str">
        <f>IFERROR(INDEX('Outreach Log'!$F:$F,MATCH(TEXT(K629,"YYYY-MM-DD")&amp;F629,'Outreach Log'!$L:$L,0)),"")</f>
        <v>Email</v>
      </c>
      <c r="M629" s="6" t="str">
        <f>IFERROR(HYPERLINK("#'Outreach Log'!A"&amp;MATCH(TEXT(K629,"YYYY-MM-DD")&amp;F629,'Outreach Log'!$L:$L,0),"→ View"),"—")</f>
        <v>→ View</v>
      </c>
      <c r="N629" s="6" t="str">
        <f>IFERROR(HYPERLINK("#Companies!A"&amp;MATCH(E629,Companies!$B:$B,0),"→ View"),"—")</f>
        <v>→ View</v>
      </c>
    </row>
    <row r="630" spans="1:14" ht="15" customHeight="1">
      <c r="A630" s="9">
        <f>IF(tblContacts[[#This Row],[First Name]]&lt;&gt;0,ROW()-1,"")</f>
        <v>629</v>
      </c>
      <c r="B630" s="50" t="s">
        <v>1275</v>
      </c>
      <c r="C630" s="50" t="s">
        <v>1119</v>
      </c>
      <c r="D630" s="10" t="s">
        <v>768</v>
      </c>
      <c r="E630" s="10" t="s">
        <v>2110</v>
      </c>
      <c r="F630" s="10" t="s">
        <v>1964</v>
      </c>
      <c r="G630" s="10"/>
      <c r="H630" s="10" t="s">
        <v>2824</v>
      </c>
      <c r="I630" s="10" t="s">
        <v>14</v>
      </c>
      <c r="J630" s="10"/>
      <c r="K630" s="7" cm="1">
        <f t="array" ref="K630">IFERROR(LOOKUP(2,1/('Outreach Log'!$C$2:$C$9998=F630),'Outreach Log'!$B$2:$B$9998),"")</f>
        <v>46093</v>
      </c>
      <c r="L630" s="5" t="str">
        <f>IFERROR(INDEX('Outreach Log'!$F:$F,MATCH(TEXT(K630,"YYYY-MM-DD")&amp;F630,'Outreach Log'!$L:$L,0)),"")</f>
        <v>Email</v>
      </c>
      <c r="M630" s="6" t="str">
        <f>IFERROR(HYPERLINK("#'Outreach Log'!A"&amp;MATCH(TEXT(K630,"YYYY-MM-DD")&amp;F630,'Outreach Log'!$L:$L,0),"→ View"),"—")</f>
        <v>→ View</v>
      </c>
      <c r="N630" s="6" t="str">
        <f>IFERROR(HYPERLINK("#Companies!A"&amp;MATCH(E630,Companies!$B:$B,0),"→ View"),"—")</f>
        <v>→ View</v>
      </c>
    </row>
    <row r="631" spans="1:14" ht="15" customHeight="1">
      <c r="A631" s="9">
        <f>IF(tblContacts[[#This Row],[First Name]]&lt;&gt;0,ROW()-1,"")</f>
        <v>630</v>
      </c>
      <c r="B631" s="50" t="s">
        <v>3340</v>
      </c>
      <c r="C631" s="50" t="s">
        <v>3341</v>
      </c>
      <c r="D631" s="10" t="s">
        <v>3342</v>
      </c>
      <c r="E631" s="10" t="s">
        <v>3158</v>
      </c>
      <c r="F631" s="10" t="s">
        <v>3343</v>
      </c>
      <c r="G631" s="10"/>
      <c r="H631" s="10" t="s">
        <v>2824</v>
      </c>
      <c r="I631" s="44" t="s">
        <v>3363</v>
      </c>
      <c r="K631" s="7" cm="1">
        <f t="array" ref="K631">IFERROR(LOOKUP(2,1/('Outreach Log'!$C$2:$C$9998=F631),'Outreach Log'!$B$2:$B$9998),"")</f>
        <v>46104</v>
      </c>
      <c r="L631" s="5" t="str">
        <f>IFERROR(INDEX('Outreach Log'!$F:$F,MATCH(TEXT(K631,"YYYY-MM-DD")&amp;F631,'Outreach Log'!$L:$L,0)),"")</f>
        <v>Email</v>
      </c>
      <c r="M631" s="6" t="str">
        <f>IFERROR(HYPERLINK("#'Outreach Log'!A"&amp;MATCH(TEXT(K631,"YYYY-MM-DD")&amp;F631,'Outreach Log'!$L:$L,0),"→ View"),"—")</f>
        <v>→ View</v>
      </c>
      <c r="N631" s="6" t="str">
        <f>IFERROR(HYPERLINK("#Companies!A"&amp;MATCH(E631,Companies!$B:$B,0),"→ View"),"—")</f>
        <v>→ View</v>
      </c>
    </row>
    <row r="632" spans="1:14" ht="15" customHeight="1">
      <c r="A632" s="9">
        <f>IF(tblContacts[[#This Row],[First Name]]&lt;&gt;0,ROW()-1,"")</f>
        <v>631</v>
      </c>
      <c r="B632" s="50" t="s">
        <v>1878</v>
      </c>
      <c r="C632" s="50" t="s">
        <v>1879</v>
      </c>
      <c r="D632" s="10"/>
      <c r="E632" s="10" t="s">
        <v>2146</v>
      </c>
      <c r="F632" s="10" t="s">
        <v>1880</v>
      </c>
      <c r="G632" s="10"/>
      <c r="H632" s="10" t="s">
        <v>2824</v>
      </c>
      <c r="I632" s="10" t="s">
        <v>14</v>
      </c>
      <c r="J632" s="10"/>
      <c r="K632" s="7" cm="1">
        <f t="array" ref="K632">IFERROR(LOOKUP(2,1/('Outreach Log'!$C$2:$C$9998=F632),'Outreach Log'!$B$2:$B$9998),"")</f>
        <v>46093</v>
      </c>
      <c r="L632" s="5" t="str">
        <f>IFERROR(INDEX('Outreach Log'!$F:$F,MATCH(TEXT(K632,"YYYY-MM-DD")&amp;F632,'Outreach Log'!$L:$L,0)),"")</f>
        <v>Email</v>
      </c>
      <c r="M632" s="6" t="str">
        <f>IFERROR(HYPERLINK("#'Outreach Log'!A"&amp;MATCH(TEXT(K632,"YYYY-MM-DD")&amp;F632,'Outreach Log'!$L:$L,0),"→ View"),"—")</f>
        <v>→ View</v>
      </c>
      <c r="N632" s="6" t="str">
        <f>IFERROR(HYPERLINK("#Companies!A"&amp;MATCH(E632,Companies!$B:$B,0),"→ View"),"—")</f>
        <v>→ View</v>
      </c>
    </row>
    <row r="633" spans="1:14" ht="15" customHeight="1">
      <c r="A633" s="9">
        <f>IF(tblContacts[[#This Row],[First Name]]&lt;&gt;0,ROW()-1,"")</f>
        <v>632</v>
      </c>
      <c r="B633" s="50" t="s">
        <v>3331</v>
      </c>
      <c r="C633" s="50" t="s">
        <v>3332</v>
      </c>
      <c r="D633" s="10" t="s">
        <v>3195</v>
      </c>
      <c r="E633" s="10" t="s">
        <v>3148</v>
      </c>
      <c r="F633" s="10" t="s">
        <v>3333</v>
      </c>
      <c r="G633" s="10" t="s">
        <v>3334</v>
      </c>
      <c r="H633" s="10" t="s">
        <v>2824</v>
      </c>
      <c r="I633" s="44" t="s">
        <v>3363</v>
      </c>
      <c r="K633" s="7" cm="1">
        <f t="array" ref="K633">IFERROR(LOOKUP(2,1/('Outreach Log'!$C$2:$C$9998=F633),'Outreach Log'!$B$2:$B$9998),"")</f>
        <v>46104</v>
      </c>
      <c r="L633" s="5" t="str">
        <f>IFERROR(INDEX('Outreach Log'!$F:$F,MATCH(TEXT(K633,"YYYY-MM-DD")&amp;F633,'Outreach Log'!$L:$L,0)),"")</f>
        <v>Email</v>
      </c>
      <c r="M633" s="6" t="str">
        <f>IFERROR(HYPERLINK("#'Outreach Log'!A"&amp;MATCH(TEXT(K633,"YYYY-MM-DD")&amp;F633,'Outreach Log'!$L:$L,0),"→ View"),"—")</f>
        <v>→ View</v>
      </c>
      <c r="N633" s="6" t="str">
        <f>IFERROR(HYPERLINK("#Companies!A"&amp;MATCH(E633,Companies!$B:$B,0),"→ View"),"—")</f>
        <v>→ View</v>
      </c>
    </row>
    <row r="634" spans="1:14" ht="15" customHeight="1">
      <c r="A634" s="9">
        <f>IF(tblContacts[[#This Row],[First Name]]&lt;&gt;0,ROW()-1,"")</f>
        <v>633</v>
      </c>
      <c r="B634" s="50" t="s">
        <v>1886</v>
      </c>
      <c r="C634" s="50" t="s">
        <v>1887</v>
      </c>
      <c r="D634" s="10"/>
      <c r="E634" s="10" t="s">
        <v>681</v>
      </c>
      <c r="F634" s="10" t="s">
        <v>1888</v>
      </c>
      <c r="G634" s="10"/>
      <c r="H634" s="10" t="s">
        <v>2824</v>
      </c>
      <c r="I634" s="10" t="s">
        <v>2171</v>
      </c>
      <c r="J634" s="10" t="s">
        <v>3373</v>
      </c>
      <c r="K634" s="7" cm="1">
        <f t="array" ref="K634">IFERROR(LOOKUP(2,1/('Outreach Log'!$C$2:$C$9998=F634),'Outreach Log'!$B$2:$B$9998),"")</f>
        <v>46104</v>
      </c>
      <c r="L634" s="5" t="str">
        <f>IFERROR(INDEX('Outreach Log'!$F:$F,MATCH(TEXT(K634,"YYYY-MM-DD")&amp;F634,'Outreach Log'!$L:$L,0)),"")</f>
        <v>Email</v>
      </c>
      <c r="M634" s="6" t="str">
        <f>IFERROR(HYPERLINK("#'Outreach Log'!A"&amp;MATCH(TEXT(K634,"YYYY-MM-DD")&amp;F634,'Outreach Log'!$L:$L,0),"→ View"),"—")</f>
        <v>→ View</v>
      </c>
      <c r="N634" s="6" t="str">
        <f>IFERROR(HYPERLINK("#Companies!A"&amp;MATCH(E634,Companies!$B:$B,0),"→ View"),"—")</f>
        <v>→ View</v>
      </c>
    </row>
    <row r="635" spans="1:14" ht="15" customHeight="1">
      <c r="A635" s="9">
        <f>IF(tblContacts[[#This Row],[First Name]]&lt;&gt;0,ROW()-1,"")</f>
        <v>634</v>
      </c>
      <c r="B635" s="50" t="s">
        <v>1258</v>
      </c>
      <c r="C635" s="50" t="s">
        <v>1484</v>
      </c>
      <c r="D635" s="10" t="s">
        <v>862</v>
      </c>
      <c r="E635" s="10" t="s">
        <v>484</v>
      </c>
      <c r="F635" s="10" t="s">
        <v>2082</v>
      </c>
      <c r="G635" s="10"/>
      <c r="H635" s="10" t="s">
        <v>2824</v>
      </c>
      <c r="I635" s="10" t="s">
        <v>14</v>
      </c>
      <c r="J635" s="10"/>
      <c r="K635" s="7" cm="1">
        <f t="array" ref="K635">IFERROR(LOOKUP(2,1/('Outreach Log'!$C$2:$C$9998=F635),'Outreach Log'!$B$2:$B$9998),"")</f>
        <v>46093</v>
      </c>
      <c r="L635" s="5" t="str">
        <f>IFERROR(INDEX('Outreach Log'!$F:$F,MATCH(TEXT(K635,"YYYY-MM-DD")&amp;F635,'Outreach Log'!$L:$L,0)),"")</f>
        <v>Email</v>
      </c>
      <c r="M635" s="6" t="str">
        <f>IFERROR(HYPERLINK("#'Outreach Log'!A"&amp;MATCH(TEXT(K635,"YYYY-MM-DD")&amp;F635,'Outreach Log'!$L:$L,0),"→ View"),"—")</f>
        <v>→ View</v>
      </c>
      <c r="N635" s="6" t="str">
        <f>IFERROR(HYPERLINK("#Companies!A"&amp;MATCH(E635,Companies!$B:$B,0),"→ View"),"—")</f>
        <v>→ View</v>
      </c>
    </row>
    <row r="636" spans="1:14" ht="15" customHeight="1">
      <c r="A636" s="9">
        <f>IF(tblContacts[[#This Row],[First Name]]&lt;&gt;0,ROW()-1,"")</f>
        <v>635</v>
      </c>
      <c r="B636" s="50" t="s">
        <v>3258</v>
      </c>
      <c r="C636" s="50" t="s">
        <v>3259</v>
      </c>
      <c r="D636" s="10" t="s">
        <v>862</v>
      </c>
      <c r="E636" s="10" t="s">
        <v>3056</v>
      </c>
      <c r="F636" s="10" t="s">
        <v>3260</v>
      </c>
      <c r="G636" s="10" t="s">
        <v>3255</v>
      </c>
      <c r="H636" s="10" t="s">
        <v>2824</v>
      </c>
      <c r="I636" s="44" t="s">
        <v>3363</v>
      </c>
      <c r="K636" s="7" cm="1">
        <f t="array" ref="K636">IFERROR(LOOKUP(2,1/('Outreach Log'!$C$2:$C$9998=F636),'Outreach Log'!$B$2:$B$9998),"")</f>
        <v>46104</v>
      </c>
      <c r="L636" s="5" t="str">
        <f>IFERROR(INDEX('Outreach Log'!$F:$F,MATCH(TEXT(K636,"YYYY-MM-DD")&amp;F636,'Outreach Log'!$L:$L,0)),"")</f>
        <v>Email</v>
      </c>
      <c r="M636" s="6" t="str">
        <f>IFERROR(HYPERLINK("#'Outreach Log'!A"&amp;MATCH(TEXT(K636,"YYYY-MM-DD")&amp;F636,'Outreach Log'!$L:$L,0),"→ View"),"—")</f>
        <v>→ View</v>
      </c>
      <c r="N636" s="6" t="str">
        <f>IFERROR(HYPERLINK("#Companies!A"&amp;MATCH(E636,Companies!$B:$B,0),"→ View"),"—")</f>
        <v>→ View</v>
      </c>
    </row>
    <row r="637" spans="1:14" ht="15" customHeight="1">
      <c r="A637" s="9">
        <f>IF(tblContacts[[#This Row],[First Name]]&lt;&gt;0,ROW()-1,"")</f>
        <v>636</v>
      </c>
      <c r="B637" s="50" t="s">
        <v>1893</v>
      </c>
      <c r="C637" s="50" t="s">
        <v>2227</v>
      </c>
      <c r="D637" s="10" t="s">
        <v>768</v>
      </c>
      <c r="E637" s="10" t="s">
        <v>2164</v>
      </c>
      <c r="F637" s="10" t="s">
        <v>2086</v>
      </c>
      <c r="G637" s="10"/>
      <c r="H637" s="10" t="s">
        <v>2824</v>
      </c>
      <c r="I637" s="10" t="s">
        <v>14</v>
      </c>
      <c r="J637" s="10"/>
      <c r="K637" s="7" cm="1">
        <f t="array" ref="K637">IFERROR(LOOKUP(2,1/('Outreach Log'!$C$2:$C$9998=F637),'Outreach Log'!$B$2:$B$9998),"")</f>
        <v>46093</v>
      </c>
      <c r="L637" s="5" t="str">
        <f>IFERROR(INDEX('Outreach Log'!$F:$F,MATCH(TEXT(K637,"YYYY-MM-DD")&amp;F637,'Outreach Log'!$L:$L,0)),"")</f>
        <v>Email</v>
      </c>
      <c r="M637" s="6" t="str">
        <f>IFERROR(HYPERLINK("#'Outreach Log'!A"&amp;MATCH(TEXT(K637,"YYYY-MM-DD")&amp;F637,'Outreach Log'!$L:$L,0),"→ View"),"—")</f>
        <v>→ View</v>
      </c>
      <c r="N637" s="6" t="str">
        <f>IFERROR(HYPERLINK("#Companies!A"&amp;MATCH(E637,Companies!$B:$B,0),"→ View"),"—")</f>
        <v>→ View</v>
      </c>
    </row>
    <row r="638" spans="1:14" ht="15" customHeight="1">
      <c r="A638" s="9">
        <f>IF(tblContacts[[#This Row],[First Name]]&lt;&gt;0,ROW()-1,"")</f>
        <v>637</v>
      </c>
      <c r="B638" s="50" t="s">
        <v>1893</v>
      </c>
      <c r="C638" s="50" t="s">
        <v>1894</v>
      </c>
      <c r="D638" s="10"/>
      <c r="E638" s="10" t="s">
        <v>2141</v>
      </c>
      <c r="F638" s="10" t="s">
        <v>1895</v>
      </c>
      <c r="G638" s="10"/>
      <c r="H638" s="10" t="s">
        <v>2824</v>
      </c>
      <c r="I638" s="10" t="s">
        <v>14</v>
      </c>
      <c r="J638" s="10"/>
      <c r="K638" s="7" cm="1">
        <f t="array" ref="K638">IFERROR(LOOKUP(2,1/('Outreach Log'!$C$2:$C$9998=F638),'Outreach Log'!$B$2:$B$9998),"")</f>
        <v>46093</v>
      </c>
      <c r="L638" s="5" t="str">
        <f>IFERROR(INDEX('Outreach Log'!$F:$F,MATCH(TEXT(K638,"YYYY-MM-DD")&amp;F638,'Outreach Log'!$L:$L,0)),"")</f>
        <v>Email</v>
      </c>
      <c r="M638" s="6" t="str">
        <f>IFERROR(HYPERLINK("#'Outreach Log'!A"&amp;MATCH(TEXT(K638,"YYYY-MM-DD")&amp;F638,'Outreach Log'!$L:$L,0),"→ View"),"—")</f>
        <v>→ View</v>
      </c>
      <c r="N638" s="6" t="str">
        <f>IFERROR(HYPERLINK("#Companies!A"&amp;MATCH(E638,Companies!$B:$B,0),"→ View"),"—")</f>
        <v>→ View</v>
      </c>
    </row>
    <row r="639" spans="1:14" ht="15" customHeight="1">
      <c r="A639" s="9">
        <f>IF(tblContacts[[#This Row],[First Name]]&lt;&gt;0,ROW()-1,"")</f>
        <v>638</v>
      </c>
      <c r="B639" s="50" t="s">
        <v>1893</v>
      </c>
      <c r="C639" s="50" t="s">
        <v>3311</v>
      </c>
      <c r="D639" s="10" t="s">
        <v>768</v>
      </c>
      <c r="E639" s="10" t="s">
        <v>3122</v>
      </c>
      <c r="F639" s="10" t="s">
        <v>3312</v>
      </c>
      <c r="G639" s="10"/>
      <c r="H639" s="10" t="s">
        <v>2824</v>
      </c>
      <c r="I639" s="44" t="s">
        <v>3363</v>
      </c>
      <c r="K639" s="7" cm="1">
        <f t="array" ref="K639">IFERROR(LOOKUP(2,1/('Outreach Log'!$C$2:$C$9998=F639),'Outreach Log'!$B$2:$B$9998),"")</f>
        <v>46104</v>
      </c>
      <c r="L639" s="5" t="str">
        <f>IFERROR(INDEX('Outreach Log'!$F:$F,MATCH(TEXT(K639,"YYYY-MM-DD")&amp;F639,'Outreach Log'!$L:$L,0)),"")</f>
        <v>Email</v>
      </c>
      <c r="M639" s="6" t="str">
        <f>IFERROR(HYPERLINK("#'Outreach Log'!A"&amp;MATCH(TEXT(K639,"YYYY-MM-DD")&amp;F639,'Outreach Log'!$L:$L,0),"→ View"),"—")</f>
        <v>→ View</v>
      </c>
      <c r="N639" s="6" t="str">
        <f>IFERROR(HYPERLINK("#Companies!A"&amp;MATCH(E639,Companies!$B:$B,0),"→ View"),"—")</f>
        <v>→ View</v>
      </c>
    </row>
    <row r="640" spans="1:14" ht="15" customHeight="1">
      <c r="A640" s="9">
        <f>IF(tblContacts[[#This Row],[First Name]]&lt;&gt;0,ROW()-1,"")</f>
        <v>639</v>
      </c>
      <c r="B640" s="50" t="s">
        <v>1306</v>
      </c>
      <c r="C640" s="50" t="s">
        <v>728</v>
      </c>
      <c r="D640" s="10"/>
      <c r="E640" s="10" t="s">
        <v>2159</v>
      </c>
      <c r="F640" s="10" t="s">
        <v>1907</v>
      </c>
      <c r="G640" s="10"/>
      <c r="H640" s="10" t="s">
        <v>2824</v>
      </c>
      <c r="I640" s="10" t="s">
        <v>14</v>
      </c>
      <c r="J640" s="10"/>
      <c r="K640" s="7" cm="1">
        <f t="array" ref="K640">IFERROR(LOOKUP(2,1/('Outreach Log'!$C$2:$C$9998=F640),'Outreach Log'!$B$2:$B$9998),"")</f>
        <v>46093</v>
      </c>
      <c r="L640" s="5" t="str">
        <f>IFERROR(INDEX('Outreach Log'!$F:$F,MATCH(TEXT(K640,"YYYY-MM-DD")&amp;F640,'Outreach Log'!$L:$L,0)),"")</f>
        <v>Email</v>
      </c>
      <c r="M640" s="6" t="str">
        <f>IFERROR(HYPERLINK("#'Outreach Log'!A"&amp;MATCH(TEXT(K640,"YYYY-MM-DD")&amp;F640,'Outreach Log'!$L:$L,0),"→ View"),"—")</f>
        <v>→ View</v>
      </c>
      <c r="N640" s="6" t="str">
        <f>IFERROR(HYPERLINK("#Companies!A"&amp;MATCH(E640,Companies!$B:$B,0),"→ View"),"—")</f>
        <v>→ View</v>
      </c>
    </row>
    <row r="641" spans="1:14" ht="15" customHeight="1">
      <c r="A641" s="9">
        <f>IF(tblContacts[[#This Row],[First Name]]&lt;&gt;0,ROW()-1,"")</f>
        <v>640</v>
      </c>
      <c r="B641" s="50" t="s">
        <v>872</v>
      </c>
      <c r="C641" s="50" t="s">
        <v>1962</v>
      </c>
      <c r="D641" s="10" t="s">
        <v>862</v>
      </c>
      <c r="E641" s="10" t="s">
        <v>2109</v>
      </c>
      <c r="F641" s="10" t="s">
        <v>1963</v>
      </c>
      <c r="G641" s="10"/>
      <c r="H641" s="10" t="s">
        <v>2824</v>
      </c>
      <c r="I641" s="10" t="s">
        <v>14</v>
      </c>
      <c r="J641" s="10"/>
      <c r="K641" s="7" cm="1">
        <f t="array" ref="K641">IFERROR(LOOKUP(2,1/('Outreach Log'!$C$2:$C$9998=F641),'Outreach Log'!$B$2:$B$9998),"")</f>
        <v>46093</v>
      </c>
      <c r="L641" s="5" t="str">
        <f>IFERROR(INDEX('Outreach Log'!$F:$F,MATCH(TEXT(K641,"YYYY-MM-DD")&amp;F641,'Outreach Log'!$L:$L,0)),"")</f>
        <v>Email</v>
      </c>
      <c r="M641" s="6" t="str">
        <f>IFERROR(HYPERLINK("#'Outreach Log'!A"&amp;MATCH(TEXT(K641,"YYYY-MM-DD")&amp;F641,'Outreach Log'!$L:$L,0),"→ View"),"—")</f>
        <v>→ View</v>
      </c>
      <c r="N641" s="6" t="str">
        <f>IFERROR(HYPERLINK("#Companies!A"&amp;MATCH(E641,Companies!$B:$B,0),"→ View"),"—")</f>
        <v>→ View</v>
      </c>
    </row>
    <row r="642" spans="1:14" ht="15" customHeight="1">
      <c r="A642" s="9">
        <f>IF(tblContacts[[#This Row],[First Name]]&lt;&gt;0,ROW()-1,"")</f>
        <v>641</v>
      </c>
      <c r="B642" s="50" t="s">
        <v>3347</v>
      </c>
      <c r="C642" s="50" t="s">
        <v>3348</v>
      </c>
      <c r="D642" s="10" t="s">
        <v>3349</v>
      </c>
      <c r="E642" s="10" t="s">
        <v>3158</v>
      </c>
      <c r="F642" s="10" t="s">
        <v>3350</v>
      </c>
      <c r="G642" s="10"/>
      <c r="H642" s="10" t="s">
        <v>2824</v>
      </c>
      <c r="I642" s="44" t="s">
        <v>3363</v>
      </c>
      <c r="K642" s="7" cm="1">
        <f t="array" ref="K642">IFERROR(LOOKUP(2,1/('Outreach Log'!$C$2:$C$9998=F642),'Outreach Log'!$B$2:$B$9998),"")</f>
        <v>46104</v>
      </c>
      <c r="L642" s="5" t="str">
        <f>IFERROR(INDEX('Outreach Log'!$F:$F,MATCH(TEXT(K642,"YYYY-MM-DD")&amp;F642,'Outreach Log'!$L:$L,0)),"")</f>
        <v>Email</v>
      </c>
      <c r="M642" s="6" t="str">
        <f>IFERROR(HYPERLINK("#'Outreach Log'!A"&amp;MATCH(TEXT(K642,"YYYY-MM-DD")&amp;F642,'Outreach Log'!$L:$L,0),"→ View"),"—")</f>
        <v>→ View</v>
      </c>
      <c r="N642" s="6" t="str">
        <f>IFERROR(HYPERLINK("#Companies!A"&amp;MATCH(E642,Companies!$B:$B,0),"→ View"),"—")</f>
        <v>→ View</v>
      </c>
    </row>
    <row r="643" spans="1:14" ht="15" customHeight="1">
      <c r="A643" s="9">
        <f>IF(tblContacts[[#This Row],[First Name]]&lt;&gt;0,ROW()-1,"")</f>
        <v>642</v>
      </c>
      <c r="B643" s="50" t="s">
        <v>1937</v>
      </c>
      <c r="C643" s="50" t="s">
        <v>1938</v>
      </c>
      <c r="D643" s="10" t="s">
        <v>3190</v>
      </c>
      <c r="E643" s="10" t="s">
        <v>2999</v>
      </c>
      <c r="F643" s="10" t="s">
        <v>1939</v>
      </c>
      <c r="G643" s="10" t="s">
        <v>3191</v>
      </c>
      <c r="H643" s="10" t="s">
        <v>2824</v>
      </c>
      <c r="I643" s="44" t="s">
        <v>3363</v>
      </c>
      <c r="K643" s="7" cm="1">
        <f t="array" ref="K643">IFERROR(LOOKUP(2,1/('Outreach Log'!$C$2:$C$9998=F643),'Outreach Log'!$B$2:$B$9998),"")</f>
        <v>46104</v>
      </c>
      <c r="L643" s="5" t="str">
        <f>IFERROR(INDEX('Outreach Log'!$F:$F,MATCH(TEXT(K643,"YYYY-MM-DD")&amp;F643,'Outreach Log'!$L:$L,0)),"")</f>
        <v>Email</v>
      </c>
      <c r="M643" s="6" t="str">
        <f>IFERROR(HYPERLINK("#'Outreach Log'!A"&amp;MATCH(TEXT(K643,"YYYY-MM-DD")&amp;F643,'Outreach Log'!$L:$L,0),"→ View"),"—")</f>
        <v>→ View</v>
      </c>
      <c r="N643" s="6" t="str">
        <f>IFERROR(HYPERLINK("#Companies!A"&amp;MATCH(E643,Companies!$B:$B,0),"→ View"),"—")</f>
        <v>→ View</v>
      </c>
    </row>
    <row r="644" spans="1:14" ht="15" customHeight="1">
      <c r="A644" s="9">
        <f>IF(tblContacts[[#This Row],[First Name]]&lt;&gt;0,ROW()-1,"")</f>
        <v>643</v>
      </c>
      <c r="B644" s="56" t="s">
        <v>1937</v>
      </c>
      <c r="C644" s="56" t="s">
        <v>3305</v>
      </c>
      <c r="D644" s="10" t="s">
        <v>3306</v>
      </c>
      <c r="E644" s="10" t="s">
        <v>3122</v>
      </c>
      <c r="F644" s="10" t="s">
        <v>3307</v>
      </c>
      <c r="G644" s="10"/>
      <c r="H644" s="10" t="s">
        <v>2824</v>
      </c>
      <c r="I644" s="44" t="s">
        <v>3363</v>
      </c>
      <c r="K644" s="7" cm="1">
        <f t="array" ref="K644">IFERROR(LOOKUP(2,1/('Outreach Log'!$C$2:$C$9998=F644),'Outreach Log'!$B$2:$B$9998),"")</f>
        <v>46104</v>
      </c>
      <c r="L644" s="5" t="str">
        <f>IFERROR(INDEX('Outreach Log'!$F:$F,MATCH(TEXT(K644,"YYYY-MM-DD")&amp;F644,'Outreach Log'!$L:$L,0)),"")</f>
        <v>Email</v>
      </c>
      <c r="M644" s="6" t="str">
        <f>IFERROR(HYPERLINK("#'Outreach Log'!A"&amp;MATCH(TEXT(K644,"YYYY-MM-DD")&amp;F644,'Outreach Log'!$L:$L,0),"→ View"),"—")</f>
        <v>→ View</v>
      </c>
      <c r="N644" s="6" t="str">
        <f>IFERROR(HYPERLINK("#Companies!A"&amp;MATCH(E644,Companies!$B:$B,0),"→ View"),"—")</f>
        <v>→ View</v>
      </c>
    </row>
    <row r="645" spans="1:14" ht="15" customHeight="1">
      <c r="A645" s="9">
        <f>IF(tblContacts[[#This Row],[First Name]]&lt;&gt;0,ROW()-1,"")</f>
        <v>644</v>
      </c>
      <c r="B645" s="50" t="s">
        <v>1942</v>
      </c>
      <c r="C645" s="50" t="s">
        <v>2000</v>
      </c>
      <c r="D645" s="10" t="s">
        <v>768</v>
      </c>
      <c r="E645" s="10" t="s">
        <v>348</v>
      </c>
      <c r="F645" s="10" t="s">
        <v>2001</v>
      </c>
      <c r="G645" s="10"/>
      <c r="H645" s="10" t="s">
        <v>2824</v>
      </c>
      <c r="I645" s="10" t="s">
        <v>14</v>
      </c>
      <c r="J645" s="10"/>
      <c r="K645" s="7" cm="1">
        <f t="array" ref="K645">IFERROR(LOOKUP(2,1/('Outreach Log'!$C$2:$C$9998=F645),'Outreach Log'!$B$2:$B$9998),"")</f>
        <v>46093</v>
      </c>
      <c r="L645" s="5" t="str">
        <f>IFERROR(INDEX('Outreach Log'!$F:$F,MATCH(TEXT(K645,"YYYY-MM-DD")&amp;F645,'Outreach Log'!$L:$L,0)),"")</f>
        <v>Email</v>
      </c>
      <c r="M645" s="6" t="str">
        <f>IFERROR(HYPERLINK("#'Outreach Log'!A"&amp;MATCH(TEXT(K645,"YYYY-MM-DD")&amp;F645,'Outreach Log'!$L:$L,0),"→ View"),"—")</f>
        <v>→ View</v>
      </c>
      <c r="N645" s="6" t="str">
        <f>IFERROR(HYPERLINK("#Companies!A"&amp;MATCH(E645,Companies!$B:$B,0),"→ View"),"—")</f>
        <v>→ View</v>
      </c>
    </row>
    <row r="646" spans="1:14" ht="15" customHeight="1">
      <c r="A646" s="9" t="str">
        <f>IF(tblContacts[[#This Row],[First Name]]&lt;&gt;0,ROW()-1,"")</f>
        <v/>
      </c>
      <c r="B646" s="50"/>
      <c r="C646" s="50"/>
      <c r="D646" s="10"/>
      <c r="E646" s="10" t="s">
        <v>141</v>
      </c>
      <c r="F646" s="10" t="s">
        <v>910</v>
      </c>
      <c r="G646" s="10"/>
      <c r="H646" s="10" t="s">
        <v>2824</v>
      </c>
      <c r="I646" s="10" t="s">
        <v>14</v>
      </c>
      <c r="J646" s="10"/>
      <c r="K646" s="7" cm="1">
        <f t="array" ref="K646">IFERROR(LOOKUP(2,1/('Outreach Log'!$C$2:$C$9998=F646),'Outreach Log'!$B$2:$B$9998),"")</f>
        <v>46093</v>
      </c>
      <c r="L646" s="5" t="str">
        <f>IFERROR(INDEX('Outreach Log'!$F:$F,MATCH(TEXT(K646,"YYYY-MM-DD")&amp;F646,'Outreach Log'!$L:$L,0)),"")</f>
        <v>Email</v>
      </c>
      <c r="M646" s="6" t="str">
        <f>IFERROR(HYPERLINK("#'Outreach Log'!A"&amp;MATCH(TEXT(K646,"YYYY-MM-DD")&amp;F646,'Outreach Log'!$L:$L,0),"→ View"),"—")</f>
        <v>→ View</v>
      </c>
      <c r="N646" s="6" t="str">
        <f>IFERROR(HYPERLINK("#Companies!A"&amp;MATCH(E646,Companies!$B:$B,0),"→ View"),"—")</f>
        <v>→ View</v>
      </c>
    </row>
    <row r="647" spans="1:14" ht="15" customHeight="1">
      <c r="A647" s="9" t="str">
        <f>IF(tblContacts[[#This Row],[First Name]]&lt;&gt;0,ROW()-1,"")</f>
        <v/>
      </c>
      <c r="B647" s="50"/>
      <c r="C647" s="50"/>
      <c r="D647" s="10"/>
      <c r="E647" s="10" t="s">
        <v>2115</v>
      </c>
      <c r="F647" s="10" t="s">
        <v>1202</v>
      </c>
      <c r="G647" s="10"/>
      <c r="H647" s="10" t="s">
        <v>2824</v>
      </c>
      <c r="I647" s="10" t="s">
        <v>14</v>
      </c>
      <c r="J647" s="10"/>
      <c r="K647" s="7" cm="1">
        <f t="array" ref="K647">IFERROR(LOOKUP(2,1/('Outreach Log'!$C$2:$C$9998=F647),'Outreach Log'!$B$2:$B$9998),"")</f>
        <v>46093</v>
      </c>
      <c r="L647" s="5" t="str">
        <f>IFERROR(INDEX('Outreach Log'!$F:$F,MATCH(TEXT(K647,"YYYY-MM-DD")&amp;F647,'Outreach Log'!$L:$L,0)),"")</f>
        <v>Email</v>
      </c>
      <c r="M647" s="6" t="str">
        <f>IFERROR(HYPERLINK("#'Outreach Log'!A"&amp;MATCH(TEXT(K647,"YYYY-MM-DD")&amp;F647,'Outreach Log'!$L:$L,0),"→ View"),"—")</f>
        <v>→ View</v>
      </c>
      <c r="N647" s="6" t="str">
        <f>IFERROR(HYPERLINK("#Companies!A"&amp;MATCH(E647,Companies!$B:$B,0),"→ View"),"—")</f>
        <v>→ View</v>
      </c>
    </row>
    <row r="648" spans="1:14" ht="15" customHeight="1">
      <c r="A648" s="9" t="str">
        <f>IF(tblContacts[[#This Row],[First Name]]&lt;&gt;0,ROW()-1,"")</f>
        <v/>
      </c>
      <c r="B648" s="50"/>
      <c r="C648" s="50"/>
      <c r="D648" s="10"/>
      <c r="E648" s="10" t="s">
        <v>2138</v>
      </c>
      <c r="F648" s="10" t="s">
        <v>1210</v>
      </c>
      <c r="G648" s="10"/>
      <c r="H648" s="10" t="s">
        <v>2824</v>
      </c>
      <c r="I648" s="10" t="s">
        <v>14</v>
      </c>
      <c r="J648" s="10"/>
      <c r="K648" s="7" cm="1">
        <f t="array" ref="K648">IFERROR(LOOKUP(2,1/('Outreach Log'!$C$2:$C$9998=F648),'Outreach Log'!$B$2:$B$9998),"")</f>
        <v>46093</v>
      </c>
      <c r="L648" s="5" t="str">
        <f>IFERROR(INDEX('Outreach Log'!$F:$F,MATCH(TEXT(K648,"YYYY-MM-DD")&amp;F648,'Outreach Log'!$L:$L,0)),"")</f>
        <v>Email</v>
      </c>
      <c r="M648" s="6" t="str">
        <f>IFERROR(HYPERLINK("#'Outreach Log'!A"&amp;MATCH(TEXT(K648,"YYYY-MM-DD")&amp;F648,'Outreach Log'!$L:$L,0),"→ View"),"—")</f>
        <v>→ View</v>
      </c>
      <c r="N648" s="6" t="str">
        <f>IFERROR(HYPERLINK("#Companies!A"&amp;MATCH(E648,Companies!$B:$B,0),"→ View"),"—")</f>
        <v>→ View</v>
      </c>
    </row>
    <row r="649" spans="1:14" ht="15" customHeight="1">
      <c r="A649" s="9" t="str">
        <f>IF(tblContacts[[#This Row],[First Name]]&lt;&gt;0,ROW()-1,"")</f>
        <v/>
      </c>
      <c r="B649" s="50"/>
      <c r="C649" s="50"/>
      <c r="D649" s="10"/>
      <c r="E649" s="10" t="s">
        <v>2140</v>
      </c>
      <c r="F649" s="10" t="s">
        <v>1220</v>
      </c>
      <c r="G649" s="10"/>
      <c r="H649" s="10" t="s">
        <v>2824</v>
      </c>
      <c r="I649" s="10" t="s">
        <v>14</v>
      </c>
      <c r="J649" s="10"/>
      <c r="K649" s="7" cm="1">
        <f t="array" ref="K649">IFERROR(LOOKUP(2,1/('Outreach Log'!$C$2:$C$9998=F649),'Outreach Log'!$B$2:$B$9998),"")</f>
        <v>46093</v>
      </c>
      <c r="L649" s="5" t="str">
        <f>IFERROR(INDEX('Outreach Log'!$F:$F,MATCH(TEXT(K649,"YYYY-MM-DD")&amp;F649,'Outreach Log'!$L:$L,0)),"")</f>
        <v>Email</v>
      </c>
      <c r="M649" s="6" t="str">
        <f>IFERROR(HYPERLINK("#'Outreach Log'!A"&amp;MATCH(TEXT(K649,"YYYY-MM-DD")&amp;F649,'Outreach Log'!$L:$L,0),"→ View"),"—")</f>
        <v>→ View</v>
      </c>
      <c r="N649" s="6" t="str">
        <f>IFERROR(HYPERLINK("#Companies!A"&amp;MATCH(E649,Companies!$B:$B,0),"→ View"),"—")</f>
        <v>→ View</v>
      </c>
    </row>
    <row r="650" spans="1:14" ht="15" customHeight="1">
      <c r="A650" s="9" t="str">
        <f>IF(tblContacts[[#This Row],[First Name]]&lt;&gt;0,ROW()-1,"")</f>
        <v/>
      </c>
      <c r="B650" s="50"/>
      <c r="C650" s="50"/>
      <c r="D650" s="10"/>
      <c r="E650" s="10" t="s">
        <v>2152</v>
      </c>
      <c r="F650" s="10" t="s">
        <v>1221</v>
      </c>
      <c r="G650" s="10"/>
      <c r="H650" s="10" t="s">
        <v>2824</v>
      </c>
      <c r="I650" s="10" t="s">
        <v>14</v>
      </c>
      <c r="J650" s="10"/>
      <c r="K650" s="7" cm="1">
        <f t="array" ref="K650">IFERROR(LOOKUP(2,1/('Outreach Log'!$C$2:$C$9998=F650),'Outreach Log'!$B$2:$B$9998),"")</f>
        <v>46093</v>
      </c>
      <c r="L650" s="5" t="str">
        <f>IFERROR(INDEX('Outreach Log'!$F:$F,MATCH(TEXT(K650,"YYYY-MM-DD")&amp;F650,'Outreach Log'!$L:$L,0)),"")</f>
        <v>Email</v>
      </c>
      <c r="M650" s="6" t="str">
        <f>IFERROR(HYPERLINK("#'Outreach Log'!A"&amp;MATCH(TEXT(K650,"YYYY-MM-DD")&amp;F650,'Outreach Log'!$L:$L,0),"→ View"),"—")</f>
        <v>→ View</v>
      </c>
      <c r="N650" s="6" t="str">
        <f>IFERROR(HYPERLINK("#Companies!A"&amp;MATCH(E650,Companies!$B:$B,0),"→ View"),"—")</f>
        <v>→ View</v>
      </c>
    </row>
    <row r="651" spans="1:14" ht="15" customHeight="1">
      <c r="A651" s="9" t="str">
        <f>IF(tblContacts[[#This Row],[First Name]]&lt;&gt;0,ROW()-1,"")</f>
        <v/>
      </c>
      <c r="B651" s="50"/>
      <c r="C651" s="50"/>
      <c r="D651" s="10"/>
      <c r="E651" s="10" t="s">
        <v>2136</v>
      </c>
      <c r="F651" s="10" t="s">
        <v>1229</v>
      </c>
      <c r="G651" s="10"/>
      <c r="H651" s="10" t="s">
        <v>2824</v>
      </c>
      <c r="I651" s="10" t="s">
        <v>14</v>
      </c>
      <c r="J651" s="10"/>
      <c r="K651" s="7" cm="1">
        <f t="array" ref="K651">IFERROR(LOOKUP(2,1/('Outreach Log'!$C$2:$C$9998=F651),'Outreach Log'!$B$2:$B$9998),"")</f>
        <v>46093</v>
      </c>
      <c r="L651" s="5" t="str">
        <f>IFERROR(INDEX('Outreach Log'!$F:$F,MATCH(TEXT(K651,"YYYY-MM-DD")&amp;F651,'Outreach Log'!$L:$L,0)),"")</f>
        <v>Email</v>
      </c>
      <c r="M651" s="6" t="str">
        <f>IFERROR(HYPERLINK("#'Outreach Log'!A"&amp;MATCH(TEXT(K651,"YYYY-MM-DD")&amp;F651,'Outreach Log'!$L:$L,0),"→ View"),"—")</f>
        <v>→ View</v>
      </c>
      <c r="N651" s="6" t="str">
        <f>IFERROR(HYPERLINK("#Companies!A"&amp;MATCH(E651,Companies!$B:$B,0),"→ View"),"—")</f>
        <v>→ View</v>
      </c>
    </row>
    <row r="652" spans="1:14" ht="15" customHeight="1">
      <c r="A652" s="9" t="str">
        <f>IF(tblContacts[[#This Row],[First Name]]&lt;&gt;0,ROW()-1,"")</f>
        <v/>
      </c>
      <c r="B652" s="50"/>
      <c r="C652" s="50"/>
      <c r="D652" s="10"/>
      <c r="E652" s="10" t="s">
        <v>2137</v>
      </c>
      <c r="F652" s="10" t="s">
        <v>1230</v>
      </c>
      <c r="G652" s="10"/>
      <c r="H652" s="10" t="s">
        <v>2824</v>
      </c>
      <c r="I652" s="10" t="s">
        <v>14</v>
      </c>
      <c r="J652" s="10"/>
      <c r="K652" s="7" cm="1">
        <f t="array" ref="K652">IFERROR(LOOKUP(2,1/('Outreach Log'!$C$2:$C$9998=F652),'Outreach Log'!$B$2:$B$9998),"")</f>
        <v>46093</v>
      </c>
      <c r="L652" s="5" t="str">
        <f>IFERROR(INDEX('Outreach Log'!$F:$F,MATCH(TEXT(K652,"YYYY-MM-DD")&amp;F652,'Outreach Log'!$L:$L,0)),"")</f>
        <v>Email</v>
      </c>
      <c r="M652" s="6" t="str">
        <f>IFERROR(HYPERLINK("#'Outreach Log'!A"&amp;MATCH(TEXT(K652,"YYYY-MM-DD")&amp;F652,'Outreach Log'!$L:$L,0),"→ View"),"—")</f>
        <v>→ View</v>
      </c>
      <c r="N652" s="6" t="str">
        <f>IFERROR(HYPERLINK("#Companies!A"&amp;MATCH(E652,Companies!$B:$B,0),"→ View"),"—")</f>
        <v>→ View</v>
      </c>
    </row>
    <row r="653" spans="1:14" ht="15" customHeight="1">
      <c r="A653" s="9" t="str">
        <f>IF(tblContacts[[#This Row],[First Name]]&lt;&gt;0,ROW()-1,"")</f>
        <v/>
      </c>
      <c r="B653" s="50"/>
      <c r="C653" s="50"/>
      <c r="D653" s="10"/>
      <c r="E653" s="10" t="s">
        <v>2107</v>
      </c>
      <c r="F653" s="10" t="s">
        <v>1235</v>
      </c>
      <c r="G653" s="10"/>
      <c r="H653" s="10" t="s">
        <v>2824</v>
      </c>
      <c r="I653" s="10" t="s">
        <v>14</v>
      </c>
      <c r="J653" s="10"/>
      <c r="K653" s="7" cm="1">
        <f t="array" ref="K653">IFERROR(LOOKUP(2,1/('Outreach Log'!$C$2:$C$9998=F653),'Outreach Log'!$B$2:$B$9998),"")</f>
        <v>46093</v>
      </c>
      <c r="L653" s="5" t="str">
        <f>IFERROR(INDEX('Outreach Log'!$F:$F,MATCH(TEXT(K653,"YYYY-MM-DD")&amp;F653,'Outreach Log'!$L:$L,0)),"")</f>
        <v>Email</v>
      </c>
      <c r="M653" s="6" t="str">
        <f>IFERROR(HYPERLINK("#'Outreach Log'!A"&amp;MATCH(TEXT(K653,"YYYY-MM-DD")&amp;F653,'Outreach Log'!$L:$L,0),"→ View"),"—")</f>
        <v>→ View</v>
      </c>
      <c r="N653" s="6" t="str">
        <f>IFERROR(HYPERLINK("#Companies!A"&amp;MATCH(E653,Companies!$B:$B,0),"→ View"),"—")</f>
        <v>→ View</v>
      </c>
    </row>
    <row r="654" spans="1:14" ht="15" customHeight="1">
      <c r="A654" s="9" t="str">
        <f>IF(tblContacts[[#This Row],[First Name]]&lt;&gt;0,ROW()-1,"")</f>
        <v/>
      </c>
      <c r="B654" s="50"/>
      <c r="C654" s="50"/>
      <c r="D654" s="10"/>
      <c r="E654" s="10" t="s">
        <v>2163</v>
      </c>
      <c r="F654" s="10" t="s">
        <v>1252</v>
      </c>
      <c r="G654" s="10"/>
      <c r="H654" s="10" t="s">
        <v>2824</v>
      </c>
      <c r="I654" s="10" t="s">
        <v>14</v>
      </c>
      <c r="J654" s="10"/>
      <c r="K654" s="7" cm="1">
        <f t="array" ref="K654">IFERROR(LOOKUP(2,1/('Outreach Log'!$C$2:$C$9998=F654),'Outreach Log'!$B$2:$B$9998),"")</f>
        <v>46093</v>
      </c>
      <c r="L654" s="5" t="str">
        <f>IFERROR(INDEX('Outreach Log'!$F:$F,MATCH(TEXT(K654,"YYYY-MM-DD")&amp;F654,'Outreach Log'!$L:$L,0)),"")</f>
        <v>Email</v>
      </c>
      <c r="M654" s="6" t="str">
        <f>IFERROR(HYPERLINK("#'Outreach Log'!A"&amp;MATCH(TEXT(K654,"YYYY-MM-DD")&amp;F654,'Outreach Log'!$L:$L,0),"→ View"),"—")</f>
        <v>→ View</v>
      </c>
      <c r="N654" s="6" t="str">
        <f>IFERROR(HYPERLINK("#Companies!A"&amp;MATCH(E654,Companies!$B:$B,0),"→ View"),"—")</f>
        <v>→ View</v>
      </c>
    </row>
    <row r="655" spans="1:14" ht="15" customHeight="1">
      <c r="A655" s="9">
        <f>IF(tblContacts[[#This Row],[First Name]]&lt;&gt;0,ROW()-1,"")</f>
        <v>654</v>
      </c>
      <c r="B655" s="57" t="s">
        <v>1227</v>
      </c>
      <c r="C655" s="57" t="s">
        <v>3376</v>
      </c>
      <c r="D655" s="3" t="s">
        <v>3377</v>
      </c>
      <c r="E655" s="10" t="s">
        <v>2118</v>
      </c>
      <c r="F655" s="58" t="s">
        <v>3375</v>
      </c>
      <c r="G655" s="3" t="s">
        <v>3378</v>
      </c>
      <c r="H655" s="10" t="s">
        <v>2824</v>
      </c>
      <c r="I655" s="44" t="s">
        <v>3379</v>
      </c>
      <c r="K655" s="7" cm="1">
        <f t="array" ref="K655">IFERROR(LOOKUP(2,1/('Outreach Log'!$C$2:$C$9998=F655),'Outreach Log'!$B$2:$B$9998),"")</f>
        <v>46104</v>
      </c>
      <c r="L655" s="5" t="str">
        <f>IFERROR(INDEX('Outreach Log'!$F:$F,MATCH(TEXT(K655,"YYYY-MM-DD")&amp;F655,'Outreach Log'!$L:$L,0)),"")</f>
        <v>Email</v>
      </c>
      <c r="M655" s="6" t="str">
        <f>IFERROR(HYPERLINK("#'Outreach Log'!A"&amp;MATCH(TEXT(K655,"YYYY-MM-DD")&amp;F655,'Outreach Log'!$L:$L,0),"→ View"),"—")</f>
        <v>→ View</v>
      </c>
      <c r="N655" s="6" t="str">
        <f>IFERROR(HYPERLINK("#Companies!A"&amp;MATCH(E655,Companies!$B:$B,0),"→ View"),"—")</f>
        <v>→ View</v>
      </c>
    </row>
    <row r="656" spans="1:14" ht="15" customHeight="1">
      <c r="A656" s="9">
        <f>IF(tblContacts[[#This Row],[First Name]]&lt;&gt;0,ROW()-1,"")</f>
        <v>655</v>
      </c>
      <c r="B656" s="57" t="s">
        <v>1204</v>
      </c>
      <c r="C656" s="57" t="s">
        <v>3386</v>
      </c>
      <c r="D656" s="3" t="s">
        <v>1068</v>
      </c>
      <c r="E656" s="44" t="s">
        <v>3384</v>
      </c>
      <c r="F656" s="58" t="s">
        <v>3385</v>
      </c>
      <c r="H656" s="10" t="s">
        <v>2824</v>
      </c>
      <c r="I656" s="44" t="s">
        <v>14</v>
      </c>
      <c r="K656" s="7" cm="1">
        <f t="array" ref="K656">IFERROR(LOOKUP(2,1/('Outreach Log'!$C$2:$C$9998=F656),'Outreach Log'!$B$2:$B$9998),"")</f>
        <v>46117</v>
      </c>
      <c r="L656" s="5" t="str">
        <f>IFERROR(INDEX('Outreach Log'!$F:$F,MATCH(TEXT(K656,"YYYY-MM-DD")&amp;F656,'Outreach Log'!$L:$L,0)),"")</f>
        <v>Email</v>
      </c>
      <c r="M656" s="6" t="str">
        <f>IFERROR(HYPERLINK("#'Outreach Log'!A"&amp;MATCH(TEXT(K656,"YYYY-MM-DD")&amp;F656,'Outreach Log'!$L:$L,0),"→ View"),"—")</f>
        <v>→ View</v>
      </c>
      <c r="N656" s="6" t="str">
        <f>IFERROR(HYPERLINK("#Companies!A"&amp;MATCH(E656,Companies!$B:$B,0),"→ View"),"—")</f>
        <v>→ View</v>
      </c>
    </row>
    <row r="657" spans="1:14" ht="15" customHeight="1">
      <c r="A657" s="9">
        <f>IF(tblContacts[[#This Row],[First Name]]&lt;&gt;0,ROW()-1,"")</f>
        <v>656</v>
      </c>
      <c r="B657" s="57" t="s">
        <v>3387</v>
      </c>
      <c r="C657" s="57" t="s">
        <v>3388</v>
      </c>
      <c r="D657" s="3" t="s">
        <v>3389</v>
      </c>
      <c r="E657" s="44" t="s">
        <v>3384</v>
      </c>
      <c r="F657" s="3" t="s">
        <v>3390</v>
      </c>
      <c r="H657" s="10" t="s">
        <v>2824</v>
      </c>
      <c r="I657" s="44" t="s">
        <v>14</v>
      </c>
      <c r="K657" s="7" cm="1">
        <f t="array" ref="K657">IFERROR(LOOKUP(2,1/('Outreach Log'!$C$2:$C$9998=F657),'Outreach Log'!$B$2:$B$9998),"")</f>
        <v>46117</v>
      </c>
      <c r="L657" s="5" t="str">
        <f>IFERROR(INDEX('Outreach Log'!$F:$F,MATCH(TEXT(K657,"YYYY-MM-DD")&amp;F657,'Outreach Log'!$L:$L,0)),"")</f>
        <v>Email</v>
      </c>
      <c r="M657" s="6" t="str">
        <f>IFERROR(HYPERLINK("#'Outreach Log'!A"&amp;MATCH(TEXT(K657,"YYYY-MM-DD")&amp;F657,'Outreach Log'!$L:$L,0),"→ View"),"—")</f>
        <v>→ View</v>
      </c>
      <c r="N657" s="6" t="str">
        <f>IFERROR(HYPERLINK("#Companies!A"&amp;MATCH(E657,Companies!$B:$B,0),"→ View"),"—")</f>
        <v>→ View</v>
      </c>
    </row>
    <row r="658" spans="1:14" ht="15" customHeight="1">
      <c r="A658" s="9">
        <f>IF(tblContacts[[#This Row],[First Name]]&lt;&gt;0,ROW()-1,"")</f>
        <v>657</v>
      </c>
      <c r="B658" s="50" t="s">
        <v>1461</v>
      </c>
      <c r="C658" s="50" t="s">
        <v>1464</v>
      </c>
      <c r="D658" s="10"/>
      <c r="E658" s="10" t="s">
        <v>2129</v>
      </c>
      <c r="F658" s="10" t="s">
        <v>1465</v>
      </c>
      <c r="G658" s="10"/>
      <c r="H658" s="10" t="s">
        <v>7</v>
      </c>
      <c r="I658" s="10" t="s">
        <v>14</v>
      </c>
      <c r="J658" s="10" t="s">
        <v>205</v>
      </c>
      <c r="K658" s="7" cm="1">
        <f t="array" ref="K658">IFERROR(LOOKUP(2,1/('Outreach Log'!$C$2:$C$9998=F658),'Outreach Log'!$B$2:$B$9998),"")</f>
        <v>46093</v>
      </c>
      <c r="L658" s="5" t="str">
        <f>IFERROR(INDEX('Outreach Log'!$F:$F,MATCH(TEXT(K658,"YYYY-MM-DD")&amp;F658,'Outreach Log'!$L:$L,0)),"")</f>
        <v>Email</v>
      </c>
      <c r="M658" s="6" t="str">
        <f>IFERROR(HYPERLINK("#'Outreach Log'!A"&amp;MATCH(TEXT(K658,"YYYY-MM-DD")&amp;F658,'Outreach Log'!$L:$L,0),"→ View"),"—")</f>
        <v>→ View</v>
      </c>
      <c r="N658" s="6" t="str">
        <f>IFERROR(HYPERLINK("#Companies!A"&amp;MATCH(E658,Companies!$B:$B,0),"→ View"),"—")</f>
        <v>→ View</v>
      </c>
    </row>
    <row r="659" spans="1:14" ht="15" customHeight="1">
      <c r="A659" s="9">
        <f>IF(tblContacts[[#This Row],[First Name]]&lt;&gt;0,ROW()-1,"")</f>
        <v>658</v>
      </c>
      <c r="B659" s="50" t="s">
        <v>1306</v>
      </c>
      <c r="C659" s="50" t="s">
        <v>1908</v>
      </c>
      <c r="D659" s="10"/>
      <c r="E659" s="10" t="s">
        <v>2126</v>
      </c>
      <c r="F659" s="10" t="s">
        <v>1909</v>
      </c>
      <c r="G659" s="10"/>
      <c r="H659" s="10" t="s">
        <v>7</v>
      </c>
      <c r="I659" s="10" t="s">
        <v>14</v>
      </c>
      <c r="J659" s="10" t="s">
        <v>205</v>
      </c>
      <c r="K659" s="7" cm="1">
        <f t="array" ref="K659">IFERROR(LOOKUP(2,1/('Outreach Log'!$C$2:$C$9998=F659),'Outreach Log'!$B$2:$B$9998),"")</f>
        <v>46093</v>
      </c>
      <c r="L659" s="5" t="str">
        <f>IFERROR(INDEX('Outreach Log'!$F:$F,MATCH(TEXT(K659,"YYYY-MM-DD")&amp;F659,'Outreach Log'!$L:$L,0)),"")</f>
        <v>Email</v>
      </c>
      <c r="M659" s="6" t="str">
        <f>IFERROR(HYPERLINK("#'Outreach Log'!A"&amp;MATCH(TEXT(K659,"YYYY-MM-DD")&amp;F659,'Outreach Log'!$L:$L,0),"→ View"),"—")</f>
        <v>→ View</v>
      </c>
      <c r="N659" s="6" t="str">
        <f>IFERROR(HYPERLINK("#Companies!A"&amp;MATCH(E659,Companies!$B:$B,0),"→ View"),"—")</f>
        <v>→ View</v>
      </c>
    </row>
    <row r="660" spans="1:14" ht="15" customHeight="1">
      <c r="A660" s="9">
        <f>IF(tblContacts[[#This Row],[First Name]]&lt;&gt;0,ROW()-1,"")</f>
        <v>659</v>
      </c>
      <c r="B660" s="57" t="s">
        <v>2829</v>
      </c>
      <c r="C660" s="57" t="s">
        <v>2830</v>
      </c>
      <c r="F660" s="53" t="s">
        <v>2832</v>
      </c>
      <c r="H660" s="10" t="s">
        <v>2831</v>
      </c>
      <c r="I660" s="44" t="s">
        <v>14</v>
      </c>
      <c r="K660" s="7" t="str" cm="1">
        <f t="array" ref="K660">IFERROR(LOOKUP(2,1/('Outreach Log'!$C$2:$C$9998=F660),'Outreach Log'!$B$2:$B$9998),"")</f>
        <v/>
      </c>
      <c r="L660" s="5" t="str">
        <f>IFERROR(INDEX('Outreach Log'!$F:$F,MATCH(TEXT(K660,"YYYY-MM-DD")&amp;F660,'Outreach Log'!$L:$L,0)),"")</f>
        <v/>
      </c>
      <c r="M660" s="6" t="str">
        <f>IFERROR(HYPERLINK("#'Outreach Log'!A"&amp;MATCH(TEXT(K660,"YYYY-MM-DD")&amp;F660,'Outreach Log'!$L:$L,0),"→ View"),"—")</f>
        <v>—</v>
      </c>
      <c r="N660" s="6" t="str">
        <f>IFERROR(HYPERLINK("#Companies!A"&amp;MATCH(E660,Companies!$B:$B,0),"→ View"),"—")</f>
        <v>—</v>
      </c>
    </row>
    <row r="661" spans="1:14" ht="15" customHeight="1">
      <c r="A661" s="9">
        <f>IF(tblContacts[[#This Row],[First Name]]&lt;&gt;0,ROW()-1,"")</f>
        <v>660</v>
      </c>
      <c r="B661" s="55" t="s">
        <v>1965</v>
      </c>
      <c r="C661" s="55" t="s">
        <v>2897</v>
      </c>
      <c r="F661" s="35" t="s">
        <v>2952</v>
      </c>
      <c r="G661" s="35">
        <v>508892396</v>
      </c>
      <c r="H661" s="10" t="s">
        <v>2928</v>
      </c>
      <c r="I661" s="44" t="s">
        <v>2993</v>
      </c>
      <c r="K661" s="7" t="str" cm="1">
        <f t="array" ref="K661">IFERROR(LOOKUP(2,1/('Outreach Log'!$C$2:$C$9998=F661),'Outreach Log'!$B$2:$B$9998),"")</f>
        <v/>
      </c>
      <c r="L661" s="5" t="str">
        <f>IFERROR(INDEX('Outreach Log'!$F:$F,MATCH(TEXT(K661,"YYYY-MM-DD")&amp;F661,'Outreach Log'!$L:$L,0)),"")</f>
        <v/>
      </c>
      <c r="M661" s="6" t="str">
        <f>IFERROR(HYPERLINK("#'Outreach Log'!A"&amp;MATCH(TEXT(K661,"YYYY-MM-DD")&amp;F661,'Outreach Log'!$L:$L,0),"→ View"),"—")</f>
        <v>—</v>
      </c>
      <c r="N661" s="6" t="str">
        <f>IFERROR(HYPERLINK("#Companies!A"&amp;MATCH(E661,Companies!$B:$B,0),"→ View"),"—")</f>
        <v>—</v>
      </c>
    </row>
    <row r="662" spans="1:14" ht="15" customHeight="1">
      <c r="A662" s="9">
        <f>IF(tblContacts[[#This Row],[First Name]]&lt;&gt;0,ROW()-1,"")</f>
        <v>661</v>
      </c>
      <c r="B662" s="55" t="s">
        <v>2906</v>
      </c>
      <c r="C662" s="55" t="s">
        <v>1760</v>
      </c>
      <c r="F662" s="35" t="s">
        <v>2965</v>
      </c>
      <c r="G662" s="35">
        <v>524566903</v>
      </c>
      <c r="H662" s="10" t="s">
        <v>2928</v>
      </c>
      <c r="I662" s="44" t="s">
        <v>2993</v>
      </c>
      <c r="K662" s="7" t="str" cm="1">
        <f t="array" ref="K662">IFERROR(LOOKUP(2,1/('Outreach Log'!$C$2:$C$9998=F662),'Outreach Log'!$B$2:$B$9998),"")</f>
        <v/>
      </c>
      <c r="L662" s="5" t="str">
        <f>IFERROR(INDEX('Outreach Log'!$F:$F,MATCH(TEXT(K662,"YYYY-MM-DD")&amp;F662,'Outreach Log'!$L:$L,0)),"")</f>
        <v/>
      </c>
      <c r="M662" s="6" t="str">
        <f>IFERROR(HYPERLINK("#'Outreach Log'!A"&amp;MATCH(TEXT(K662,"YYYY-MM-DD")&amp;F662,'Outreach Log'!$L:$L,0),"→ View"),"—")</f>
        <v>—</v>
      </c>
      <c r="N662" s="6" t="str">
        <f>IFERROR(HYPERLINK("#Companies!A"&amp;MATCH(E662,Companies!$B:$B,0),"→ View"),"—")</f>
        <v>—</v>
      </c>
    </row>
    <row r="663" spans="1:14" ht="15" customHeight="1">
      <c r="A663" s="9">
        <f>IF(tblContacts[[#This Row],[First Name]]&lt;&gt;0,ROW()-1,"")</f>
        <v>662</v>
      </c>
      <c r="B663" s="55" t="s">
        <v>776</v>
      </c>
      <c r="C663" s="55" t="s">
        <v>777</v>
      </c>
      <c r="F663" s="35" t="s">
        <v>2949</v>
      </c>
      <c r="G663" s="35">
        <v>547715642</v>
      </c>
      <c r="H663" s="10" t="s">
        <v>2928</v>
      </c>
      <c r="I663" s="44" t="s">
        <v>2993</v>
      </c>
      <c r="K663" s="7" t="str" cm="1">
        <f t="array" ref="K663">IFERROR(LOOKUP(2,1/('Outreach Log'!$C$2:$C$9998=F663),'Outreach Log'!$B$2:$B$9998),"")</f>
        <v/>
      </c>
      <c r="L663" s="5" t="str">
        <f>IFERROR(INDEX('Outreach Log'!$F:$F,MATCH(TEXT(K663,"YYYY-MM-DD")&amp;F663,'Outreach Log'!$L:$L,0)),"")</f>
        <v/>
      </c>
      <c r="M663" s="6" t="str">
        <f>IFERROR(HYPERLINK("#'Outreach Log'!A"&amp;MATCH(TEXT(K663,"YYYY-MM-DD")&amp;F663,'Outreach Log'!$L:$L,0),"→ View"),"—")</f>
        <v>—</v>
      </c>
      <c r="N663" s="6" t="str">
        <f>IFERROR(HYPERLINK("#Companies!A"&amp;MATCH(E663,Companies!$B:$B,0),"→ View"),"—")</f>
        <v>—</v>
      </c>
    </row>
    <row r="664" spans="1:14" ht="15" customHeight="1">
      <c r="A664" s="9">
        <f>IF(tblContacts[[#This Row],[First Name]]&lt;&gt;0,ROW()-1,"")</f>
        <v>663</v>
      </c>
      <c r="B664" s="55" t="s">
        <v>799</v>
      </c>
      <c r="C664" s="55" t="s">
        <v>2896</v>
      </c>
      <c r="F664" s="35" t="s">
        <v>2951</v>
      </c>
      <c r="G664" s="35">
        <v>544291947</v>
      </c>
      <c r="H664" s="10" t="s">
        <v>2928</v>
      </c>
      <c r="I664" s="44" t="s">
        <v>2993</v>
      </c>
      <c r="K664" s="7" t="str" cm="1">
        <f t="array" ref="K664">IFERROR(LOOKUP(2,1/('Outreach Log'!$C$2:$C$9998=F664),'Outreach Log'!$B$2:$B$9998),"")</f>
        <v/>
      </c>
      <c r="L664" s="5" t="str">
        <f>IFERROR(INDEX('Outreach Log'!$F:$F,MATCH(TEXT(K664,"YYYY-MM-DD")&amp;F664,'Outreach Log'!$L:$L,0)),"")</f>
        <v/>
      </c>
      <c r="M664" s="6" t="str">
        <f>IFERROR(HYPERLINK("#'Outreach Log'!A"&amp;MATCH(TEXT(K664,"YYYY-MM-DD")&amp;F664,'Outreach Log'!$L:$L,0),"→ View"),"—")</f>
        <v>—</v>
      </c>
      <c r="N664" s="6" t="str">
        <f>IFERROR(HYPERLINK("#Companies!A"&amp;MATCH(E664,Companies!$B:$B,0),"→ View"),"—")</f>
        <v>—</v>
      </c>
    </row>
    <row r="665" spans="1:14" ht="15" customHeight="1">
      <c r="A665" s="9">
        <f>IF(tblContacts[[#This Row],[First Name]]&lt;&gt;0,ROW()-1,"")</f>
        <v>664</v>
      </c>
      <c r="B665" s="55" t="s">
        <v>2921</v>
      </c>
      <c r="C665" s="55" t="s">
        <v>2860</v>
      </c>
      <c r="F665" s="33" t="s">
        <v>2977</v>
      </c>
      <c r="G665" s="33">
        <v>547608766</v>
      </c>
      <c r="H665" s="10" t="s">
        <v>2928</v>
      </c>
      <c r="I665" s="44" t="s">
        <v>2993</v>
      </c>
      <c r="K665" s="7" t="str" cm="1">
        <f t="array" ref="K665">IFERROR(LOOKUP(2,1/('Outreach Log'!$C$2:$C$9998=F665),'Outreach Log'!$B$2:$B$9998),"")</f>
        <v/>
      </c>
      <c r="L665" s="5" t="str">
        <f>IFERROR(INDEX('Outreach Log'!$F:$F,MATCH(TEXT(K665,"YYYY-MM-DD")&amp;F665,'Outreach Log'!$L:$L,0)),"")</f>
        <v/>
      </c>
      <c r="M665" s="6" t="str">
        <f>IFERROR(HYPERLINK("#'Outreach Log'!A"&amp;MATCH(TEXT(K665,"YYYY-MM-DD")&amp;F665,'Outreach Log'!$L:$L,0),"→ View"),"—")</f>
        <v>—</v>
      </c>
      <c r="N665" s="6" t="str">
        <f>IFERROR(HYPERLINK("#Companies!A"&amp;MATCH(E665,Companies!$B:$B,0),"→ View"),"—")</f>
        <v>—</v>
      </c>
    </row>
    <row r="666" spans="1:14" ht="15" customHeight="1">
      <c r="A666" s="9">
        <f>IF(tblContacts[[#This Row],[First Name]]&lt;&gt;0,ROW()-1,"")</f>
        <v>665</v>
      </c>
      <c r="B666" s="55" t="s">
        <v>826</v>
      </c>
      <c r="C666" s="55" t="s">
        <v>912</v>
      </c>
      <c r="F666" s="35" t="s">
        <v>2953</v>
      </c>
      <c r="G666" s="36"/>
      <c r="H666" s="10" t="s">
        <v>2928</v>
      </c>
      <c r="I666" s="44" t="s">
        <v>2993</v>
      </c>
      <c r="K666" s="7" t="str" cm="1">
        <f t="array" ref="K666">IFERROR(LOOKUP(2,1/('Outreach Log'!$C$2:$C$9998=F666),'Outreach Log'!$B$2:$B$9998),"")</f>
        <v/>
      </c>
      <c r="L666" s="5" t="str">
        <f>IFERROR(INDEX('Outreach Log'!$F:$F,MATCH(TEXT(K666,"YYYY-MM-DD")&amp;F666,'Outreach Log'!$L:$L,0)),"")</f>
        <v/>
      </c>
      <c r="M666" s="6" t="str">
        <f>IFERROR(HYPERLINK("#'Outreach Log'!A"&amp;MATCH(TEXT(K666,"YYYY-MM-DD")&amp;F666,'Outreach Log'!$L:$L,0),"→ View"),"—")</f>
        <v>—</v>
      </c>
      <c r="N666" s="6" t="str">
        <f>IFERROR(HYPERLINK("#Companies!A"&amp;MATCH(E666,Companies!$B:$B,0),"→ View"),"—")</f>
        <v>—</v>
      </c>
    </row>
    <row r="667" spans="1:14" ht="15" customHeight="1">
      <c r="A667" s="9">
        <f>IF(tblContacts[[#This Row],[First Name]]&lt;&gt;0,ROW()-1,"")</f>
        <v>666</v>
      </c>
      <c r="B667" s="55" t="s">
        <v>2882</v>
      </c>
      <c r="C667" s="55" t="s">
        <v>2883</v>
      </c>
      <c r="F667" s="35" t="s">
        <v>2936</v>
      </c>
      <c r="G667" s="35">
        <v>503980981</v>
      </c>
      <c r="H667" s="10" t="s">
        <v>2928</v>
      </c>
      <c r="I667" s="44" t="s">
        <v>2993</v>
      </c>
      <c r="K667" s="7" t="str" cm="1">
        <f t="array" ref="K667">IFERROR(LOOKUP(2,1/('Outreach Log'!$C$2:$C$9998=F667),'Outreach Log'!$B$2:$B$9998),"")</f>
        <v/>
      </c>
      <c r="L667" s="5" t="str">
        <f>IFERROR(INDEX('Outreach Log'!$F:$F,MATCH(TEXT(K667,"YYYY-MM-DD")&amp;F667,'Outreach Log'!$L:$L,0)),"")</f>
        <v/>
      </c>
      <c r="M667" s="6" t="str">
        <f>IFERROR(HYPERLINK("#'Outreach Log'!A"&amp;MATCH(TEXT(K667,"YYYY-MM-DD")&amp;F667,'Outreach Log'!$L:$L,0),"→ View"),"—")</f>
        <v>—</v>
      </c>
      <c r="N667" s="6" t="str">
        <f>IFERROR(HYPERLINK("#Companies!A"&amp;MATCH(E667,Companies!$B:$B,0),"→ View"),"—")</f>
        <v>—</v>
      </c>
    </row>
    <row r="668" spans="1:14" ht="15" customHeight="1">
      <c r="A668" s="9">
        <f>IF(tblContacts[[#This Row],[First Name]]&lt;&gt;0,ROW()-1,"")</f>
        <v>667</v>
      </c>
      <c r="B668" s="55" t="s">
        <v>866</v>
      </c>
      <c r="C668" s="55" t="s">
        <v>2922</v>
      </c>
      <c r="F668" s="33" t="s">
        <v>2978</v>
      </c>
      <c r="G668" s="33">
        <v>507748823</v>
      </c>
      <c r="H668" s="10" t="s">
        <v>2928</v>
      </c>
      <c r="I668" s="44" t="s">
        <v>2993</v>
      </c>
      <c r="K668" s="7" t="str" cm="1">
        <f t="array" ref="K668">IFERROR(LOOKUP(2,1/('Outreach Log'!$C$2:$C$9998=F668),'Outreach Log'!$B$2:$B$9998),"")</f>
        <v/>
      </c>
      <c r="L668" s="5" t="str">
        <f>IFERROR(INDEX('Outreach Log'!$F:$F,MATCH(TEXT(K668,"YYYY-MM-DD")&amp;F668,'Outreach Log'!$L:$L,0)),"")</f>
        <v/>
      </c>
      <c r="M668" s="6" t="str">
        <f>IFERROR(HYPERLINK("#'Outreach Log'!A"&amp;MATCH(TEXT(K668,"YYYY-MM-DD")&amp;F668,'Outreach Log'!$L:$L,0),"→ View"),"—")</f>
        <v>—</v>
      </c>
      <c r="N668" s="6" t="str">
        <f>IFERROR(HYPERLINK("#Companies!A"&amp;MATCH(E668,Companies!$B:$B,0),"→ View"),"—")</f>
        <v>—</v>
      </c>
    </row>
    <row r="669" spans="1:14" ht="15" customHeight="1">
      <c r="A669" s="9">
        <f>IF(tblContacts[[#This Row],[First Name]]&lt;&gt;0,ROW()-1,"")</f>
        <v>668</v>
      </c>
      <c r="B669" s="55" t="s">
        <v>874</v>
      </c>
      <c r="C669" s="55" t="s">
        <v>2923</v>
      </c>
      <c r="F669" s="33" t="s">
        <v>2979</v>
      </c>
      <c r="G669" s="33">
        <v>523081818</v>
      </c>
      <c r="H669" s="10" t="s">
        <v>2928</v>
      </c>
      <c r="I669" s="44" t="s">
        <v>2993</v>
      </c>
      <c r="K669" s="7" t="str" cm="1">
        <f t="array" ref="K669">IFERROR(LOOKUP(2,1/('Outreach Log'!$C$2:$C$9998=F669),'Outreach Log'!$B$2:$B$9998),"")</f>
        <v/>
      </c>
      <c r="L669" s="5" t="str">
        <f>IFERROR(INDEX('Outreach Log'!$F:$F,MATCH(TEXT(K669,"YYYY-MM-DD")&amp;F669,'Outreach Log'!$L:$L,0)),"")</f>
        <v/>
      </c>
      <c r="M669" s="6" t="str">
        <f>IFERROR(HYPERLINK("#'Outreach Log'!A"&amp;MATCH(TEXT(K669,"YYYY-MM-DD")&amp;F669,'Outreach Log'!$L:$L,0),"→ View"),"—")</f>
        <v>—</v>
      </c>
      <c r="N669" s="6" t="str">
        <f>IFERROR(HYPERLINK("#Companies!A"&amp;MATCH(E669,Companies!$B:$B,0),"→ View"),"—")</f>
        <v>—</v>
      </c>
    </row>
    <row r="670" spans="1:14" ht="15" customHeight="1">
      <c r="A670" s="9">
        <f>IF(tblContacts[[#This Row],[First Name]]&lt;&gt;0,ROW()-1,"")</f>
        <v>669</v>
      </c>
      <c r="B670" s="55" t="s">
        <v>1301</v>
      </c>
      <c r="C670" s="55" t="s">
        <v>2898</v>
      </c>
      <c r="F670" s="35" t="s">
        <v>2955</v>
      </c>
      <c r="G670" s="35">
        <v>508224606</v>
      </c>
      <c r="H670" s="10" t="s">
        <v>2928</v>
      </c>
      <c r="I670" s="44" t="s">
        <v>2993</v>
      </c>
      <c r="K670" s="7" t="str" cm="1">
        <f t="array" ref="K670">IFERROR(LOOKUP(2,1/('Outreach Log'!$C$2:$C$9998=F670),'Outreach Log'!$B$2:$B$9998),"")</f>
        <v/>
      </c>
      <c r="L670" s="5" t="str">
        <f>IFERROR(INDEX('Outreach Log'!$F:$F,MATCH(TEXT(K670,"YYYY-MM-DD")&amp;F670,'Outreach Log'!$L:$L,0)),"")</f>
        <v/>
      </c>
      <c r="M670" s="6" t="str">
        <f>IFERROR(HYPERLINK("#'Outreach Log'!A"&amp;MATCH(TEXT(K670,"YYYY-MM-DD")&amp;F670,'Outreach Log'!$L:$L,0),"→ View"),"—")</f>
        <v>—</v>
      </c>
      <c r="N670" s="6" t="str">
        <f>IFERROR(HYPERLINK("#Companies!A"&amp;MATCH(E670,Companies!$B:$B,0),"→ View"),"—")</f>
        <v>—</v>
      </c>
    </row>
    <row r="671" spans="1:14" ht="15" customHeight="1">
      <c r="A671" s="9">
        <f>IF(tblContacts[[#This Row],[First Name]]&lt;&gt;0,ROW()-1,"")</f>
        <v>670</v>
      </c>
      <c r="B671" s="55" t="s">
        <v>953</v>
      </c>
      <c r="C671" s="55"/>
      <c r="F671" s="35" t="s">
        <v>2942</v>
      </c>
      <c r="G671" s="35">
        <v>506610199</v>
      </c>
      <c r="H671" s="10" t="s">
        <v>2928</v>
      </c>
      <c r="I671" s="44" t="s">
        <v>2993</v>
      </c>
      <c r="K671" s="7" t="str" cm="1">
        <f t="array" ref="K671">IFERROR(LOOKUP(2,1/('Outreach Log'!$C$2:$C$9998=F671),'Outreach Log'!$B$2:$B$9998),"")</f>
        <v/>
      </c>
      <c r="L671" s="5" t="str">
        <f>IFERROR(INDEX('Outreach Log'!$F:$F,MATCH(TEXT(K671,"YYYY-MM-DD")&amp;F671,'Outreach Log'!$L:$L,0)),"")</f>
        <v/>
      </c>
      <c r="M671" s="6" t="str">
        <f>IFERROR(HYPERLINK("#'Outreach Log'!A"&amp;MATCH(TEXT(K671,"YYYY-MM-DD")&amp;F671,'Outreach Log'!$L:$L,0),"→ View"),"—")</f>
        <v>—</v>
      </c>
      <c r="N671" s="6" t="str">
        <f>IFERROR(HYPERLINK("#Companies!A"&amp;MATCH(E671,Companies!$B:$B,0),"→ View"),"—")</f>
        <v>—</v>
      </c>
    </row>
    <row r="672" spans="1:14" ht="15" customHeight="1">
      <c r="A672" s="9">
        <f>IF(tblContacts[[#This Row],[First Name]]&lt;&gt;0,ROW()-1,"")</f>
        <v>671</v>
      </c>
      <c r="B672" s="50">
        <f>IF(tblContacts[[#This Row],[Last Name]]&lt;&gt;0,ROW()-1,"")</f>
        <v>671</v>
      </c>
      <c r="C672" s="55" t="s">
        <v>2926</v>
      </c>
      <c r="F672" s="33" t="s">
        <v>2982</v>
      </c>
      <c r="G672" s="33">
        <v>545405105</v>
      </c>
      <c r="H672" s="10" t="s">
        <v>2928</v>
      </c>
      <c r="I672" s="44" t="s">
        <v>2993</v>
      </c>
      <c r="K672" s="7" t="str" cm="1">
        <f t="array" ref="K672">IFERROR(LOOKUP(2,1/('Outreach Log'!$C$2:$C$9998=F672),'Outreach Log'!$B$2:$B$9998),"")</f>
        <v/>
      </c>
      <c r="L672" s="5" t="str">
        <f>IFERROR(INDEX('Outreach Log'!$F:$F,MATCH(TEXT(K672,"YYYY-MM-DD")&amp;F672,'Outreach Log'!$L:$L,0)),"")</f>
        <v/>
      </c>
      <c r="M672" s="6" t="str">
        <f>IFERROR(HYPERLINK("#'Outreach Log'!A"&amp;MATCH(TEXT(K672,"YYYY-MM-DD")&amp;F672,'Outreach Log'!$L:$L,0),"→ View"),"—")</f>
        <v>—</v>
      </c>
      <c r="N672" s="6" t="str">
        <f>IFERROR(HYPERLINK("#Companies!A"&amp;MATCH(E672,Companies!$B:$B,0),"→ View"),"—")</f>
        <v>—</v>
      </c>
    </row>
    <row r="673" spans="1:14" ht="15" customHeight="1">
      <c r="A673" s="9">
        <f>IF(tblContacts[[#This Row],[First Name]]&lt;&gt;0,ROW()-1,"")</f>
        <v>672</v>
      </c>
      <c r="B673" s="55" t="s">
        <v>985</v>
      </c>
      <c r="C673" s="55" t="s">
        <v>2881</v>
      </c>
      <c r="F673" s="35" t="s">
        <v>2935</v>
      </c>
      <c r="G673" s="35">
        <v>507247030</v>
      </c>
      <c r="H673" s="10" t="s">
        <v>2928</v>
      </c>
      <c r="I673" s="44" t="s">
        <v>2993</v>
      </c>
      <c r="K673" s="7" t="str" cm="1">
        <f t="array" ref="K673">IFERROR(LOOKUP(2,1/('Outreach Log'!$C$2:$C$9998=F673),'Outreach Log'!$B$2:$B$9998),"")</f>
        <v/>
      </c>
      <c r="L673" s="5" t="str">
        <f>IFERROR(INDEX('Outreach Log'!$F:$F,MATCH(TEXT(K673,"YYYY-MM-DD")&amp;F673,'Outreach Log'!$L:$L,0)),"")</f>
        <v/>
      </c>
      <c r="M673" s="6" t="str">
        <f>IFERROR(HYPERLINK("#'Outreach Log'!A"&amp;MATCH(TEXT(K673,"YYYY-MM-DD")&amp;F673,'Outreach Log'!$L:$L,0),"→ View"),"—")</f>
        <v>—</v>
      </c>
      <c r="N673" s="6" t="str">
        <f>IFERROR(HYPERLINK("#Companies!A"&amp;MATCH(E673,Companies!$B:$B,0),"→ View"),"—")</f>
        <v>—</v>
      </c>
    </row>
    <row r="674" spans="1:14" ht="15" customHeight="1">
      <c r="A674" s="9">
        <f>IF(tblContacts[[#This Row],[First Name]]&lt;&gt;0,ROW()-1,"")</f>
        <v>673</v>
      </c>
      <c r="B674" s="50">
        <f>IF(tblContacts[[#This Row],[Last Name]]&lt;&gt;0,ROW()-1,"")</f>
        <v>673</v>
      </c>
      <c r="C674" s="55" t="s">
        <v>2927</v>
      </c>
      <c r="F674" s="33" t="s">
        <v>2984</v>
      </c>
      <c r="G674" s="33">
        <v>525665152</v>
      </c>
      <c r="H674" s="10" t="s">
        <v>2928</v>
      </c>
      <c r="I674" s="44" t="s">
        <v>2993</v>
      </c>
      <c r="K674" s="7" t="str" cm="1">
        <f t="array" ref="K674">IFERROR(LOOKUP(2,1/('Outreach Log'!$C$2:$C$9998=F674),'Outreach Log'!$B$2:$B$9998),"")</f>
        <v/>
      </c>
      <c r="L674" s="5" t="str">
        <f>IFERROR(INDEX('Outreach Log'!$F:$F,MATCH(TEXT(K674,"YYYY-MM-DD")&amp;F674,'Outreach Log'!$L:$L,0)),"")</f>
        <v/>
      </c>
      <c r="M674" s="6" t="str">
        <f>IFERROR(HYPERLINK("#'Outreach Log'!A"&amp;MATCH(TEXT(K674,"YYYY-MM-DD")&amp;F674,'Outreach Log'!$L:$L,0),"→ View"),"—")</f>
        <v>—</v>
      </c>
      <c r="N674" s="6" t="str">
        <f>IFERROR(HYPERLINK("#Companies!A"&amp;MATCH(E674,Companies!$B:$B,0),"→ View"),"—")</f>
        <v>—</v>
      </c>
    </row>
    <row r="675" spans="1:14" ht="15" customHeight="1">
      <c r="A675" s="9">
        <f>IF(tblContacts[[#This Row],[First Name]]&lt;&gt;0,ROW()-1,"")</f>
        <v>674</v>
      </c>
      <c r="B675" s="55" t="s">
        <v>956</v>
      </c>
      <c r="C675" s="55" t="s">
        <v>2903</v>
      </c>
      <c r="F675" s="35" t="s">
        <v>2963</v>
      </c>
      <c r="G675" s="35">
        <v>525230219</v>
      </c>
      <c r="H675" s="10" t="s">
        <v>2928</v>
      </c>
      <c r="I675" s="44" t="s">
        <v>2993</v>
      </c>
      <c r="K675" s="7" t="str" cm="1">
        <f t="array" ref="K675">IFERROR(LOOKUP(2,1/('Outreach Log'!$C$2:$C$9998=F675),'Outreach Log'!$B$2:$B$9998),"")</f>
        <v/>
      </c>
      <c r="L675" s="5" t="str">
        <f>IFERROR(INDEX('Outreach Log'!$F:$F,MATCH(TEXT(K675,"YYYY-MM-DD")&amp;F675,'Outreach Log'!$L:$L,0)),"")</f>
        <v/>
      </c>
      <c r="M675" s="6" t="str">
        <f>IFERROR(HYPERLINK("#'Outreach Log'!A"&amp;MATCH(TEXT(K675,"YYYY-MM-DD")&amp;F675,'Outreach Log'!$L:$L,0),"→ View"),"—")</f>
        <v>—</v>
      </c>
      <c r="N675" s="6" t="str">
        <f>IFERROR(HYPERLINK("#Companies!A"&amp;MATCH(E675,Companies!$B:$B,0),"→ View"),"—")</f>
        <v>—</v>
      </c>
    </row>
    <row r="676" spans="1:14" ht="15" customHeight="1">
      <c r="A676" s="9">
        <f>IF(tblContacts[[#This Row],[First Name]]&lt;&gt;0,ROW()-1,"")</f>
        <v>675</v>
      </c>
      <c r="B676" s="55" t="s">
        <v>2874</v>
      </c>
      <c r="C676" s="55" t="s">
        <v>1590</v>
      </c>
      <c r="F676" s="35" t="s">
        <v>2929</v>
      </c>
      <c r="H676" s="10" t="s">
        <v>2928</v>
      </c>
      <c r="I676" s="44" t="s">
        <v>2993</v>
      </c>
      <c r="K676" s="7" t="str" cm="1">
        <f t="array" ref="K676">IFERROR(LOOKUP(2,1/('Outreach Log'!$C$2:$C$9998=F676),'Outreach Log'!$B$2:$B$9998),"")</f>
        <v/>
      </c>
      <c r="L676" s="5" t="str">
        <f>IFERROR(INDEX('Outreach Log'!$F:$F,MATCH(TEXT(K676,"YYYY-MM-DD")&amp;F676,'Outreach Log'!$L:$L,0)),"")</f>
        <v/>
      </c>
      <c r="M676" s="6" t="str">
        <f>IFERROR(HYPERLINK("#'Outreach Log'!A"&amp;MATCH(TEXT(K676,"YYYY-MM-DD")&amp;F676,'Outreach Log'!$L:$L,0),"→ View"),"—")</f>
        <v>—</v>
      </c>
      <c r="N676" s="6" t="str">
        <f>IFERROR(HYPERLINK("#Companies!A"&amp;MATCH(E676,Companies!$B:$B,0),"→ View"),"—")</f>
        <v>—</v>
      </c>
    </row>
    <row r="677" spans="1:14" ht="15" customHeight="1">
      <c r="A677" s="9">
        <f>IF(tblContacts[[#This Row],[First Name]]&lt;&gt;0,ROW()-1,"")</f>
        <v>676</v>
      </c>
      <c r="B677" s="55" t="s">
        <v>2915</v>
      </c>
      <c r="C677" s="55"/>
      <c r="F677" s="33" t="s">
        <v>2972</v>
      </c>
      <c r="G677" s="33">
        <v>504249909</v>
      </c>
      <c r="H677" s="10" t="s">
        <v>2928</v>
      </c>
      <c r="I677" s="44" t="s">
        <v>2993</v>
      </c>
      <c r="K677" s="7" t="str" cm="1">
        <f t="array" ref="K677">IFERROR(LOOKUP(2,1/('Outreach Log'!$C$2:$C$9998=F677),'Outreach Log'!$B$2:$B$9998),"")</f>
        <v/>
      </c>
      <c r="L677" s="5" t="str">
        <f>IFERROR(INDEX('Outreach Log'!$F:$F,MATCH(TEXT(K677,"YYYY-MM-DD")&amp;F677,'Outreach Log'!$L:$L,0)),"")</f>
        <v/>
      </c>
      <c r="M677" s="6" t="str">
        <f>IFERROR(HYPERLINK("#'Outreach Log'!A"&amp;MATCH(TEXT(K677,"YYYY-MM-DD")&amp;F677,'Outreach Log'!$L:$L,0),"→ View"),"—")</f>
        <v>—</v>
      </c>
      <c r="N677" s="6" t="str">
        <f>IFERROR(HYPERLINK("#Companies!A"&amp;MATCH(E677,Companies!$B:$B,0),"→ View"),"—")</f>
        <v>—</v>
      </c>
    </row>
    <row r="678" spans="1:14" ht="15" customHeight="1">
      <c r="A678" s="9">
        <f>IF(tblContacts[[#This Row],[First Name]]&lt;&gt;0,ROW()-1,"")</f>
        <v>677</v>
      </c>
      <c r="B678" s="55" t="s">
        <v>1087</v>
      </c>
      <c r="C678" s="55" t="s">
        <v>728</v>
      </c>
      <c r="F678" s="35" t="s">
        <v>2959</v>
      </c>
      <c r="G678" s="35">
        <v>527272858</v>
      </c>
      <c r="H678" s="10" t="s">
        <v>2928</v>
      </c>
      <c r="I678" s="44" t="s">
        <v>2993</v>
      </c>
      <c r="K678" s="7" t="str" cm="1">
        <f t="array" ref="K678">IFERROR(LOOKUP(2,1/('Outreach Log'!$C$2:$C$9998=F678),'Outreach Log'!$B$2:$B$9998),"")</f>
        <v/>
      </c>
      <c r="L678" s="5" t="str">
        <f>IFERROR(INDEX('Outreach Log'!$F:$F,MATCH(TEXT(K678,"YYYY-MM-DD")&amp;F678,'Outreach Log'!$L:$L,0)),"")</f>
        <v/>
      </c>
      <c r="M678" s="6" t="str">
        <f>IFERROR(HYPERLINK("#'Outreach Log'!A"&amp;MATCH(TEXT(K678,"YYYY-MM-DD")&amp;F678,'Outreach Log'!$L:$L,0),"→ View"),"—")</f>
        <v>—</v>
      </c>
      <c r="N678" s="6" t="str">
        <f>IFERROR(HYPERLINK("#Companies!A"&amp;MATCH(E678,Companies!$B:$B,0),"→ View"),"—")</f>
        <v>—</v>
      </c>
    </row>
    <row r="679" spans="1:14" ht="15" customHeight="1">
      <c r="A679" s="9">
        <f>IF(tblContacts[[#This Row],[First Name]]&lt;&gt;0,ROW()-1,"")</f>
        <v>678</v>
      </c>
      <c r="B679" s="55" t="s">
        <v>1134</v>
      </c>
      <c r="C679" s="55" t="s">
        <v>2902</v>
      </c>
      <c r="F679" s="35" t="s">
        <v>2961</v>
      </c>
      <c r="G679" s="35" t="s">
        <v>2991</v>
      </c>
      <c r="H679" s="10" t="s">
        <v>2928</v>
      </c>
      <c r="I679" s="44" t="s">
        <v>2993</v>
      </c>
      <c r="K679" s="7" t="str" cm="1">
        <f t="array" ref="K679">IFERROR(LOOKUP(2,1/('Outreach Log'!$C$2:$C$9998=F679),'Outreach Log'!$B$2:$B$9998),"")</f>
        <v/>
      </c>
      <c r="L679" s="5" t="str">
        <f>IFERROR(INDEX('Outreach Log'!$F:$F,MATCH(TEXT(K679,"YYYY-MM-DD")&amp;F679,'Outreach Log'!$L:$L,0)),"")</f>
        <v/>
      </c>
      <c r="M679" s="6" t="str">
        <f>IFERROR(HYPERLINK("#'Outreach Log'!A"&amp;MATCH(TEXT(K679,"YYYY-MM-DD")&amp;F679,'Outreach Log'!$L:$L,0),"→ View"),"—")</f>
        <v>—</v>
      </c>
      <c r="N679" s="6" t="str">
        <f>IFERROR(HYPERLINK("#Companies!A"&amp;MATCH(E679,Companies!$B:$B,0),"→ View"),"—")</f>
        <v>—</v>
      </c>
    </row>
    <row r="680" spans="1:14" ht="15" customHeight="1">
      <c r="A680" s="9">
        <f>IF(tblContacts[[#This Row],[First Name]]&lt;&gt;0,ROW()-1,"")</f>
        <v>679</v>
      </c>
      <c r="B680" s="55" t="s">
        <v>1134</v>
      </c>
      <c r="C680" s="55" t="s">
        <v>2893</v>
      </c>
      <c r="F680" s="35" t="s">
        <v>2948</v>
      </c>
      <c r="G680" s="35" t="s">
        <v>2987</v>
      </c>
      <c r="H680" s="10" t="s">
        <v>2928</v>
      </c>
      <c r="I680" s="44" t="s">
        <v>2993</v>
      </c>
      <c r="K680" s="7" t="str" cm="1">
        <f t="array" ref="K680">IFERROR(LOOKUP(2,1/('Outreach Log'!$C$2:$C$9998=F680),'Outreach Log'!$B$2:$B$9998),"")</f>
        <v/>
      </c>
      <c r="L680" s="5" t="str">
        <f>IFERROR(INDEX('Outreach Log'!$F:$F,MATCH(TEXT(K680,"YYYY-MM-DD")&amp;F680,'Outreach Log'!$L:$L,0)),"")</f>
        <v/>
      </c>
      <c r="M680" s="6" t="str">
        <f>IFERROR(HYPERLINK("#'Outreach Log'!A"&amp;MATCH(TEXT(K680,"YYYY-MM-DD")&amp;F680,'Outreach Log'!$L:$L,0),"→ View"),"—")</f>
        <v>—</v>
      </c>
      <c r="N680" s="6" t="str">
        <f>IFERROR(HYPERLINK("#Companies!A"&amp;MATCH(E680,Companies!$B:$B,0),"→ View"),"—")</f>
        <v>—</v>
      </c>
    </row>
    <row r="681" spans="1:14" ht="15" customHeight="1">
      <c r="A681" s="9">
        <f>IF(tblContacts[[#This Row],[First Name]]&lt;&gt;0,ROW()-1,"")</f>
        <v>680</v>
      </c>
      <c r="B681" s="55" t="s">
        <v>2919</v>
      </c>
      <c r="C681" s="55" t="s">
        <v>2920</v>
      </c>
      <c r="F681" s="33" t="s">
        <v>2976</v>
      </c>
      <c r="G681" s="33">
        <v>506513343</v>
      </c>
      <c r="H681" s="10" t="s">
        <v>2928</v>
      </c>
      <c r="I681" s="44" t="s">
        <v>2993</v>
      </c>
      <c r="K681" s="7" t="str" cm="1">
        <f t="array" ref="K681">IFERROR(LOOKUP(2,1/('Outreach Log'!$C$2:$C$9998=F681),'Outreach Log'!$B$2:$B$9998),"")</f>
        <v/>
      </c>
      <c r="L681" s="5" t="str">
        <f>IFERROR(INDEX('Outreach Log'!$F:$F,MATCH(TEXT(K681,"YYYY-MM-DD")&amp;F681,'Outreach Log'!$L:$L,0)),"")</f>
        <v/>
      </c>
      <c r="M681" s="6" t="str">
        <f>IFERROR(HYPERLINK("#'Outreach Log'!A"&amp;MATCH(TEXT(K681,"YYYY-MM-DD")&amp;F681,'Outreach Log'!$L:$L,0),"→ View"),"—")</f>
        <v>—</v>
      </c>
      <c r="N681" s="6" t="str">
        <f>IFERROR(HYPERLINK("#Companies!A"&amp;MATCH(E681,Companies!$B:$B,0),"→ View"),"—")</f>
        <v>—</v>
      </c>
    </row>
    <row r="682" spans="1:14" ht="15" customHeight="1">
      <c r="A682" s="9">
        <f>IF(tblContacts[[#This Row],[First Name]]&lt;&gt;0,ROW()-1,"")</f>
        <v>681</v>
      </c>
      <c r="B682" s="55" t="s">
        <v>2894</v>
      </c>
      <c r="C682" s="55" t="s">
        <v>2895</v>
      </c>
      <c r="F682" s="35" t="s">
        <v>2950</v>
      </c>
      <c r="G682" s="35">
        <v>509920206</v>
      </c>
      <c r="H682" s="10" t="s">
        <v>2928</v>
      </c>
      <c r="I682" s="44" t="s">
        <v>2993</v>
      </c>
      <c r="K682" s="7" t="str" cm="1">
        <f t="array" ref="K682">IFERROR(LOOKUP(2,1/('Outreach Log'!$C$2:$C$9998=F682),'Outreach Log'!$B$2:$B$9998),"")</f>
        <v/>
      </c>
      <c r="L682" s="5" t="str">
        <f>IFERROR(INDEX('Outreach Log'!$F:$F,MATCH(TEXT(K682,"YYYY-MM-DD")&amp;F682,'Outreach Log'!$L:$L,0)),"")</f>
        <v/>
      </c>
      <c r="M682" s="6" t="str">
        <f>IFERROR(HYPERLINK("#'Outreach Log'!A"&amp;MATCH(TEXT(K682,"YYYY-MM-DD")&amp;F682,'Outreach Log'!$L:$L,0),"→ View"),"—")</f>
        <v>—</v>
      </c>
      <c r="N682" s="6" t="str">
        <f>IFERROR(HYPERLINK("#Companies!A"&amp;MATCH(E682,Companies!$B:$B,0),"→ View"),"—")</f>
        <v>—</v>
      </c>
    </row>
    <row r="683" spans="1:14" ht="15" customHeight="1">
      <c r="A683" s="9">
        <f>IF(tblContacts[[#This Row],[First Name]]&lt;&gt;0,ROW()-1,"")</f>
        <v>682</v>
      </c>
      <c r="B683" s="55" t="s">
        <v>1073</v>
      </c>
      <c r="C683" s="55" t="s">
        <v>2875</v>
      </c>
      <c r="F683" s="35" t="s">
        <v>2930</v>
      </c>
      <c r="G683" s="35">
        <v>544456522</v>
      </c>
      <c r="H683" s="10" t="s">
        <v>2928</v>
      </c>
      <c r="I683" s="44" t="s">
        <v>2993</v>
      </c>
      <c r="K683" s="7" t="str" cm="1">
        <f t="array" ref="K683">IFERROR(LOOKUP(2,1/('Outreach Log'!$C$2:$C$9998=F683),'Outreach Log'!$B$2:$B$9998),"")</f>
        <v/>
      </c>
      <c r="L683" s="5" t="str">
        <f>IFERROR(INDEX('Outreach Log'!$F:$F,MATCH(TEXT(K683,"YYYY-MM-DD")&amp;F683,'Outreach Log'!$L:$L,0)),"")</f>
        <v/>
      </c>
      <c r="M683" s="6" t="str">
        <f>IFERROR(HYPERLINK("#'Outreach Log'!A"&amp;MATCH(TEXT(K683,"YYYY-MM-DD")&amp;F683,'Outreach Log'!$L:$L,0),"→ View"),"—")</f>
        <v>—</v>
      </c>
      <c r="N683" s="6" t="str">
        <f>IFERROR(HYPERLINK("#Companies!A"&amp;MATCH(E683,Companies!$B:$B,0),"→ View"),"—")</f>
        <v>—</v>
      </c>
    </row>
    <row r="684" spans="1:14" ht="15" customHeight="1">
      <c r="A684" s="9">
        <f>IF(tblContacts[[#This Row],[First Name]]&lt;&gt;0,ROW()-1,"")</f>
        <v>683</v>
      </c>
      <c r="B684" s="55" t="s">
        <v>1886</v>
      </c>
      <c r="C684" s="55" t="s">
        <v>2890</v>
      </c>
      <c r="F684" s="35" t="s">
        <v>2945</v>
      </c>
      <c r="G684" s="35">
        <v>538205397</v>
      </c>
      <c r="H684" s="10" t="s">
        <v>2928</v>
      </c>
      <c r="I684" s="44" t="s">
        <v>2993</v>
      </c>
      <c r="K684" s="7" t="str" cm="1">
        <f t="array" ref="K684">IFERROR(LOOKUP(2,1/('Outreach Log'!$C$2:$C$9998=F684),'Outreach Log'!$B$2:$B$9998),"")</f>
        <v/>
      </c>
      <c r="L684" s="5" t="str">
        <f>IFERROR(INDEX('Outreach Log'!$F:$F,MATCH(TEXT(K684,"YYYY-MM-DD")&amp;F684,'Outreach Log'!$L:$L,0)),"")</f>
        <v/>
      </c>
      <c r="M684" s="6" t="str">
        <f>IFERROR(HYPERLINK("#'Outreach Log'!A"&amp;MATCH(TEXT(K684,"YYYY-MM-DD")&amp;F684,'Outreach Log'!$L:$L,0),"→ View"),"—")</f>
        <v>—</v>
      </c>
      <c r="N684" s="6" t="str">
        <f>IFERROR(HYPERLINK("#Companies!A"&amp;MATCH(E684,Companies!$B:$B,0),"→ View"),"—")</f>
        <v>—</v>
      </c>
    </row>
    <row r="685" spans="1:14" ht="15" customHeight="1">
      <c r="A685" s="9">
        <f>IF(tblContacts[[#This Row],[First Name]]&lt;&gt;0,ROW()-1,"")</f>
        <v>684</v>
      </c>
      <c r="B685" s="55" t="s">
        <v>1326</v>
      </c>
      <c r="C685" s="55" t="s">
        <v>969</v>
      </c>
      <c r="F685" s="33" t="s">
        <v>2970</v>
      </c>
      <c r="G685" s="33">
        <v>547407620</v>
      </c>
      <c r="H685" s="10" t="s">
        <v>2928</v>
      </c>
      <c r="I685" s="44" t="s">
        <v>2993</v>
      </c>
      <c r="K685" s="65" t="str" cm="1">
        <f t="array" ref="K685">IFERROR(LOOKUP(2,1/('Outreach Log'!$C$2:$C$9998=F685),'Outreach Log'!$B$2:$B$9998),"")</f>
        <v/>
      </c>
      <c r="L685" s="66" t="str">
        <f>IFERROR(INDEX('Outreach Log'!$F:$F,MATCH(TEXT(K685,"YYYY-MM-DD")&amp;F685,'Outreach Log'!$L:$L,0)),"")</f>
        <v/>
      </c>
      <c r="M685" s="67" t="str">
        <f>IFERROR(HYPERLINK("#'Outreach Log'!A"&amp;MATCH(TEXT(K685,"YYYY-MM-DD")&amp;F685,'Outreach Log'!$L:$L,0),"→ View"),"—")</f>
        <v>—</v>
      </c>
      <c r="N685" s="67" t="str">
        <f>IFERROR(HYPERLINK("#Companies!A"&amp;MATCH(E685,Companies!$B:$B,0),"→ View"),"—")</f>
        <v>—</v>
      </c>
    </row>
    <row r="686" spans="1:14" ht="15" customHeight="1">
      <c r="A686" s="9">
        <f>IF(tblContacts[[#This Row],[First Name]]&lt;&gt;0,ROW()-1,"")</f>
        <v>685</v>
      </c>
      <c r="B686" s="55" t="s">
        <v>1296</v>
      </c>
      <c r="C686" s="55" t="s">
        <v>2892</v>
      </c>
      <c r="F686" s="35" t="s">
        <v>2947</v>
      </c>
      <c r="G686" s="35">
        <v>508511944</v>
      </c>
      <c r="H686" s="10" t="s">
        <v>2928</v>
      </c>
      <c r="I686" s="44" t="s">
        <v>2993</v>
      </c>
      <c r="K686" s="65" t="str" cm="1">
        <f t="array" ref="K686">IFERROR(LOOKUP(2,1/('Outreach Log'!$C$2:$C$9998=F686),'Outreach Log'!$B$2:$B$9998),"")</f>
        <v/>
      </c>
      <c r="L686" s="66" t="str">
        <f>IFERROR(INDEX('Outreach Log'!$F:$F,MATCH(TEXT(K686,"YYYY-MM-DD")&amp;F686,'Outreach Log'!$L:$L,0)),"")</f>
        <v/>
      </c>
      <c r="M686" s="67" t="str">
        <f>IFERROR(HYPERLINK("#'Outreach Log'!A"&amp;MATCH(TEXT(K686,"YYYY-MM-DD")&amp;F686,'Outreach Log'!$L:$L,0),"→ View"),"—")</f>
        <v>—</v>
      </c>
      <c r="N686" s="67" t="str">
        <f>IFERROR(HYPERLINK("#Companies!A"&amp;MATCH(E686,Companies!$B:$B,0),"→ View"),"—")</f>
        <v>—</v>
      </c>
    </row>
    <row r="687" spans="1:14" ht="15" customHeight="1">
      <c r="A687" s="9">
        <f>IF(tblContacts[[#This Row],[First Name]]&lt;&gt;0,ROW()-1,"")</f>
        <v>686</v>
      </c>
      <c r="B687" s="55" t="s">
        <v>1242</v>
      </c>
      <c r="C687" s="55" t="s">
        <v>1483</v>
      </c>
      <c r="F687" s="35" t="s">
        <v>2960</v>
      </c>
      <c r="G687" s="35" t="s">
        <v>2990</v>
      </c>
      <c r="H687" s="10" t="s">
        <v>2928</v>
      </c>
      <c r="I687" s="44" t="s">
        <v>2993</v>
      </c>
      <c r="K687" s="65" t="str" cm="1">
        <f t="array" ref="K687">IFERROR(LOOKUP(2,1/('Outreach Log'!$C$2:$C$9998=F687),'Outreach Log'!$B$2:$B$9998),"")</f>
        <v/>
      </c>
      <c r="L687" s="66" t="str">
        <f>IFERROR(INDEX('Outreach Log'!$F:$F,MATCH(TEXT(K687,"YYYY-MM-DD")&amp;F687,'Outreach Log'!$L:$L,0)),"")</f>
        <v/>
      </c>
      <c r="M687" s="67" t="str">
        <f>IFERROR(HYPERLINK("#'Outreach Log'!A"&amp;MATCH(TEXT(K687,"YYYY-MM-DD")&amp;F687,'Outreach Log'!$L:$L,0),"→ View"),"—")</f>
        <v>—</v>
      </c>
      <c r="N687" s="67" t="str">
        <f>IFERROR(HYPERLINK("#Companies!A"&amp;MATCH(E687,Companies!$B:$B,0),"→ View"),"—")</f>
        <v>—</v>
      </c>
    </row>
    <row r="688" spans="1:14" ht="15" customHeight="1">
      <c r="A688" s="9">
        <f>IF(tblContacts[[#This Row],[First Name]]&lt;&gt;0,ROW()-1,"")</f>
        <v>687</v>
      </c>
      <c r="B688" s="55" t="s">
        <v>2878</v>
      </c>
      <c r="C688" s="55" t="s">
        <v>728</v>
      </c>
      <c r="F688" s="35" t="s">
        <v>2932</v>
      </c>
      <c r="G688" s="35">
        <v>509271193</v>
      </c>
      <c r="H688" s="10" t="s">
        <v>2928</v>
      </c>
      <c r="I688" s="44" t="s">
        <v>2993</v>
      </c>
      <c r="K688" s="65" t="str" cm="1">
        <f t="array" ref="K688">IFERROR(LOOKUP(2,1/('Outreach Log'!$C$2:$C$9998=F688),'Outreach Log'!$B$2:$B$9998),"")</f>
        <v/>
      </c>
      <c r="L688" s="66" t="str">
        <f>IFERROR(INDEX('Outreach Log'!$F:$F,MATCH(TEXT(K688,"YYYY-MM-DD")&amp;F688,'Outreach Log'!$L:$L,0)),"")</f>
        <v/>
      </c>
      <c r="M688" s="67" t="str">
        <f>IFERROR(HYPERLINK("#'Outreach Log'!A"&amp;MATCH(TEXT(K688,"YYYY-MM-DD")&amp;F688,'Outreach Log'!$L:$L,0),"→ View"),"—")</f>
        <v>—</v>
      </c>
      <c r="N688" s="67" t="str">
        <f>IFERROR(HYPERLINK("#Companies!A"&amp;MATCH(E688,Companies!$B:$B,0),"→ View"),"—")</f>
        <v>—</v>
      </c>
    </row>
    <row r="689" spans="1:14" ht="15" customHeight="1">
      <c r="A689" s="9">
        <f>IF(tblContacts[[#This Row],[First Name]]&lt;&gt;0,ROW()-1,"")</f>
        <v>688</v>
      </c>
      <c r="B689" s="55" t="s">
        <v>1362</v>
      </c>
      <c r="C689" s="55" t="s">
        <v>2891</v>
      </c>
      <c r="F689" s="35" t="s">
        <v>2946</v>
      </c>
      <c r="G689" s="35" t="s">
        <v>2986</v>
      </c>
      <c r="H689" s="10" t="s">
        <v>2928</v>
      </c>
      <c r="I689" s="44" t="s">
        <v>2993</v>
      </c>
      <c r="K689" s="65" t="str" cm="1">
        <f t="array" ref="K689">IFERROR(LOOKUP(2,1/('Outreach Log'!$C$2:$C$9998=F689),'Outreach Log'!$B$2:$B$9998),"")</f>
        <v/>
      </c>
      <c r="L689" s="66" t="str">
        <f>IFERROR(INDEX('Outreach Log'!$F:$F,MATCH(TEXT(K689,"YYYY-MM-DD")&amp;F689,'Outreach Log'!$L:$L,0)),"")</f>
        <v/>
      </c>
      <c r="M689" s="67" t="str">
        <f>IFERROR(HYPERLINK("#'Outreach Log'!A"&amp;MATCH(TEXT(K689,"YYYY-MM-DD")&amp;F689,'Outreach Log'!$L:$L,0),"→ View"),"—")</f>
        <v>—</v>
      </c>
      <c r="N689" s="67" t="str">
        <f>IFERROR(HYPERLINK("#Companies!A"&amp;MATCH(E689,Companies!$B:$B,0),"→ View"),"—")</f>
        <v>—</v>
      </c>
    </row>
    <row r="690" spans="1:14" ht="15" customHeight="1">
      <c r="A690" s="9">
        <f>IF(tblContacts[[#This Row],[First Name]]&lt;&gt;0,ROW()-1,"")</f>
        <v>689</v>
      </c>
      <c r="B690" s="55" t="s">
        <v>2885</v>
      </c>
      <c r="C690" s="55" t="s">
        <v>2886</v>
      </c>
      <c r="F690" s="35" t="s">
        <v>2939</v>
      </c>
      <c r="G690" s="35" t="s">
        <v>2985</v>
      </c>
      <c r="H690" s="10" t="s">
        <v>2928</v>
      </c>
      <c r="I690" s="44" t="s">
        <v>2993</v>
      </c>
      <c r="K690" s="65" t="str" cm="1">
        <f t="array" ref="K690">IFERROR(LOOKUP(2,1/('Outreach Log'!$C$2:$C$9998=F690),'Outreach Log'!$B$2:$B$9998),"")</f>
        <v/>
      </c>
      <c r="L690" s="66" t="str">
        <f>IFERROR(INDEX('Outreach Log'!$F:$F,MATCH(TEXT(K690,"YYYY-MM-DD")&amp;F690,'Outreach Log'!$L:$L,0)),"")</f>
        <v/>
      </c>
      <c r="M690" s="67" t="str">
        <f>IFERROR(HYPERLINK("#'Outreach Log'!A"&amp;MATCH(TEXT(K690,"YYYY-MM-DD")&amp;F690,'Outreach Log'!$L:$L,0),"→ View"),"—")</f>
        <v>—</v>
      </c>
      <c r="N690" s="67" t="str">
        <f>IFERROR(HYPERLINK("#Companies!A"&amp;MATCH(E690,Companies!$B:$B,0),"→ View"),"—")</f>
        <v>—</v>
      </c>
    </row>
    <row r="691" spans="1:14" ht="15" customHeight="1">
      <c r="A691" s="9">
        <f>IF(tblContacts[[#This Row],[First Name]]&lt;&gt;0,ROW()-1,"")</f>
        <v>690</v>
      </c>
      <c r="B691" s="55" t="s">
        <v>1394</v>
      </c>
      <c r="C691" s="55" t="s">
        <v>1242</v>
      </c>
      <c r="F691" s="35" t="s">
        <v>2937</v>
      </c>
      <c r="G691" s="35">
        <v>505919966</v>
      </c>
      <c r="H691" s="10" t="s">
        <v>2928</v>
      </c>
      <c r="I691" s="44" t="s">
        <v>2993</v>
      </c>
      <c r="K691" s="65" t="str" cm="1">
        <f t="array" ref="K691">IFERROR(LOOKUP(2,1/('Outreach Log'!$C$2:$C$9998=F691),'Outreach Log'!$B$2:$B$9998),"")</f>
        <v/>
      </c>
      <c r="L691" s="66" t="str">
        <f>IFERROR(INDEX('Outreach Log'!$F:$F,MATCH(TEXT(K691,"YYYY-MM-DD")&amp;F691,'Outreach Log'!$L:$L,0)),"")</f>
        <v/>
      </c>
      <c r="M691" s="67" t="str">
        <f>IFERROR(HYPERLINK("#'Outreach Log'!A"&amp;MATCH(TEXT(K691,"YYYY-MM-DD")&amp;F691,'Outreach Log'!$L:$L,0),"→ View"),"—")</f>
        <v>—</v>
      </c>
      <c r="N691" s="67" t="str">
        <f>IFERROR(HYPERLINK("#Companies!A"&amp;MATCH(E691,Companies!$B:$B,0),"→ View"),"—")</f>
        <v>—</v>
      </c>
    </row>
    <row r="692" spans="1:14" ht="15" customHeight="1">
      <c r="A692" s="9">
        <f>IF(tblContacts[[#This Row],[First Name]]&lt;&gt;0,ROW()-1,"")</f>
        <v>691</v>
      </c>
      <c r="B692" s="55" t="s">
        <v>1459</v>
      </c>
      <c r="C692" s="55" t="s">
        <v>2916</v>
      </c>
      <c r="F692" s="33" t="s">
        <v>2973</v>
      </c>
      <c r="G692" s="33" t="s">
        <v>2992</v>
      </c>
      <c r="H692" s="10" t="s">
        <v>2928</v>
      </c>
      <c r="I692" s="44" t="s">
        <v>2993</v>
      </c>
      <c r="K692" s="65" t="str" cm="1">
        <f t="array" ref="K692">IFERROR(LOOKUP(2,1/('Outreach Log'!$C$2:$C$9998=F692),'Outreach Log'!$B$2:$B$9998),"")</f>
        <v/>
      </c>
      <c r="L692" s="66" t="str">
        <f>IFERROR(INDEX('Outreach Log'!$F:$F,MATCH(TEXT(K692,"YYYY-MM-DD")&amp;F692,'Outreach Log'!$L:$L,0)),"")</f>
        <v/>
      </c>
      <c r="M692" s="67" t="str">
        <f>IFERROR(HYPERLINK("#'Outreach Log'!A"&amp;MATCH(TEXT(K692,"YYYY-MM-DD")&amp;F692,'Outreach Log'!$L:$L,0),"→ View"),"—")</f>
        <v>—</v>
      </c>
      <c r="N692" s="67" t="str">
        <f>IFERROR(HYPERLINK("#Companies!A"&amp;MATCH(E692,Companies!$B:$B,0),"→ View"),"—")</f>
        <v>—</v>
      </c>
    </row>
    <row r="693" spans="1:14" ht="15" customHeight="1">
      <c r="A693" s="9">
        <f>IF(tblContacts[[#This Row],[First Name]]&lt;&gt;0,ROW()-1,"")</f>
        <v>692</v>
      </c>
      <c r="B693" s="55" t="s">
        <v>1584</v>
      </c>
      <c r="C693" s="55" t="s">
        <v>2889</v>
      </c>
      <c r="F693" s="35" t="s">
        <v>2944</v>
      </c>
      <c r="G693" s="35">
        <v>508296134</v>
      </c>
      <c r="H693" s="10" t="s">
        <v>2928</v>
      </c>
      <c r="I693" s="44" t="s">
        <v>2993</v>
      </c>
      <c r="K693" s="65" t="str" cm="1">
        <f t="array" ref="K693">IFERROR(LOOKUP(2,1/('Outreach Log'!$C$2:$C$9998=F693),'Outreach Log'!$B$2:$B$9998),"")</f>
        <v/>
      </c>
      <c r="L693" s="66" t="str">
        <f>IFERROR(INDEX('Outreach Log'!$F:$F,MATCH(TEXT(K693,"YYYY-MM-DD")&amp;F693,'Outreach Log'!$L:$L,0)),"")</f>
        <v/>
      </c>
      <c r="M693" s="67" t="str">
        <f>IFERROR(HYPERLINK("#'Outreach Log'!A"&amp;MATCH(TEXT(K693,"YYYY-MM-DD")&amp;F693,'Outreach Log'!$L:$L,0),"→ View"),"—")</f>
        <v>—</v>
      </c>
      <c r="N693" s="67" t="str">
        <f>IFERROR(HYPERLINK("#Companies!A"&amp;MATCH(E693,Companies!$B:$B,0),"→ View"),"—")</f>
        <v>—</v>
      </c>
    </row>
    <row r="694" spans="1:14" ht="15" customHeight="1">
      <c r="A694" s="9">
        <f>IF(tblContacts[[#This Row],[First Name]]&lt;&gt;0,ROW()-1,"")</f>
        <v>693</v>
      </c>
      <c r="B694" s="55" t="s">
        <v>2925</v>
      </c>
      <c r="C694" s="55" t="s">
        <v>1590</v>
      </c>
      <c r="F694" s="33" t="s">
        <v>2981</v>
      </c>
      <c r="G694" s="33">
        <v>585833888</v>
      </c>
      <c r="H694" s="10" t="s">
        <v>2928</v>
      </c>
      <c r="I694" s="44" t="s">
        <v>2993</v>
      </c>
      <c r="K694" s="65" t="str" cm="1">
        <f t="array" ref="K694">IFERROR(LOOKUP(2,1/('Outreach Log'!$C$2:$C$9998=F694),'Outreach Log'!$B$2:$B$9998),"")</f>
        <v/>
      </c>
      <c r="L694" s="66" t="str">
        <f>IFERROR(INDEX('Outreach Log'!$F:$F,MATCH(TEXT(K694,"YYYY-MM-DD")&amp;F694,'Outreach Log'!$L:$L,0)),"")</f>
        <v/>
      </c>
      <c r="M694" s="67" t="str">
        <f>IFERROR(HYPERLINK("#'Outreach Log'!A"&amp;MATCH(TEXT(K694,"YYYY-MM-DD")&amp;F694,'Outreach Log'!$L:$L,0),"→ View"),"—")</f>
        <v>—</v>
      </c>
      <c r="N694" s="67" t="str">
        <f>IFERROR(HYPERLINK("#Companies!A"&amp;MATCH(E694,Companies!$B:$B,0),"→ View"),"—")</f>
        <v>—</v>
      </c>
    </row>
    <row r="695" spans="1:14" ht="15" customHeight="1">
      <c r="A695" s="9">
        <f>IF(tblContacts[[#This Row],[First Name]]&lt;&gt;0,ROW()-1,"")</f>
        <v>694</v>
      </c>
      <c r="B695" s="55" t="s">
        <v>1135</v>
      </c>
      <c r="C695" s="55" t="s">
        <v>2907</v>
      </c>
      <c r="F695" s="35" t="s">
        <v>2966</v>
      </c>
      <c r="G695" s="36"/>
      <c r="H695" s="10" t="s">
        <v>2928</v>
      </c>
      <c r="I695" s="44" t="s">
        <v>2993</v>
      </c>
      <c r="K695" s="65" t="str" cm="1">
        <f t="array" ref="K695">IFERROR(LOOKUP(2,1/('Outreach Log'!$C$2:$C$9998=F695),'Outreach Log'!$B$2:$B$9998),"")</f>
        <v/>
      </c>
      <c r="L695" s="66" t="str">
        <f>IFERROR(INDEX('Outreach Log'!$F:$F,MATCH(TEXT(K695,"YYYY-MM-DD")&amp;F695,'Outreach Log'!$L:$L,0)),"")</f>
        <v/>
      </c>
      <c r="M695" s="67" t="str">
        <f>IFERROR(HYPERLINK("#'Outreach Log'!A"&amp;MATCH(TEXT(K695,"YYYY-MM-DD")&amp;F695,'Outreach Log'!$L:$L,0),"→ View"),"—")</f>
        <v>—</v>
      </c>
      <c r="N695" s="67" t="str">
        <f>IFERROR(HYPERLINK("#Companies!A"&amp;MATCH(E695,Companies!$B:$B,0),"→ View"),"—")</f>
        <v>—</v>
      </c>
    </row>
    <row r="696" spans="1:14" ht="15" customHeight="1">
      <c r="A696" s="9">
        <f>IF(tblContacts[[#This Row],[First Name]]&lt;&gt;0,ROW()-1,"")</f>
        <v>695</v>
      </c>
      <c r="B696" s="55" t="s">
        <v>2876</v>
      </c>
      <c r="C696" s="55" t="s">
        <v>2877</v>
      </c>
      <c r="F696" s="35" t="s">
        <v>2931</v>
      </c>
      <c r="G696" s="35">
        <v>502728395</v>
      </c>
      <c r="H696" s="10" t="s">
        <v>2928</v>
      </c>
      <c r="I696" s="44" t="s">
        <v>2993</v>
      </c>
      <c r="K696" s="65" t="str" cm="1">
        <f t="array" ref="K696">IFERROR(LOOKUP(2,1/('Outreach Log'!$C$2:$C$9998=F696),'Outreach Log'!$B$2:$B$9998),"")</f>
        <v/>
      </c>
      <c r="L696" s="66" t="str">
        <f>IFERROR(INDEX('Outreach Log'!$F:$F,MATCH(TEXT(K696,"YYYY-MM-DD")&amp;F696,'Outreach Log'!$L:$L,0)),"")</f>
        <v/>
      </c>
      <c r="M696" s="67" t="str">
        <f>IFERROR(HYPERLINK("#'Outreach Log'!A"&amp;MATCH(TEXT(K696,"YYYY-MM-DD")&amp;F696,'Outreach Log'!$L:$L,0),"→ View"),"—")</f>
        <v>—</v>
      </c>
      <c r="N696" s="67" t="str">
        <f>IFERROR(HYPERLINK("#Companies!A"&amp;MATCH(E696,Companies!$B:$B,0),"→ View"),"—")</f>
        <v>—</v>
      </c>
    </row>
    <row r="697" spans="1:14" ht="15" customHeight="1">
      <c r="A697" s="9">
        <f>IF(tblContacts[[#This Row],[First Name]]&lt;&gt;0,ROW()-1,"")</f>
        <v>696</v>
      </c>
      <c r="B697" s="55" t="s">
        <v>2924</v>
      </c>
      <c r="C697" s="55" t="s">
        <v>1119</v>
      </c>
      <c r="F697" s="33" t="s">
        <v>2980</v>
      </c>
      <c r="G697" s="33">
        <v>546544143</v>
      </c>
      <c r="H697" s="10" t="s">
        <v>2928</v>
      </c>
      <c r="I697" s="44" t="s">
        <v>2993</v>
      </c>
      <c r="K697" s="65" t="str" cm="1">
        <f t="array" ref="K697">IFERROR(LOOKUP(2,1/('Outreach Log'!$C$2:$C$9998=F697),'Outreach Log'!$B$2:$B$9998),"")</f>
        <v/>
      </c>
      <c r="L697" s="66" t="str">
        <f>IFERROR(INDEX('Outreach Log'!$F:$F,MATCH(TEXT(K697,"YYYY-MM-DD")&amp;F697,'Outreach Log'!$L:$L,0)),"")</f>
        <v/>
      </c>
      <c r="M697" s="67" t="str">
        <f>IFERROR(HYPERLINK("#'Outreach Log'!A"&amp;MATCH(TEXT(K697,"YYYY-MM-DD")&amp;F697,'Outreach Log'!$L:$L,0),"→ View"),"—")</f>
        <v>—</v>
      </c>
      <c r="N697" s="67" t="str">
        <f>IFERROR(HYPERLINK("#Companies!A"&amp;MATCH(E697,Companies!$B:$B,0),"→ View"),"—")</f>
        <v>—</v>
      </c>
    </row>
    <row r="698" spans="1:14" ht="15" customHeight="1">
      <c r="A698" s="9">
        <f>IF(tblContacts[[#This Row],[First Name]]&lt;&gt;0,ROW()-1,"")</f>
        <v>697</v>
      </c>
      <c r="B698" s="55" t="s">
        <v>1625</v>
      </c>
      <c r="C698" s="55" t="s">
        <v>2908</v>
      </c>
      <c r="F698" s="35" t="s">
        <v>2967</v>
      </c>
      <c r="G698" s="35">
        <v>545993128</v>
      </c>
      <c r="H698" s="10" t="s">
        <v>2928</v>
      </c>
      <c r="I698" s="44" t="s">
        <v>2993</v>
      </c>
      <c r="K698" s="65" t="str" cm="1">
        <f t="array" ref="K698">IFERROR(LOOKUP(2,1/('Outreach Log'!$C$2:$C$9998=F698),'Outreach Log'!$B$2:$B$9998),"")</f>
        <v/>
      </c>
      <c r="L698" s="66" t="str">
        <f>IFERROR(INDEX('Outreach Log'!$F:$F,MATCH(TEXT(K698,"YYYY-MM-DD")&amp;F698,'Outreach Log'!$L:$L,0)),"")</f>
        <v/>
      </c>
      <c r="M698" s="67" t="str">
        <f>IFERROR(HYPERLINK("#'Outreach Log'!A"&amp;MATCH(TEXT(K698,"YYYY-MM-DD")&amp;F698,'Outreach Log'!$L:$L,0),"→ View"),"—")</f>
        <v>—</v>
      </c>
      <c r="N698" s="67" t="str">
        <f>IFERROR(HYPERLINK("#Companies!A"&amp;MATCH(E698,Companies!$B:$B,0),"→ View"),"—")</f>
        <v>—</v>
      </c>
    </row>
    <row r="699" spans="1:14" ht="15" customHeight="1">
      <c r="A699" s="9">
        <f>IF(tblContacts[[#This Row],[First Name]]&lt;&gt;0,ROW()-1,"")</f>
        <v>698</v>
      </c>
      <c r="B699" s="55" t="s">
        <v>1625</v>
      </c>
      <c r="C699" s="55" t="s">
        <v>2888</v>
      </c>
      <c r="F699" s="35" t="s">
        <v>2941</v>
      </c>
      <c r="G699" s="35">
        <v>542475007</v>
      </c>
      <c r="H699" s="10" t="s">
        <v>2928</v>
      </c>
      <c r="I699" s="44" t="s">
        <v>2993</v>
      </c>
      <c r="K699" s="65" t="str" cm="1">
        <f t="array" ref="K699">IFERROR(LOOKUP(2,1/('Outreach Log'!$C$2:$C$9998=F699),'Outreach Log'!$B$2:$B$9998),"")</f>
        <v/>
      </c>
      <c r="L699" s="66" t="str">
        <f>IFERROR(INDEX('Outreach Log'!$F:$F,MATCH(TEXT(K699,"YYYY-MM-DD")&amp;F699,'Outreach Log'!$L:$L,0)),"")</f>
        <v/>
      </c>
      <c r="M699" s="67" t="str">
        <f>IFERROR(HYPERLINK("#'Outreach Log'!A"&amp;MATCH(TEXT(K699,"YYYY-MM-DD")&amp;F699,'Outreach Log'!$L:$L,0),"→ View"),"—")</f>
        <v>—</v>
      </c>
      <c r="N699" s="67" t="str">
        <f>IFERROR(HYPERLINK("#Companies!A"&amp;MATCH(E699,Companies!$B:$B,0),"→ View"),"—")</f>
        <v>—</v>
      </c>
    </row>
    <row r="700" spans="1:14" ht="15" customHeight="1">
      <c r="A700" s="9">
        <f>IF(tblContacts[[#This Row],[First Name]]&lt;&gt;0,ROW()-1,"")</f>
        <v>699</v>
      </c>
      <c r="B700" s="55" t="s">
        <v>1278</v>
      </c>
      <c r="C700" s="55" t="s">
        <v>2879</v>
      </c>
      <c r="F700" s="35" t="s">
        <v>2933</v>
      </c>
      <c r="G700" s="35">
        <v>503399100</v>
      </c>
      <c r="H700" s="10" t="s">
        <v>2928</v>
      </c>
      <c r="I700" s="44" t="s">
        <v>2993</v>
      </c>
      <c r="K700" s="65" t="str" cm="1">
        <f t="array" ref="K700">IFERROR(LOOKUP(2,1/('Outreach Log'!$C$2:$C$9998=F700),'Outreach Log'!$B$2:$B$9998),"")</f>
        <v/>
      </c>
      <c r="L700" s="66" t="str">
        <f>IFERROR(INDEX('Outreach Log'!$F:$F,MATCH(TEXT(K700,"YYYY-MM-DD")&amp;F700,'Outreach Log'!$L:$L,0)),"")</f>
        <v/>
      </c>
      <c r="M700" s="67" t="str">
        <f>IFERROR(HYPERLINK("#'Outreach Log'!A"&amp;MATCH(TEXT(K700,"YYYY-MM-DD")&amp;F700,'Outreach Log'!$L:$L,0),"→ View"),"—")</f>
        <v>—</v>
      </c>
      <c r="N700" s="67" t="str">
        <f>IFERROR(HYPERLINK("#Companies!A"&amp;MATCH(E700,Companies!$B:$B,0),"→ View"),"—")</f>
        <v>—</v>
      </c>
    </row>
    <row r="701" spans="1:14" ht="15" customHeight="1">
      <c r="A701" s="9">
        <f>IF(tblContacts[[#This Row],[First Name]]&lt;&gt;0,ROW()-1,"")</f>
        <v>700</v>
      </c>
      <c r="B701" s="55" t="s">
        <v>2913</v>
      </c>
      <c r="C701" s="55" t="s">
        <v>2914</v>
      </c>
      <c r="F701" s="33" t="s">
        <v>2971</v>
      </c>
      <c r="G701" s="33">
        <v>523644640</v>
      </c>
      <c r="H701" s="10" t="s">
        <v>2928</v>
      </c>
      <c r="I701" s="44" t="s">
        <v>2993</v>
      </c>
      <c r="K701" s="65" t="str" cm="1">
        <f t="array" ref="K701">IFERROR(LOOKUP(2,1/('Outreach Log'!$C$2:$C$9998=F701),'Outreach Log'!$B$2:$B$9998),"")</f>
        <v/>
      </c>
      <c r="L701" s="66" t="str">
        <f>IFERROR(INDEX('Outreach Log'!$F:$F,MATCH(TEXT(K701,"YYYY-MM-DD")&amp;F701,'Outreach Log'!$L:$L,0)),"")</f>
        <v/>
      </c>
      <c r="M701" s="67" t="str">
        <f>IFERROR(HYPERLINK("#'Outreach Log'!A"&amp;MATCH(TEXT(K701,"YYYY-MM-DD")&amp;F701,'Outreach Log'!$L:$L,0),"→ View"),"—")</f>
        <v>—</v>
      </c>
      <c r="N701" s="67" t="str">
        <f>IFERROR(HYPERLINK("#Companies!A"&amp;MATCH(E701,Companies!$B:$B,0),"→ View"),"—")</f>
        <v>—</v>
      </c>
    </row>
    <row r="702" spans="1:14" ht="15" customHeight="1">
      <c r="A702" s="9">
        <f>IF(tblContacts[[#This Row],[First Name]]&lt;&gt;0,ROW()-1,"")</f>
        <v>701</v>
      </c>
      <c r="B702" s="55" t="s">
        <v>858</v>
      </c>
      <c r="C702" s="55" t="s">
        <v>2899</v>
      </c>
      <c r="F702" s="35" t="s">
        <v>2956</v>
      </c>
      <c r="G702" s="36"/>
      <c r="H702" s="10" t="s">
        <v>2928</v>
      </c>
      <c r="I702" s="44" t="s">
        <v>2993</v>
      </c>
      <c r="K702" s="65" t="str" cm="1">
        <f t="array" ref="K702">IFERROR(LOOKUP(2,1/('Outreach Log'!$C$2:$C$9998=F702),'Outreach Log'!$B$2:$B$9998),"")</f>
        <v/>
      </c>
      <c r="L702" s="66" t="str">
        <f>IFERROR(INDEX('Outreach Log'!$F:$F,MATCH(TEXT(K702,"YYYY-MM-DD")&amp;F702,'Outreach Log'!$L:$L,0)),"")</f>
        <v/>
      </c>
      <c r="M702" s="67" t="str">
        <f>IFERROR(HYPERLINK("#'Outreach Log'!A"&amp;MATCH(TEXT(K702,"YYYY-MM-DD")&amp;F702,'Outreach Log'!$L:$L,0),"→ View"),"—")</f>
        <v>—</v>
      </c>
      <c r="N702" s="67" t="str">
        <f>IFERROR(HYPERLINK("#Companies!A"&amp;MATCH(E702,Companies!$B:$B,0),"→ View"),"—")</f>
        <v>—</v>
      </c>
    </row>
    <row r="703" spans="1:14" ht="15" customHeight="1">
      <c r="A703" s="9">
        <f>IF(tblContacts[[#This Row],[First Name]]&lt;&gt;0,ROW()-1,"")</f>
        <v>702</v>
      </c>
      <c r="B703" s="55" t="s">
        <v>1707</v>
      </c>
      <c r="C703" s="55" t="s">
        <v>2909</v>
      </c>
      <c r="F703" s="35" t="s">
        <v>2968</v>
      </c>
      <c r="G703" s="35">
        <v>542097969</v>
      </c>
      <c r="H703" s="10" t="s">
        <v>2928</v>
      </c>
      <c r="I703" s="44" t="s">
        <v>2993</v>
      </c>
      <c r="K703" s="65" t="str" cm="1">
        <f t="array" ref="K703">IFERROR(LOOKUP(2,1/('Outreach Log'!$C$2:$C$9998=F703),'Outreach Log'!$B$2:$B$9998),"")</f>
        <v/>
      </c>
      <c r="L703" s="66" t="str">
        <f>IFERROR(INDEX('Outreach Log'!$F:$F,MATCH(TEXT(K703,"YYYY-MM-DD")&amp;F703,'Outreach Log'!$L:$L,0)),"")</f>
        <v/>
      </c>
      <c r="M703" s="67" t="str">
        <f>IFERROR(HYPERLINK("#'Outreach Log'!A"&amp;MATCH(TEXT(K703,"YYYY-MM-DD")&amp;F703,'Outreach Log'!$L:$L,0),"→ View"),"—")</f>
        <v>—</v>
      </c>
      <c r="N703" s="67" t="str">
        <f>IFERROR(HYPERLINK("#Companies!A"&amp;MATCH(E703,Companies!$B:$B,0),"→ View"),"—")</f>
        <v>—</v>
      </c>
    </row>
    <row r="704" spans="1:14" ht="15" customHeight="1">
      <c r="A704" s="9">
        <f>IF(tblContacts[[#This Row],[First Name]]&lt;&gt;0,ROW()-1,"")</f>
        <v>703</v>
      </c>
      <c r="B704" s="55" t="s">
        <v>763</v>
      </c>
      <c r="C704" s="55" t="s">
        <v>2887</v>
      </c>
      <c r="F704" s="35" t="s">
        <v>2940</v>
      </c>
      <c r="G704" s="35">
        <v>509300118</v>
      </c>
      <c r="H704" s="10" t="s">
        <v>2928</v>
      </c>
      <c r="I704" s="44" t="s">
        <v>2993</v>
      </c>
      <c r="K704" s="65" t="str" cm="1">
        <f t="array" ref="K704">IFERROR(LOOKUP(2,1/('Outreach Log'!$C$2:$C$9998=F704),'Outreach Log'!$B$2:$B$9998),"")</f>
        <v/>
      </c>
      <c r="L704" s="66" t="str">
        <f>IFERROR(INDEX('Outreach Log'!$F:$F,MATCH(TEXT(K704,"YYYY-MM-DD")&amp;F704,'Outreach Log'!$L:$L,0)),"")</f>
        <v/>
      </c>
      <c r="M704" s="67" t="str">
        <f>IFERROR(HYPERLINK("#'Outreach Log'!A"&amp;MATCH(TEXT(K704,"YYYY-MM-DD")&amp;F704,'Outreach Log'!$L:$L,0),"→ View"),"—")</f>
        <v>—</v>
      </c>
      <c r="N704" s="67" t="str">
        <f>IFERROR(HYPERLINK("#Companies!A"&amp;MATCH(E704,Companies!$B:$B,0),"→ View"),"—")</f>
        <v>—</v>
      </c>
    </row>
    <row r="705" spans="1:14" ht="15" customHeight="1">
      <c r="A705" s="9">
        <f>IF(tblContacts[[#This Row],[First Name]]&lt;&gt;0,ROW()-1,"")</f>
        <v>704</v>
      </c>
      <c r="B705" s="55" t="s">
        <v>1211</v>
      </c>
      <c r="C705" s="55" t="s">
        <v>2901</v>
      </c>
      <c r="F705" s="35" t="s">
        <v>2958</v>
      </c>
      <c r="G705" s="35">
        <v>587941458</v>
      </c>
      <c r="H705" s="10" t="s">
        <v>2928</v>
      </c>
      <c r="I705" s="44" t="s">
        <v>2993</v>
      </c>
      <c r="K705" s="65" t="str" cm="1">
        <f t="array" ref="K705">IFERROR(LOOKUP(2,1/('Outreach Log'!$C$2:$C$9998=F705),'Outreach Log'!$B$2:$B$9998),"")</f>
        <v/>
      </c>
      <c r="L705" s="66" t="str">
        <f>IFERROR(INDEX('Outreach Log'!$F:$F,MATCH(TEXT(K705,"YYYY-MM-DD")&amp;F705,'Outreach Log'!$L:$L,0)),"")</f>
        <v/>
      </c>
      <c r="M705" s="67" t="str">
        <f>IFERROR(HYPERLINK("#'Outreach Log'!A"&amp;MATCH(TEXT(K705,"YYYY-MM-DD")&amp;F705,'Outreach Log'!$L:$L,0),"→ View"),"—")</f>
        <v>—</v>
      </c>
      <c r="N705" s="67" t="str">
        <f>IFERROR(HYPERLINK("#Companies!A"&amp;MATCH(E705,Companies!$B:$B,0),"→ View"),"—")</f>
        <v>—</v>
      </c>
    </row>
    <row r="706" spans="1:14" ht="15" customHeight="1">
      <c r="A706" s="9">
        <f>IF(tblContacts[[#This Row],[First Name]]&lt;&gt;0,ROW()-1,"")</f>
        <v>705</v>
      </c>
      <c r="B706" s="55" t="s">
        <v>1196</v>
      </c>
      <c r="C706" s="55" t="s">
        <v>2918</v>
      </c>
      <c r="F706" s="33" t="s">
        <v>2975</v>
      </c>
      <c r="G706" s="33">
        <v>508328976</v>
      </c>
      <c r="H706" s="10" t="s">
        <v>2928</v>
      </c>
      <c r="I706" s="44" t="s">
        <v>2993</v>
      </c>
      <c r="K706" s="65" t="str" cm="1">
        <f t="array" ref="K706">IFERROR(LOOKUP(2,1/('Outreach Log'!$C$2:$C$9998=F706),'Outreach Log'!$B$2:$B$9998),"")</f>
        <v/>
      </c>
      <c r="L706" s="66" t="str">
        <f>IFERROR(INDEX('Outreach Log'!$F:$F,MATCH(TEXT(K706,"YYYY-MM-DD")&amp;F706,'Outreach Log'!$L:$L,0)),"")</f>
        <v/>
      </c>
      <c r="M706" s="67" t="str">
        <f>IFERROR(HYPERLINK("#'Outreach Log'!A"&amp;MATCH(TEXT(K706,"YYYY-MM-DD")&amp;F706,'Outreach Log'!$L:$L,0),"→ View"),"—")</f>
        <v>—</v>
      </c>
      <c r="N706" s="67" t="str">
        <f>IFERROR(HYPERLINK("#Companies!A"&amp;MATCH(E706,Companies!$B:$B,0),"→ View"),"—")</f>
        <v>—</v>
      </c>
    </row>
    <row r="707" spans="1:14" ht="15" customHeight="1">
      <c r="A707" s="9">
        <f>IF(tblContacts[[#This Row],[First Name]]&lt;&gt;0,ROW()-1,"")</f>
        <v>706</v>
      </c>
      <c r="B707" s="55" t="s">
        <v>1777</v>
      </c>
      <c r="C707" s="55" t="s">
        <v>1778</v>
      </c>
      <c r="F707" s="35" t="s">
        <v>2954</v>
      </c>
      <c r="G707" s="35" t="s">
        <v>2988</v>
      </c>
      <c r="H707" s="10" t="s">
        <v>2928</v>
      </c>
      <c r="I707" s="44" t="s">
        <v>2993</v>
      </c>
      <c r="K707" s="65" t="str" cm="1">
        <f t="array" ref="K707">IFERROR(LOOKUP(2,1/('Outreach Log'!$C$2:$C$9998=F707),'Outreach Log'!$B$2:$B$9998),"")</f>
        <v/>
      </c>
      <c r="L707" s="66" t="str">
        <f>IFERROR(INDEX('Outreach Log'!$F:$F,MATCH(TEXT(K707,"YYYY-MM-DD")&amp;F707,'Outreach Log'!$L:$L,0)),"")</f>
        <v/>
      </c>
      <c r="M707" s="67" t="str">
        <f>IFERROR(HYPERLINK("#'Outreach Log'!A"&amp;MATCH(TEXT(K707,"YYYY-MM-DD")&amp;F707,'Outreach Log'!$L:$L,0),"→ View"),"—")</f>
        <v>—</v>
      </c>
      <c r="N707" s="67" t="str">
        <f>IFERROR(HYPERLINK("#Companies!A"&amp;MATCH(E707,Companies!$B:$B,0),"→ View"),"—")</f>
        <v>—</v>
      </c>
    </row>
    <row r="708" spans="1:14" ht="15" customHeight="1">
      <c r="A708" s="9">
        <f>IF(tblContacts[[#This Row],[First Name]]&lt;&gt;0,ROW()-1,"")</f>
        <v>707</v>
      </c>
      <c r="B708" s="55" t="s">
        <v>1788</v>
      </c>
      <c r="C708" s="55" t="s">
        <v>2900</v>
      </c>
      <c r="F708" s="35" t="s">
        <v>2957</v>
      </c>
      <c r="G708" s="35" t="s">
        <v>2989</v>
      </c>
      <c r="H708" s="10" t="s">
        <v>2928</v>
      </c>
      <c r="I708" s="44" t="s">
        <v>2993</v>
      </c>
      <c r="K708" s="65" t="str" cm="1">
        <f t="array" ref="K708">IFERROR(LOOKUP(2,1/('Outreach Log'!$C$2:$C$9998=F708),'Outreach Log'!$B$2:$B$9998),"")</f>
        <v/>
      </c>
      <c r="L708" s="66" t="str">
        <f>IFERROR(INDEX('Outreach Log'!$F:$F,MATCH(TEXT(K708,"YYYY-MM-DD")&amp;F708,'Outreach Log'!$L:$L,0)),"")</f>
        <v/>
      </c>
      <c r="M708" s="67" t="str">
        <f>IFERROR(HYPERLINK("#'Outreach Log'!A"&amp;MATCH(TEXT(K708,"YYYY-MM-DD")&amp;F708,'Outreach Log'!$L:$L,0),"→ View"),"—")</f>
        <v>—</v>
      </c>
      <c r="N708" s="67" t="str">
        <f>IFERROR(HYPERLINK("#Companies!A"&amp;MATCH(E708,Companies!$B:$B,0),"→ View"),"—")</f>
        <v>—</v>
      </c>
    </row>
    <row r="709" spans="1:14" ht="15" customHeight="1">
      <c r="A709" s="9">
        <f>IF(tblContacts[[#This Row],[First Name]]&lt;&gt;0,ROW()-1,"")</f>
        <v>708</v>
      </c>
      <c r="B709" s="55" t="s">
        <v>1217</v>
      </c>
      <c r="C709" s="55" t="s">
        <v>1336</v>
      </c>
      <c r="F709" s="35" t="s">
        <v>2943</v>
      </c>
      <c r="G709" s="35">
        <v>508882653</v>
      </c>
      <c r="H709" s="10" t="s">
        <v>2928</v>
      </c>
      <c r="I709" s="44" t="s">
        <v>2993</v>
      </c>
      <c r="K709" s="65" t="str" cm="1">
        <f t="array" ref="K709">IFERROR(LOOKUP(2,1/('Outreach Log'!$C$2:$C$9998=F709),'Outreach Log'!$B$2:$B$9998),"")</f>
        <v/>
      </c>
      <c r="L709" s="66" t="str">
        <f>IFERROR(INDEX('Outreach Log'!$F:$F,MATCH(TEXT(K709,"YYYY-MM-DD")&amp;F709,'Outreach Log'!$L:$L,0)),"")</f>
        <v/>
      </c>
      <c r="M709" s="67" t="str">
        <f>IFERROR(HYPERLINK("#'Outreach Log'!A"&amp;MATCH(TEXT(K709,"YYYY-MM-DD")&amp;F709,'Outreach Log'!$L:$L,0),"→ View"),"—")</f>
        <v>—</v>
      </c>
      <c r="N709" s="67" t="str">
        <f>IFERROR(HYPERLINK("#Companies!A"&amp;MATCH(E709,Companies!$B:$B,0),"→ View"),"—")</f>
        <v>—</v>
      </c>
    </row>
    <row r="710" spans="1:14" ht="15" customHeight="1">
      <c r="A710" s="9">
        <f>IF(tblContacts[[#This Row],[First Name]]&lt;&gt;0,ROW()-1,"")</f>
        <v>709</v>
      </c>
      <c r="B710" s="55" t="s">
        <v>2904</v>
      </c>
      <c r="C710" s="55" t="s">
        <v>2905</v>
      </c>
      <c r="F710" s="35" t="s">
        <v>2964</v>
      </c>
      <c r="G710" s="35">
        <v>502317439</v>
      </c>
      <c r="H710" s="10" t="s">
        <v>2928</v>
      </c>
      <c r="I710" s="44" t="s">
        <v>2993</v>
      </c>
      <c r="K710" s="65" t="str" cm="1">
        <f t="array" ref="K710">IFERROR(LOOKUP(2,1/('Outreach Log'!$C$2:$C$9998=F710),'Outreach Log'!$B$2:$B$9998),"")</f>
        <v/>
      </c>
      <c r="L710" s="66" t="str">
        <f>IFERROR(INDEX('Outreach Log'!$F:$F,MATCH(TEXT(K710,"YYYY-MM-DD")&amp;F710,'Outreach Log'!$L:$L,0)),"")</f>
        <v/>
      </c>
      <c r="M710" s="67" t="str">
        <f>IFERROR(HYPERLINK("#'Outreach Log'!A"&amp;MATCH(TEXT(K710,"YYYY-MM-DD")&amp;F710,'Outreach Log'!$L:$L,0),"→ View"),"—")</f>
        <v>—</v>
      </c>
      <c r="N710" s="67" t="str">
        <f>IFERROR(HYPERLINK("#Companies!A"&amp;MATCH(E710,Companies!$B:$B,0),"→ View"),"—")</f>
        <v>—</v>
      </c>
    </row>
    <row r="711" spans="1:14" ht="15" customHeight="1">
      <c r="A711" s="9">
        <f>IF(tblContacts[[#This Row],[First Name]]&lt;&gt;0,ROW()-1,"")</f>
        <v>710</v>
      </c>
      <c r="B711" s="50" t="str">
        <f>IF(tblContacts[[#This Row],[Last Name]]&lt;&gt;0,ROW()-1,"")</f>
        <v/>
      </c>
      <c r="C711" s="55"/>
      <c r="F711" s="33" t="s">
        <v>2983</v>
      </c>
      <c r="G711" s="33">
        <v>545842338</v>
      </c>
      <c r="H711" s="10" t="s">
        <v>2928</v>
      </c>
      <c r="I711" s="44" t="s">
        <v>2993</v>
      </c>
      <c r="K711" s="65" t="str" cm="1">
        <f t="array" ref="K711">IFERROR(LOOKUP(2,1/('Outreach Log'!$C$2:$C$9998=F711),'Outreach Log'!$B$2:$B$9998),"")</f>
        <v/>
      </c>
      <c r="L711" s="66" t="str">
        <f>IFERROR(INDEX('Outreach Log'!$F:$F,MATCH(TEXT(K711,"YYYY-MM-DD")&amp;F711,'Outreach Log'!$L:$L,0)),"")</f>
        <v/>
      </c>
      <c r="M711" s="67" t="str">
        <f>IFERROR(HYPERLINK("#'Outreach Log'!A"&amp;MATCH(TEXT(K711,"YYYY-MM-DD")&amp;F711,'Outreach Log'!$L:$L,0),"→ View"),"—")</f>
        <v>—</v>
      </c>
      <c r="N711" s="67" t="str">
        <f>IFERROR(HYPERLINK("#Companies!A"&amp;MATCH(E711,Companies!$B:$B,0),"→ View"),"—")</f>
        <v>—</v>
      </c>
    </row>
    <row r="712" spans="1:14" ht="15" customHeight="1">
      <c r="A712" s="9">
        <f>IF(tblContacts[[#This Row],[First Name]]&lt;&gt;0,ROW()-1,"")</f>
        <v>711</v>
      </c>
      <c r="B712" s="55" t="s">
        <v>2884</v>
      </c>
      <c r="C712" s="55" t="s">
        <v>980</v>
      </c>
      <c r="F712" s="35" t="s">
        <v>2938</v>
      </c>
      <c r="G712" s="35">
        <v>542580699</v>
      </c>
      <c r="H712" s="10" t="s">
        <v>2928</v>
      </c>
      <c r="I712" s="44" t="s">
        <v>2993</v>
      </c>
      <c r="K712" s="65" t="str" cm="1">
        <f t="array" ref="K712">IFERROR(LOOKUP(2,1/('Outreach Log'!$C$2:$C$9998=F712),'Outreach Log'!$B$2:$B$9998),"")</f>
        <v/>
      </c>
      <c r="L712" s="66" t="str">
        <f>IFERROR(INDEX('Outreach Log'!$F:$F,MATCH(TEXT(K712,"YYYY-MM-DD")&amp;F712,'Outreach Log'!$L:$L,0)),"")</f>
        <v/>
      </c>
      <c r="M712" s="67" t="str">
        <f>IFERROR(HYPERLINK("#'Outreach Log'!A"&amp;MATCH(TEXT(K712,"YYYY-MM-DD")&amp;F712,'Outreach Log'!$L:$L,0),"→ View"),"—")</f>
        <v>—</v>
      </c>
      <c r="N712" s="67" t="str">
        <f>IFERROR(HYPERLINK("#Companies!A"&amp;MATCH(E712,Companies!$B:$B,0),"→ View"),"—")</f>
        <v>—</v>
      </c>
    </row>
    <row r="713" spans="1:14" ht="15" customHeight="1">
      <c r="A713" s="9">
        <f>IF(tblContacts[[#This Row],[First Name]]&lt;&gt;0,ROW()-1,"")</f>
        <v>712</v>
      </c>
      <c r="B713" s="55" t="s">
        <v>1965</v>
      </c>
      <c r="C713" s="55" t="s">
        <v>2917</v>
      </c>
      <c r="F713" s="33" t="s">
        <v>2974</v>
      </c>
      <c r="G713" s="33">
        <v>552240406</v>
      </c>
      <c r="H713" s="10" t="s">
        <v>2928</v>
      </c>
      <c r="I713" s="44" t="s">
        <v>2993</v>
      </c>
      <c r="K713" s="65" t="str" cm="1">
        <f t="array" ref="K713">IFERROR(LOOKUP(2,1/('Outreach Log'!$C$2:$C$9998=F713),'Outreach Log'!$B$2:$B$9998),"")</f>
        <v/>
      </c>
      <c r="L713" s="66" t="str">
        <f>IFERROR(INDEX('Outreach Log'!$F:$F,MATCH(TEXT(K713,"YYYY-MM-DD")&amp;F713,'Outreach Log'!$L:$L,0)),"")</f>
        <v/>
      </c>
      <c r="M713" s="67" t="str">
        <f>IFERROR(HYPERLINK("#'Outreach Log'!A"&amp;MATCH(TEXT(K713,"YYYY-MM-DD")&amp;F713,'Outreach Log'!$L:$L,0),"→ View"),"—")</f>
        <v>—</v>
      </c>
      <c r="N713" s="67" t="str">
        <f>IFERROR(HYPERLINK("#Companies!A"&amp;MATCH(E713,Companies!$B:$B,0),"→ View"),"—")</f>
        <v>—</v>
      </c>
    </row>
    <row r="714" spans="1:14" ht="15" customHeight="1">
      <c r="A714" s="9">
        <f>IF(tblContacts[[#This Row],[First Name]]&lt;&gt;0,ROW()-1,"")</f>
        <v>713</v>
      </c>
      <c r="B714" s="55" t="s">
        <v>2910</v>
      </c>
      <c r="C714" s="55" t="s">
        <v>2911</v>
      </c>
      <c r="F714" s="35" t="s">
        <v>2969</v>
      </c>
      <c r="G714" s="35">
        <v>546669249</v>
      </c>
      <c r="H714" s="10" t="s">
        <v>2928</v>
      </c>
      <c r="I714" s="44" t="s">
        <v>2993</v>
      </c>
      <c r="K714" s="65" t="str" cm="1">
        <f t="array" ref="K714">IFERROR(LOOKUP(2,1/('Outreach Log'!$C$2:$C$9998=F714),'Outreach Log'!$B$2:$B$9998),"")</f>
        <v/>
      </c>
      <c r="L714" s="66" t="str">
        <f>IFERROR(INDEX('Outreach Log'!$F:$F,MATCH(TEXT(K714,"YYYY-MM-DD")&amp;F714,'Outreach Log'!$L:$L,0)),"")</f>
        <v/>
      </c>
      <c r="M714" s="67" t="str">
        <f>IFERROR(HYPERLINK("#'Outreach Log'!A"&amp;MATCH(TEXT(K714,"YYYY-MM-DD")&amp;F714,'Outreach Log'!$L:$L,0),"→ View"),"—")</f>
        <v>—</v>
      </c>
      <c r="N714" s="67" t="str">
        <f>IFERROR(HYPERLINK("#Companies!A"&amp;MATCH(E714,Companies!$B:$B,0),"→ View"),"—")</f>
        <v>—</v>
      </c>
    </row>
    <row r="715" spans="1:14" ht="15" customHeight="1">
      <c r="A715" s="9">
        <f>IF(tblContacts[[#This Row],[First Name]]&lt;&gt;0,ROW()-1,"")</f>
        <v>714</v>
      </c>
      <c r="B715" s="55" t="s">
        <v>1306</v>
      </c>
      <c r="C715" s="55"/>
      <c r="F715" s="35" t="s">
        <v>2962</v>
      </c>
      <c r="G715" s="36"/>
      <c r="H715" s="10" t="s">
        <v>2928</v>
      </c>
      <c r="I715" s="44" t="s">
        <v>2993</v>
      </c>
      <c r="K715" s="65" t="str" cm="1">
        <f t="array" ref="K715">IFERROR(LOOKUP(2,1/('Outreach Log'!$C$2:$C$9998=F715),'Outreach Log'!$B$2:$B$9998),"")</f>
        <v/>
      </c>
      <c r="L715" s="66" t="str">
        <f>IFERROR(INDEX('Outreach Log'!$F:$F,MATCH(TEXT(K715,"YYYY-MM-DD")&amp;F715,'Outreach Log'!$L:$L,0)),"")</f>
        <v/>
      </c>
      <c r="M715" s="67" t="str">
        <f>IFERROR(HYPERLINK("#'Outreach Log'!A"&amp;MATCH(TEXT(K715,"YYYY-MM-DD")&amp;F715,'Outreach Log'!$L:$L,0),"→ View"),"—")</f>
        <v>—</v>
      </c>
      <c r="N715" s="67" t="str">
        <f>IFERROR(HYPERLINK("#Companies!A"&amp;MATCH(E715,Companies!$B:$B,0),"→ View"),"—")</f>
        <v>—</v>
      </c>
    </row>
    <row r="716" spans="1:14" ht="15" customHeight="1">
      <c r="A716" s="9">
        <f>IF(tblContacts[[#This Row],[First Name]]&lt;&gt;0,ROW()-1,"")</f>
        <v>715</v>
      </c>
      <c r="B716" s="55" t="s">
        <v>1937</v>
      </c>
      <c r="C716" s="55" t="s">
        <v>2880</v>
      </c>
      <c r="F716" s="35" t="s">
        <v>2934</v>
      </c>
      <c r="G716" s="35">
        <v>545693309</v>
      </c>
      <c r="H716" s="10" t="s">
        <v>2928</v>
      </c>
      <c r="I716" s="44" t="s">
        <v>2993</v>
      </c>
      <c r="K716" s="65" t="str" cm="1">
        <f t="array" ref="K716">IFERROR(LOOKUP(2,1/('Outreach Log'!$C$2:$C$9998=F716),'Outreach Log'!$B$2:$B$9998),"")</f>
        <v/>
      </c>
      <c r="L716" s="66" t="str">
        <f>IFERROR(INDEX('Outreach Log'!$F:$F,MATCH(TEXT(K716,"YYYY-MM-DD")&amp;F716,'Outreach Log'!$L:$L,0)),"")</f>
        <v/>
      </c>
      <c r="M716" s="67" t="str">
        <f>IFERROR(HYPERLINK("#'Outreach Log'!A"&amp;MATCH(TEXT(K716,"YYYY-MM-DD")&amp;F716,'Outreach Log'!$L:$L,0),"→ View"),"—")</f>
        <v>—</v>
      </c>
      <c r="N716" s="67" t="str">
        <f>IFERROR(HYPERLINK("#Companies!A"&amp;MATCH(E716,Companies!$B:$B,0),"→ View"),"—")</f>
        <v>—</v>
      </c>
    </row>
    <row r="717" spans="1:14" ht="15" customHeight="1">
      <c r="A717" s="9"/>
    </row>
    <row r="718" spans="1:14" ht="15" customHeight="1">
      <c r="A718" s="9"/>
    </row>
    <row r="719" spans="1:14" ht="15" customHeight="1">
      <c r="A719" s="9"/>
    </row>
    <row r="720" spans="1:14" ht="15" customHeight="1">
      <c r="A720" s="9"/>
    </row>
    <row r="721" spans="1:1" ht="15" customHeight="1">
      <c r="A721" s="9"/>
    </row>
    <row r="722" spans="1:1" ht="15" customHeight="1">
      <c r="A722" s="9"/>
    </row>
    <row r="723" spans="1:1" ht="15" customHeight="1">
      <c r="A723" s="9"/>
    </row>
    <row r="724" spans="1:1" ht="15" customHeight="1">
      <c r="A724" s="9"/>
    </row>
    <row r="725" spans="1:1" ht="15" customHeight="1">
      <c r="A725" s="9"/>
    </row>
    <row r="726" spans="1:1" ht="15" customHeight="1">
      <c r="A726" s="9"/>
    </row>
    <row r="727" spans="1:1" ht="15" customHeight="1">
      <c r="A727" s="9"/>
    </row>
    <row r="728" spans="1:1" ht="15" customHeight="1">
      <c r="A728" s="9"/>
    </row>
    <row r="729" spans="1:1" ht="15" customHeight="1">
      <c r="A729" s="9"/>
    </row>
    <row r="730" spans="1:1" ht="15" customHeight="1">
      <c r="A730" s="9"/>
    </row>
    <row r="731" spans="1:1" ht="15" customHeight="1">
      <c r="A731" s="9"/>
    </row>
    <row r="732" spans="1:1" ht="15" customHeight="1">
      <c r="A732" s="9"/>
    </row>
    <row r="733" spans="1:1" ht="15" customHeight="1">
      <c r="A733" s="9"/>
    </row>
    <row r="734" spans="1:1" ht="15" customHeight="1">
      <c r="A734" s="9"/>
    </row>
    <row r="735" spans="1:1" ht="15" customHeight="1">
      <c r="A735" s="9"/>
    </row>
    <row r="736" spans="1:1" ht="15" customHeight="1">
      <c r="A736" s="9"/>
    </row>
    <row r="737" spans="1:1" ht="15" customHeight="1">
      <c r="A737" s="9"/>
    </row>
    <row r="738" spans="1:1" ht="15" customHeight="1">
      <c r="A738" s="9"/>
    </row>
    <row r="739" spans="1:1" ht="15" customHeight="1">
      <c r="A739" s="9"/>
    </row>
    <row r="740" spans="1:1" ht="15" customHeight="1">
      <c r="A740" s="9"/>
    </row>
    <row r="741" spans="1:1" ht="15" customHeight="1">
      <c r="A741" s="9"/>
    </row>
    <row r="742" spans="1:1" ht="15" customHeight="1">
      <c r="A742" s="9"/>
    </row>
    <row r="743" spans="1:1" ht="15" customHeight="1">
      <c r="A743" s="9"/>
    </row>
    <row r="744" spans="1:1" ht="15" customHeight="1">
      <c r="A744" s="9"/>
    </row>
    <row r="745" spans="1:1" ht="15" customHeight="1">
      <c r="A745" s="9"/>
    </row>
    <row r="746" spans="1:1" ht="15" customHeight="1">
      <c r="A746" s="9"/>
    </row>
    <row r="747" spans="1:1" ht="15" customHeight="1">
      <c r="A747" s="9"/>
    </row>
    <row r="748" spans="1:1" ht="15" customHeight="1">
      <c r="A748" s="9"/>
    </row>
    <row r="749" spans="1:1" ht="15" customHeight="1">
      <c r="A749" s="9"/>
    </row>
    <row r="750" spans="1:1" ht="15" customHeight="1">
      <c r="A750" s="9"/>
    </row>
    <row r="751" spans="1:1" ht="15" customHeight="1">
      <c r="A751" s="9"/>
    </row>
    <row r="752" spans="1:1" ht="15" customHeight="1">
      <c r="A752" s="9"/>
    </row>
    <row r="753" spans="1:1" ht="15" customHeight="1">
      <c r="A753" s="9"/>
    </row>
    <row r="754" spans="1:1" ht="15" customHeight="1">
      <c r="A754" s="9"/>
    </row>
    <row r="755" spans="1:1" ht="15" customHeight="1">
      <c r="A755" s="9"/>
    </row>
    <row r="756" spans="1:1" ht="15" customHeight="1">
      <c r="A756" s="9"/>
    </row>
    <row r="757" spans="1:1" ht="15" customHeight="1">
      <c r="A757" s="9"/>
    </row>
    <row r="758" spans="1:1" ht="15" customHeight="1">
      <c r="A758" s="9"/>
    </row>
    <row r="759" spans="1:1" ht="15" customHeight="1">
      <c r="A759" s="9"/>
    </row>
    <row r="760" spans="1:1" ht="15" customHeight="1">
      <c r="A760" s="9"/>
    </row>
    <row r="761" spans="1:1" ht="15" customHeight="1">
      <c r="A761" s="9"/>
    </row>
    <row r="762" spans="1:1" ht="15" customHeight="1">
      <c r="A762" s="9"/>
    </row>
    <row r="763" spans="1:1" ht="15" customHeight="1">
      <c r="A763" s="9"/>
    </row>
    <row r="764" spans="1:1" ht="15" customHeight="1">
      <c r="A764" s="9"/>
    </row>
    <row r="765" spans="1:1" ht="15" customHeight="1">
      <c r="A765" s="9"/>
    </row>
    <row r="766" spans="1:1" ht="15" customHeight="1">
      <c r="A766" s="9"/>
    </row>
    <row r="767" spans="1:1" ht="15" customHeight="1">
      <c r="A767" s="9"/>
    </row>
    <row r="768" spans="1:1" ht="15" customHeight="1">
      <c r="A768" s="9"/>
    </row>
    <row r="769" spans="1:1" ht="15" customHeight="1">
      <c r="A769" s="9"/>
    </row>
    <row r="770" spans="1:1" ht="15" customHeight="1">
      <c r="A770" s="9"/>
    </row>
    <row r="771" spans="1:1" ht="15" customHeight="1">
      <c r="A771" s="9"/>
    </row>
    <row r="772" spans="1:1" ht="15" customHeight="1">
      <c r="A772" s="9"/>
    </row>
    <row r="773" spans="1:1" ht="15" customHeight="1">
      <c r="A773" s="9"/>
    </row>
    <row r="774" spans="1:1" ht="15" customHeight="1">
      <c r="A774" s="9"/>
    </row>
    <row r="775" spans="1:1" ht="15" customHeight="1">
      <c r="A775" s="9"/>
    </row>
    <row r="776" spans="1:1" ht="15" customHeight="1">
      <c r="A776" s="9"/>
    </row>
    <row r="777" spans="1:1" ht="15" customHeight="1">
      <c r="A777" s="9"/>
    </row>
    <row r="778" spans="1:1" ht="15" customHeight="1">
      <c r="A778" s="9"/>
    </row>
    <row r="779" spans="1:1" ht="15" customHeight="1">
      <c r="A779" s="9"/>
    </row>
    <row r="780" spans="1:1" ht="15" customHeight="1">
      <c r="A780" s="9"/>
    </row>
    <row r="781" spans="1:1" ht="15" customHeight="1">
      <c r="A781" s="9"/>
    </row>
    <row r="782" spans="1:1" ht="15" customHeight="1">
      <c r="A782" s="9"/>
    </row>
    <row r="783" spans="1:1" ht="15" customHeight="1">
      <c r="A783" s="9"/>
    </row>
    <row r="784" spans="1:1" ht="15" customHeight="1">
      <c r="A784" s="9"/>
    </row>
    <row r="785" spans="1:1" ht="15" customHeight="1">
      <c r="A785" s="9"/>
    </row>
    <row r="786" spans="1:1" ht="15" customHeight="1">
      <c r="A786" s="9"/>
    </row>
    <row r="787" spans="1:1" ht="15" customHeight="1">
      <c r="A787" s="9"/>
    </row>
    <row r="788" spans="1:1" ht="15" customHeight="1">
      <c r="A788" s="9"/>
    </row>
    <row r="789" spans="1:1" ht="15" customHeight="1">
      <c r="A789" s="9"/>
    </row>
    <row r="790" spans="1:1" ht="15" customHeight="1">
      <c r="A790" s="9"/>
    </row>
    <row r="791" spans="1:1" ht="15" customHeight="1">
      <c r="A791" s="9"/>
    </row>
    <row r="792" spans="1:1" ht="15" customHeight="1">
      <c r="A792" s="9"/>
    </row>
    <row r="793" spans="1:1" ht="15" customHeight="1">
      <c r="A793" s="9"/>
    </row>
    <row r="794" spans="1:1" ht="15" customHeight="1">
      <c r="A794" s="9"/>
    </row>
    <row r="795" spans="1:1" ht="15" customHeight="1">
      <c r="A795" s="9"/>
    </row>
    <row r="796" spans="1:1" ht="15" customHeight="1">
      <c r="A796" s="9"/>
    </row>
    <row r="797" spans="1:1" ht="15" customHeight="1">
      <c r="A797" s="9"/>
    </row>
    <row r="798" spans="1:1" ht="15" customHeight="1">
      <c r="A798" s="9"/>
    </row>
    <row r="799" spans="1:1" ht="15" customHeight="1">
      <c r="A799" s="9"/>
    </row>
    <row r="800" spans="1:1" ht="15" customHeight="1">
      <c r="A800" s="9"/>
    </row>
    <row r="801" spans="1:1" ht="15" customHeight="1">
      <c r="A801" s="9"/>
    </row>
    <row r="802" spans="1:1" ht="15" customHeight="1">
      <c r="A802" s="9"/>
    </row>
    <row r="803" spans="1:1" ht="15" customHeight="1">
      <c r="A803" s="9"/>
    </row>
    <row r="804" spans="1:1" ht="15" customHeight="1">
      <c r="A804" s="9"/>
    </row>
    <row r="805" spans="1:1" ht="15" customHeight="1">
      <c r="A805" s="9"/>
    </row>
    <row r="806" spans="1:1" ht="15" customHeight="1">
      <c r="A806" s="9"/>
    </row>
    <row r="807" spans="1:1" ht="15" customHeight="1">
      <c r="A807" s="9"/>
    </row>
    <row r="808" spans="1:1" ht="15" customHeight="1">
      <c r="A808" s="9"/>
    </row>
    <row r="809" spans="1:1" ht="15" customHeight="1">
      <c r="A809" s="9"/>
    </row>
    <row r="810" spans="1:1" ht="15" customHeight="1">
      <c r="A810" s="9"/>
    </row>
    <row r="811" spans="1:1" ht="15" customHeight="1">
      <c r="A811" s="9"/>
    </row>
    <row r="812" spans="1:1" ht="15" customHeight="1">
      <c r="A812" s="9"/>
    </row>
    <row r="813" spans="1:1" ht="15" customHeight="1">
      <c r="A813" s="9"/>
    </row>
    <row r="814" spans="1:1" ht="15" customHeight="1">
      <c r="A814" s="9"/>
    </row>
    <row r="815" spans="1:1" ht="15" customHeight="1">
      <c r="A815" s="9"/>
    </row>
    <row r="816" spans="1:1" ht="15" customHeight="1">
      <c r="A816" s="9"/>
    </row>
    <row r="817" spans="1:1" ht="15" customHeight="1">
      <c r="A817" s="9"/>
    </row>
    <row r="818" spans="1:1" ht="15" customHeight="1">
      <c r="A818" s="9"/>
    </row>
    <row r="819" spans="1:1" ht="15" customHeight="1">
      <c r="A819" s="9"/>
    </row>
    <row r="820" spans="1:1" ht="15" customHeight="1">
      <c r="A820" s="9"/>
    </row>
    <row r="821" spans="1:1" ht="15" customHeight="1">
      <c r="A821" s="9"/>
    </row>
    <row r="822" spans="1:1" ht="15" customHeight="1">
      <c r="A822" s="9"/>
    </row>
    <row r="823" spans="1:1" ht="15" customHeight="1">
      <c r="A823" s="9"/>
    </row>
    <row r="824" spans="1:1" ht="15" customHeight="1">
      <c r="A824" s="9"/>
    </row>
    <row r="825" spans="1:1" ht="15" customHeight="1">
      <c r="A825" s="9"/>
    </row>
    <row r="826" spans="1:1" ht="15" customHeight="1">
      <c r="A826" s="9"/>
    </row>
    <row r="827" spans="1:1" ht="15" customHeight="1">
      <c r="A827" s="9"/>
    </row>
    <row r="828" spans="1:1" ht="15" customHeight="1">
      <c r="A828" s="9"/>
    </row>
    <row r="829" spans="1:1" ht="15" customHeight="1">
      <c r="A829" s="9"/>
    </row>
    <row r="830" spans="1:1" ht="15" customHeight="1">
      <c r="A830" s="9"/>
    </row>
    <row r="831" spans="1:1" ht="15" customHeight="1">
      <c r="A831" s="9"/>
    </row>
    <row r="832" spans="1:1" ht="15" customHeight="1">
      <c r="A832" s="9"/>
    </row>
    <row r="833" spans="1:1" ht="15" customHeight="1">
      <c r="A833" s="9"/>
    </row>
    <row r="834" spans="1:1" ht="15" customHeight="1">
      <c r="A834" s="9"/>
    </row>
    <row r="835" spans="1:1" ht="15" customHeight="1">
      <c r="A835" s="9"/>
    </row>
    <row r="836" spans="1:1" ht="15" customHeight="1">
      <c r="A836" s="9"/>
    </row>
    <row r="837" spans="1:1" ht="15" customHeight="1">
      <c r="A837" s="9"/>
    </row>
    <row r="838" spans="1:1" ht="15" customHeight="1">
      <c r="A838" s="9"/>
    </row>
    <row r="839" spans="1:1" ht="15" customHeight="1">
      <c r="A839" s="9"/>
    </row>
    <row r="840" spans="1:1" ht="15" customHeight="1">
      <c r="A840" s="9"/>
    </row>
    <row r="841" spans="1:1" ht="15" customHeight="1">
      <c r="A841" s="9"/>
    </row>
    <row r="842" spans="1:1" ht="15" customHeight="1">
      <c r="A842" s="9"/>
    </row>
    <row r="843" spans="1:1" ht="15" customHeight="1">
      <c r="A843" s="9"/>
    </row>
    <row r="844" spans="1:1" ht="15" customHeight="1">
      <c r="A844" s="9"/>
    </row>
    <row r="845" spans="1:1" ht="15" customHeight="1">
      <c r="A845" s="9"/>
    </row>
    <row r="846" spans="1:1" ht="15" customHeight="1">
      <c r="A846" s="9"/>
    </row>
    <row r="847" spans="1:1" ht="15" customHeight="1">
      <c r="A847" s="9"/>
    </row>
    <row r="848" spans="1:1" ht="15" customHeight="1">
      <c r="A848" s="9"/>
    </row>
    <row r="849" spans="1:1" ht="15" customHeight="1">
      <c r="A849" s="9"/>
    </row>
    <row r="850" spans="1:1" ht="15" customHeight="1">
      <c r="A850" s="9"/>
    </row>
    <row r="851" spans="1:1" ht="15" customHeight="1">
      <c r="A851" s="9"/>
    </row>
    <row r="852" spans="1:1" ht="15" customHeight="1">
      <c r="A852" s="9"/>
    </row>
    <row r="853" spans="1:1" ht="15" customHeight="1">
      <c r="A853" s="9"/>
    </row>
    <row r="854" spans="1:1" ht="15" customHeight="1">
      <c r="A854" s="9"/>
    </row>
    <row r="855" spans="1:1" ht="15" customHeight="1">
      <c r="A855" s="9"/>
    </row>
    <row r="856" spans="1:1" ht="15" customHeight="1">
      <c r="A856" s="9"/>
    </row>
    <row r="857" spans="1:1" ht="15" customHeight="1">
      <c r="A857" s="9"/>
    </row>
    <row r="858" spans="1:1" ht="15" customHeight="1">
      <c r="A858" s="9"/>
    </row>
    <row r="859" spans="1:1" ht="15" customHeight="1">
      <c r="A859" s="9"/>
    </row>
    <row r="860" spans="1:1" ht="15" customHeight="1">
      <c r="A860" s="9"/>
    </row>
    <row r="861" spans="1:1" ht="15" customHeight="1">
      <c r="A861" s="9"/>
    </row>
    <row r="862" spans="1:1" ht="15" customHeight="1">
      <c r="A862" s="9"/>
    </row>
    <row r="863" spans="1:1" ht="15" customHeight="1">
      <c r="A863" s="9"/>
    </row>
    <row r="864" spans="1:1" ht="15" customHeight="1">
      <c r="A864" s="9"/>
    </row>
    <row r="865" spans="1:1" ht="15" customHeight="1">
      <c r="A865" s="9"/>
    </row>
    <row r="866" spans="1:1" ht="15" customHeight="1">
      <c r="A866" s="9"/>
    </row>
    <row r="867" spans="1:1" ht="15" customHeight="1">
      <c r="A867" s="9"/>
    </row>
    <row r="868" spans="1:1" ht="15" customHeight="1">
      <c r="A868" s="9"/>
    </row>
    <row r="869" spans="1:1" ht="15" customHeight="1">
      <c r="A869" s="9"/>
    </row>
    <row r="870" spans="1:1" ht="15" customHeight="1">
      <c r="A870" s="9"/>
    </row>
    <row r="871" spans="1:1" ht="15" customHeight="1">
      <c r="A871" s="9"/>
    </row>
    <row r="872" spans="1:1" ht="15" customHeight="1">
      <c r="A872" s="9"/>
    </row>
    <row r="873" spans="1:1" ht="15" customHeight="1">
      <c r="A873" s="9"/>
    </row>
    <row r="874" spans="1:1" ht="15" customHeight="1">
      <c r="A874" s="9"/>
    </row>
    <row r="875" spans="1:1" ht="15" customHeight="1">
      <c r="A875" s="9"/>
    </row>
    <row r="876" spans="1:1" ht="15" customHeight="1">
      <c r="A876" s="9"/>
    </row>
    <row r="877" spans="1:1" ht="15" customHeight="1">
      <c r="A877" s="9"/>
    </row>
    <row r="878" spans="1:1" ht="15" customHeight="1">
      <c r="A878" s="9"/>
    </row>
    <row r="879" spans="1:1" ht="15" customHeight="1">
      <c r="A879" s="9"/>
    </row>
    <row r="880" spans="1:1" ht="15" customHeight="1">
      <c r="A880" s="9"/>
    </row>
    <row r="881" spans="1:1" ht="15" customHeight="1">
      <c r="A881" s="9"/>
    </row>
    <row r="882" spans="1:1" ht="15" customHeight="1">
      <c r="A882" s="9"/>
    </row>
    <row r="883" spans="1:1" ht="15" customHeight="1">
      <c r="A883" s="9"/>
    </row>
    <row r="884" spans="1:1" ht="15" customHeight="1">
      <c r="A884" s="9"/>
    </row>
    <row r="885" spans="1:1" ht="15" customHeight="1">
      <c r="A885" s="9"/>
    </row>
    <row r="886" spans="1:1" ht="15" customHeight="1">
      <c r="A886" s="9"/>
    </row>
    <row r="887" spans="1:1" ht="15" customHeight="1">
      <c r="A887" s="9"/>
    </row>
    <row r="888" spans="1:1" ht="15" customHeight="1">
      <c r="A888" s="9"/>
    </row>
    <row r="889" spans="1:1" ht="15" customHeight="1">
      <c r="A889" s="9"/>
    </row>
    <row r="890" spans="1:1" ht="15" customHeight="1">
      <c r="A890" s="9"/>
    </row>
    <row r="891" spans="1:1" ht="15" customHeight="1">
      <c r="A891" s="9"/>
    </row>
    <row r="892" spans="1:1" ht="15" customHeight="1">
      <c r="A892" s="9"/>
    </row>
    <row r="893" spans="1:1" ht="15" customHeight="1">
      <c r="A893" s="9"/>
    </row>
    <row r="894" spans="1:1" ht="15" customHeight="1">
      <c r="A894" s="9"/>
    </row>
    <row r="895" spans="1:1" ht="15" customHeight="1">
      <c r="A895" s="9"/>
    </row>
    <row r="896" spans="1:1" ht="15" customHeight="1">
      <c r="A896" s="9"/>
    </row>
    <row r="897" spans="1:1" ht="15" customHeight="1">
      <c r="A897" s="9"/>
    </row>
    <row r="898" spans="1:1" ht="15" customHeight="1">
      <c r="A898" s="9"/>
    </row>
    <row r="899" spans="1:1" ht="15" customHeight="1">
      <c r="A899" s="9"/>
    </row>
    <row r="900" spans="1:1" ht="15" customHeight="1">
      <c r="A900" s="9"/>
    </row>
    <row r="901" spans="1:1" ht="15" customHeight="1">
      <c r="A901" s="9"/>
    </row>
    <row r="902" spans="1:1" ht="15" customHeight="1">
      <c r="A902" s="9"/>
    </row>
    <row r="903" spans="1:1" ht="15" customHeight="1">
      <c r="A903" s="9"/>
    </row>
    <row r="904" spans="1:1" ht="15" customHeight="1">
      <c r="A904" s="9"/>
    </row>
    <row r="905" spans="1:1" ht="15" customHeight="1">
      <c r="A905" s="9"/>
    </row>
    <row r="906" spans="1:1" ht="15" customHeight="1">
      <c r="A906" s="9"/>
    </row>
    <row r="907" spans="1:1" ht="15" customHeight="1">
      <c r="A907" s="9"/>
    </row>
    <row r="908" spans="1:1" ht="15" customHeight="1">
      <c r="A908" s="9"/>
    </row>
    <row r="909" spans="1:1" ht="15" customHeight="1">
      <c r="A909" s="9"/>
    </row>
    <row r="910" spans="1:1" ht="15" customHeight="1">
      <c r="A910" s="9"/>
    </row>
    <row r="911" spans="1:1" ht="15" customHeight="1">
      <c r="A911" s="9"/>
    </row>
    <row r="912" spans="1:1" ht="15" customHeight="1">
      <c r="A912" s="9"/>
    </row>
    <row r="913" spans="1:1" ht="15" customHeight="1">
      <c r="A913" s="9"/>
    </row>
    <row r="914" spans="1:1" ht="15" customHeight="1">
      <c r="A914" s="9"/>
    </row>
    <row r="915" spans="1:1" ht="15" customHeight="1">
      <c r="A915" s="9"/>
    </row>
    <row r="916" spans="1:1" ht="15" customHeight="1">
      <c r="A916" s="9"/>
    </row>
    <row r="917" spans="1:1" ht="15" customHeight="1">
      <c r="A917" s="9"/>
    </row>
    <row r="918" spans="1:1" ht="15" customHeight="1">
      <c r="A918" s="9"/>
    </row>
    <row r="919" spans="1:1" ht="15" customHeight="1">
      <c r="A919" s="9"/>
    </row>
    <row r="920" spans="1:1" ht="15" customHeight="1">
      <c r="A920" s="9"/>
    </row>
    <row r="921" spans="1:1" ht="15" customHeight="1">
      <c r="A921" s="9"/>
    </row>
    <row r="922" spans="1:1" ht="15" customHeight="1">
      <c r="A922" s="9"/>
    </row>
    <row r="923" spans="1:1" ht="15" customHeight="1">
      <c r="A923" s="9"/>
    </row>
    <row r="924" spans="1:1" ht="15" customHeight="1">
      <c r="A924" s="9"/>
    </row>
    <row r="925" spans="1:1" ht="15" customHeight="1">
      <c r="A925" s="9"/>
    </row>
    <row r="926" spans="1:1" ht="15" customHeight="1">
      <c r="A926" s="9"/>
    </row>
    <row r="927" spans="1:1" ht="15" customHeight="1">
      <c r="A927" s="9"/>
    </row>
    <row r="928" spans="1:1" ht="15" customHeight="1">
      <c r="A928" s="9"/>
    </row>
    <row r="929" spans="1:1" ht="15" customHeight="1">
      <c r="A929" s="9"/>
    </row>
    <row r="930" spans="1:1" ht="15" customHeight="1">
      <c r="A930" s="9"/>
    </row>
    <row r="931" spans="1:1" ht="15" customHeight="1">
      <c r="A931" s="9"/>
    </row>
    <row r="932" spans="1:1" ht="15" customHeight="1">
      <c r="A932" s="9"/>
    </row>
    <row r="933" spans="1:1" ht="15" customHeight="1">
      <c r="A933" s="9"/>
    </row>
    <row r="934" spans="1:1" ht="15" customHeight="1">
      <c r="A934" s="9"/>
    </row>
    <row r="935" spans="1:1" ht="15" customHeight="1">
      <c r="A935" s="9"/>
    </row>
    <row r="936" spans="1:1" ht="15" customHeight="1">
      <c r="A936" s="9"/>
    </row>
    <row r="937" spans="1:1" ht="15" customHeight="1">
      <c r="A937" s="9"/>
    </row>
    <row r="938" spans="1:1" ht="15" customHeight="1">
      <c r="A938" s="9"/>
    </row>
    <row r="939" spans="1:1" ht="15" customHeight="1">
      <c r="A939" s="9"/>
    </row>
    <row r="940" spans="1:1" ht="15" customHeight="1">
      <c r="A940" s="9"/>
    </row>
    <row r="941" spans="1:1" ht="15" customHeight="1">
      <c r="A941" s="9"/>
    </row>
    <row r="942" spans="1:1" ht="15" customHeight="1">
      <c r="A942" s="9"/>
    </row>
    <row r="943" spans="1:1" ht="15" customHeight="1">
      <c r="A943" s="9"/>
    </row>
    <row r="944" spans="1:1" ht="15" customHeight="1">
      <c r="A944" s="9"/>
    </row>
    <row r="945" spans="1:1" ht="15" customHeight="1">
      <c r="A945" s="9"/>
    </row>
    <row r="946" spans="1:1" ht="15" customHeight="1">
      <c r="A946" s="9"/>
    </row>
    <row r="947" spans="1:1" ht="15" customHeight="1">
      <c r="A947" s="9"/>
    </row>
    <row r="948" spans="1:1" ht="15" customHeight="1">
      <c r="A948" s="9"/>
    </row>
    <row r="949" spans="1:1" ht="15" customHeight="1">
      <c r="A949" s="9"/>
    </row>
    <row r="950" spans="1:1" ht="15" customHeight="1">
      <c r="A950" s="9"/>
    </row>
    <row r="951" spans="1:1" ht="15" customHeight="1">
      <c r="A951" s="9"/>
    </row>
    <row r="952" spans="1:1" ht="15" customHeight="1">
      <c r="A952" s="9"/>
    </row>
    <row r="953" spans="1:1" ht="15" customHeight="1">
      <c r="A953" s="9"/>
    </row>
    <row r="954" spans="1:1" ht="15" customHeight="1">
      <c r="A954" s="9"/>
    </row>
    <row r="955" spans="1:1" ht="15" customHeight="1">
      <c r="A955" s="9"/>
    </row>
    <row r="956" spans="1:1" ht="15" customHeight="1">
      <c r="A956" s="9"/>
    </row>
    <row r="957" spans="1:1" ht="15" customHeight="1">
      <c r="A957" s="9"/>
    </row>
    <row r="958" spans="1:1" ht="15" customHeight="1">
      <c r="A958" s="9"/>
    </row>
    <row r="959" spans="1:1" ht="15" customHeight="1">
      <c r="A959" s="9"/>
    </row>
    <row r="960" spans="1:1" ht="15" customHeight="1">
      <c r="A960" s="9"/>
    </row>
    <row r="961" spans="1:1" ht="15" customHeight="1">
      <c r="A961" s="9"/>
    </row>
    <row r="962" spans="1:1" ht="15" customHeight="1">
      <c r="A962" s="9"/>
    </row>
    <row r="963" spans="1:1" ht="15" customHeight="1">
      <c r="A963" s="9"/>
    </row>
    <row r="964" spans="1:1" ht="15" customHeight="1">
      <c r="A964" s="9"/>
    </row>
    <row r="965" spans="1:1" ht="15" customHeight="1">
      <c r="A965" s="9"/>
    </row>
    <row r="966" spans="1:1" ht="15" customHeight="1">
      <c r="A966" s="9"/>
    </row>
    <row r="967" spans="1:1" ht="15" customHeight="1">
      <c r="A967" s="9"/>
    </row>
    <row r="968" spans="1:1" ht="15" customHeight="1">
      <c r="A968" s="9"/>
    </row>
    <row r="969" spans="1:1" ht="15" customHeight="1">
      <c r="A969" s="9"/>
    </row>
    <row r="970" spans="1:1" ht="15" customHeight="1">
      <c r="A970" s="9"/>
    </row>
    <row r="971" spans="1:1" ht="15" customHeight="1">
      <c r="A971" s="9"/>
    </row>
    <row r="972" spans="1:1" ht="15" customHeight="1">
      <c r="A972" s="9"/>
    </row>
    <row r="973" spans="1:1" ht="15" customHeight="1">
      <c r="A973" s="9"/>
    </row>
    <row r="974" spans="1:1" ht="15" customHeight="1">
      <c r="A974" s="9"/>
    </row>
    <row r="975" spans="1:1" ht="15" customHeight="1">
      <c r="A975" s="9"/>
    </row>
    <row r="976" spans="1:1" ht="15" customHeight="1">
      <c r="A976" s="9"/>
    </row>
    <row r="977" spans="1:1" ht="15" customHeight="1">
      <c r="A977" s="9"/>
    </row>
    <row r="978" spans="1:1" ht="15" customHeight="1">
      <c r="A978" s="9"/>
    </row>
    <row r="979" spans="1:1" ht="15" customHeight="1">
      <c r="A979" s="9"/>
    </row>
    <row r="980" spans="1:1" ht="15" customHeight="1">
      <c r="A980" s="9"/>
    </row>
    <row r="981" spans="1:1" ht="15" customHeight="1">
      <c r="A981" s="9"/>
    </row>
    <row r="982" spans="1:1" ht="15" customHeight="1">
      <c r="A982" s="9"/>
    </row>
    <row r="983" spans="1:1" ht="15" customHeight="1">
      <c r="A983" s="9"/>
    </row>
    <row r="984" spans="1:1" ht="15" customHeight="1">
      <c r="A984" s="9"/>
    </row>
    <row r="985" spans="1:1" ht="15" customHeight="1">
      <c r="A985" s="9"/>
    </row>
    <row r="986" spans="1:1" ht="15" customHeight="1">
      <c r="A986" s="9"/>
    </row>
    <row r="987" spans="1:1" ht="15" customHeight="1">
      <c r="A987" s="9"/>
    </row>
    <row r="988" spans="1:1" ht="15" customHeight="1">
      <c r="A988" s="9"/>
    </row>
    <row r="989" spans="1:1" ht="15" customHeight="1">
      <c r="A989" s="9"/>
    </row>
    <row r="990" spans="1:1" ht="15" customHeight="1">
      <c r="A990" s="9"/>
    </row>
    <row r="991" spans="1:1" ht="15" customHeight="1">
      <c r="A991" s="9"/>
    </row>
    <row r="992" spans="1:1" ht="15" customHeight="1">
      <c r="A992" s="9"/>
    </row>
    <row r="993" spans="1:1" ht="15" customHeight="1">
      <c r="A993" s="9"/>
    </row>
    <row r="994" spans="1:1" ht="15" customHeight="1">
      <c r="A994" s="9"/>
    </row>
    <row r="995" spans="1:1" ht="15" customHeight="1">
      <c r="A995" s="9"/>
    </row>
    <row r="996" spans="1:1" ht="15" customHeight="1">
      <c r="A996" s="9"/>
    </row>
    <row r="997" spans="1:1" ht="15" customHeight="1">
      <c r="A997" s="9"/>
    </row>
    <row r="998" spans="1:1" ht="15" customHeight="1">
      <c r="A998" s="9"/>
    </row>
    <row r="999" spans="1:1" ht="15" customHeight="1">
      <c r="A999" s="9"/>
    </row>
    <row r="1000" spans="1:1" ht="15" customHeight="1">
      <c r="A1000" s="9"/>
    </row>
    <row r="1001" spans="1:1" ht="15" customHeight="1">
      <c r="A1001" s="9"/>
    </row>
    <row r="1002" spans="1:1" ht="15" customHeight="1">
      <c r="A1002" s="9"/>
    </row>
    <row r="1003" spans="1:1" ht="15" customHeight="1">
      <c r="A1003" s="9"/>
    </row>
    <row r="1004" spans="1:1" ht="15" customHeight="1">
      <c r="A1004" s="9"/>
    </row>
    <row r="1005" spans="1:1" ht="15" customHeight="1">
      <c r="A1005" s="9"/>
    </row>
    <row r="1006" spans="1:1" ht="15" customHeight="1">
      <c r="A1006" s="9"/>
    </row>
    <row r="1007" spans="1:1" ht="15" customHeight="1">
      <c r="A1007" s="9"/>
    </row>
    <row r="1008" spans="1:1" ht="15" customHeight="1">
      <c r="A1008" s="9"/>
    </row>
    <row r="1009" spans="1:1" ht="15" customHeight="1">
      <c r="A1009" s="9"/>
    </row>
    <row r="1010" spans="1:1" ht="15" customHeight="1">
      <c r="A1010" s="9"/>
    </row>
    <row r="1011" spans="1:1" ht="15" customHeight="1">
      <c r="A1011" s="9"/>
    </row>
    <row r="1012" spans="1:1" ht="15" customHeight="1">
      <c r="A1012" s="9"/>
    </row>
    <row r="1013" spans="1:1" ht="15" customHeight="1">
      <c r="A1013" s="9"/>
    </row>
    <row r="1014" spans="1:1" ht="15" customHeight="1">
      <c r="A1014" s="9"/>
    </row>
    <row r="1015" spans="1:1" ht="15" customHeight="1">
      <c r="A1015" s="9"/>
    </row>
    <row r="1016" spans="1:1" ht="15" customHeight="1">
      <c r="A1016" s="9"/>
    </row>
    <row r="1017" spans="1:1" ht="15" customHeight="1">
      <c r="A1017" s="9"/>
    </row>
    <row r="1018" spans="1:1" ht="15" customHeight="1">
      <c r="A1018" s="9"/>
    </row>
    <row r="1019" spans="1:1" ht="15" customHeight="1">
      <c r="A1019" s="9"/>
    </row>
    <row r="1020" spans="1:1" ht="15" customHeight="1">
      <c r="A1020" s="9"/>
    </row>
    <row r="1021" spans="1:1" ht="15" customHeight="1">
      <c r="A1021" s="9"/>
    </row>
    <row r="1022" spans="1:1" ht="15" customHeight="1">
      <c r="A1022" s="9"/>
    </row>
    <row r="1023" spans="1:1" ht="15" customHeight="1">
      <c r="A1023" s="9"/>
    </row>
    <row r="1024" spans="1:1" ht="15" customHeight="1">
      <c r="A1024" s="9"/>
    </row>
    <row r="1025" spans="1:1" ht="15" customHeight="1">
      <c r="A1025" s="9"/>
    </row>
    <row r="1026" spans="1:1" ht="15" customHeight="1">
      <c r="A1026" s="9"/>
    </row>
    <row r="1027" spans="1:1" ht="15" customHeight="1">
      <c r="A1027" s="9"/>
    </row>
    <row r="1028" spans="1:1" ht="15" customHeight="1">
      <c r="A1028" s="9"/>
    </row>
    <row r="1029" spans="1:1" ht="15" customHeight="1">
      <c r="A1029" s="9"/>
    </row>
    <row r="1030" spans="1:1" ht="15" customHeight="1">
      <c r="A1030" s="9"/>
    </row>
    <row r="1031" spans="1:1" ht="15" customHeight="1">
      <c r="A1031" s="9"/>
    </row>
    <row r="1032" spans="1:1" ht="15" customHeight="1">
      <c r="A1032" s="9"/>
    </row>
    <row r="1033" spans="1:1" ht="15" customHeight="1">
      <c r="A1033" s="9"/>
    </row>
    <row r="1034" spans="1:1" ht="15" customHeight="1">
      <c r="A1034" s="9"/>
    </row>
    <row r="1035" spans="1:1" ht="15" customHeight="1">
      <c r="A1035" s="9"/>
    </row>
    <row r="1036" spans="1:1" ht="15" customHeight="1">
      <c r="A1036" s="9"/>
    </row>
    <row r="1037" spans="1:1" ht="15" customHeight="1">
      <c r="A1037" s="9"/>
    </row>
    <row r="1038" spans="1:1" ht="15" customHeight="1">
      <c r="A1038" s="9"/>
    </row>
    <row r="1039" spans="1:1" ht="15" customHeight="1">
      <c r="A1039" s="9"/>
    </row>
    <row r="1040" spans="1:1" ht="15" customHeight="1">
      <c r="A1040" s="9"/>
    </row>
    <row r="1041" spans="1:1" ht="15" customHeight="1">
      <c r="A1041" s="9"/>
    </row>
    <row r="1042" spans="1:1" ht="15" customHeight="1">
      <c r="A1042" s="9"/>
    </row>
    <row r="1043" spans="1:1" ht="15" customHeight="1">
      <c r="A1043" s="9"/>
    </row>
    <row r="1044" spans="1:1" ht="15" customHeight="1">
      <c r="A1044" s="9"/>
    </row>
    <row r="1045" spans="1:1" ht="15" customHeight="1">
      <c r="A1045" s="9"/>
    </row>
    <row r="1046" spans="1:1" ht="15" customHeight="1">
      <c r="A1046" s="9"/>
    </row>
    <row r="1047" spans="1:1" ht="15" customHeight="1">
      <c r="A1047" s="9"/>
    </row>
    <row r="1048" spans="1:1" ht="15" customHeight="1">
      <c r="A1048" s="9"/>
    </row>
    <row r="1049" spans="1:1" ht="15" customHeight="1">
      <c r="A1049" s="9"/>
    </row>
    <row r="1050" spans="1:1" ht="15" customHeight="1">
      <c r="A1050" s="9"/>
    </row>
    <row r="1051" spans="1:1" ht="15" customHeight="1">
      <c r="A1051" s="9"/>
    </row>
    <row r="1052" spans="1:1" ht="15" customHeight="1">
      <c r="A1052" s="9"/>
    </row>
    <row r="1053" spans="1:1" ht="15" customHeight="1">
      <c r="A1053" s="9"/>
    </row>
    <row r="1054" spans="1:1" ht="15" customHeight="1">
      <c r="A1054" s="9"/>
    </row>
    <row r="1055" spans="1:1" ht="15" customHeight="1">
      <c r="A1055" s="9"/>
    </row>
    <row r="1056" spans="1:1" ht="15" customHeight="1">
      <c r="A1056" s="9"/>
    </row>
    <row r="1057" spans="1:1" ht="15" customHeight="1">
      <c r="A1057" s="9"/>
    </row>
    <row r="1058" spans="1:1" ht="15" customHeight="1">
      <c r="A1058" s="9"/>
    </row>
    <row r="1059" spans="1:1" ht="15" customHeight="1">
      <c r="A1059" s="9"/>
    </row>
    <row r="1060" spans="1:1" ht="15" customHeight="1">
      <c r="A1060" s="9"/>
    </row>
    <row r="1061" spans="1:1" ht="15" customHeight="1">
      <c r="A1061" s="9"/>
    </row>
    <row r="1062" spans="1:1" ht="15" customHeight="1">
      <c r="A1062" s="9"/>
    </row>
    <row r="1063" spans="1:1" ht="15" customHeight="1">
      <c r="A1063" s="9"/>
    </row>
    <row r="1064" spans="1:1" ht="15" customHeight="1">
      <c r="A1064" s="9"/>
    </row>
    <row r="1065" spans="1:1" ht="15" customHeight="1">
      <c r="A1065" s="9"/>
    </row>
    <row r="1066" spans="1:1" ht="15" customHeight="1">
      <c r="A1066" s="9"/>
    </row>
    <row r="1067" spans="1:1" ht="15" customHeight="1">
      <c r="A1067" s="9"/>
    </row>
    <row r="1068" spans="1:1" ht="15" customHeight="1">
      <c r="A1068" s="9"/>
    </row>
    <row r="1069" spans="1:1" ht="15" customHeight="1">
      <c r="A1069" s="9"/>
    </row>
    <row r="1070" spans="1:1" ht="15" customHeight="1">
      <c r="A1070" s="9"/>
    </row>
    <row r="1071" spans="1:1" ht="15" customHeight="1">
      <c r="A1071" s="9"/>
    </row>
    <row r="1072" spans="1:1" ht="15" customHeight="1">
      <c r="A1072" s="9"/>
    </row>
    <row r="1073" spans="1:1" ht="15" customHeight="1">
      <c r="A1073" s="9"/>
    </row>
    <row r="1074" spans="1:1" ht="15" customHeight="1">
      <c r="A1074" s="9"/>
    </row>
    <row r="1075" spans="1:1" ht="15" customHeight="1">
      <c r="A1075" s="9"/>
    </row>
    <row r="1076" spans="1:1" ht="15" customHeight="1">
      <c r="A1076" s="9"/>
    </row>
    <row r="1077" spans="1:1" ht="15" customHeight="1">
      <c r="A1077" s="9"/>
    </row>
    <row r="1078" spans="1:1" ht="15" customHeight="1">
      <c r="A1078" s="9"/>
    </row>
    <row r="1079" spans="1:1" ht="15" customHeight="1">
      <c r="A1079" s="9"/>
    </row>
    <row r="1080" spans="1:1" ht="15" customHeight="1">
      <c r="A1080" s="9"/>
    </row>
    <row r="1081" spans="1:1" ht="15" customHeight="1">
      <c r="A1081" s="9"/>
    </row>
    <row r="1082" spans="1:1" ht="15" customHeight="1">
      <c r="A1082" s="9"/>
    </row>
    <row r="1083" spans="1:1" ht="15" customHeight="1">
      <c r="A1083" s="9"/>
    </row>
    <row r="1084" spans="1:1" ht="15" customHeight="1">
      <c r="A1084" s="9"/>
    </row>
    <row r="1085" spans="1:1" ht="15" customHeight="1">
      <c r="A1085" s="9"/>
    </row>
    <row r="1086" spans="1:1" ht="15" customHeight="1">
      <c r="A1086" s="9"/>
    </row>
    <row r="1087" spans="1:1" ht="15" customHeight="1">
      <c r="A1087" s="9"/>
    </row>
    <row r="1088" spans="1:1" ht="15" customHeight="1">
      <c r="A1088" s="9"/>
    </row>
    <row r="1089" spans="1:1" ht="15" customHeight="1">
      <c r="A1089" s="9"/>
    </row>
    <row r="1090" spans="1:1" ht="15" customHeight="1">
      <c r="A1090" s="9"/>
    </row>
    <row r="1091" spans="1:1" ht="15" customHeight="1">
      <c r="A1091" s="9"/>
    </row>
    <row r="1092" spans="1:1" ht="15" customHeight="1">
      <c r="A1092" s="9"/>
    </row>
    <row r="1093" spans="1:1" ht="15" customHeight="1">
      <c r="A1093" s="9"/>
    </row>
    <row r="1094" spans="1:1" ht="15" customHeight="1">
      <c r="A1094" s="9"/>
    </row>
    <row r="1095" spans="1:1" ht="15" customHeight="1">
      <c r="A1095" s="9"/>
    </row>
    <row r="1096" spans="1:1" ht="15" customHeight="1">
      <c r="A1096" s="9"/>
    </row>
    <row r="1097" spans="1:1" ht="15" customHeight="1">
      <c r="A1097" s="9"/>
    </row>
    <row r="1098" spans="1:1" ht="15" customHeight="1">
      <c r="A1098" s="9"/>
    </row>
    <row r="1099" spans="1:1" ht="15" customHeight="1">
      <c r="A1099" s="9"/>
    </row>
    <row r="1100" spans="1:1" ht="15" customHeight="1">
      <c r="A1100" s="9"/>
    </row>
    <row r="1101" spans="1:1" ht="15" customHeight="1">
      <c r="A1101" s="9"/>
    </row>
    <row r="1102" spans="1:1" ht="15" customHeight="1">
      <c r="A1102" s="9"/>
    </row>
    <row r="1103" spans="1:1" ht="15" customHeight="1">
      <c r="A1103" s="9"/>
    </row>
    <row r="1104" spans="1:1" ht="15" customHeight="1">
      <c r="A1104" s="9"/>
    </row>
    <row r="1105" spans="1:1" ht="15" customHeight="1">
      <c r="A1105" s="9"/>
    </row>
    <row r="1106" spans="1:1" ht="15" customHeight="1">
      <c r="A1106" s="9"/>
    </row>
    <row r="1107" spans="1:1" ht="15" customHeight="1">
      <c r="A1107" s="9"/>
    </row>
    <row r="1108" spans="1:1" ht="15" customHeight="1">
      <c r="A1108" s="9"/>
    </row>
    <row r="1109" spans="1:1" ht="15" customHeight="1">
      <c r="A1109" s="9"/>
    </row>
    <row r="1110" spans="1:1" ht="15" customHeight="1">
      <c r="A1110" s="9"/>
    </row>
    <row r="1111" spans="1:1" ht="15" customHeight="1">
      <c r="A1111" s="9"/>
    </row>
    <row r="1112" spans="1:1" ht="15" customHeight="1">
      <c r="A1112" s="9"/>
    </row>
    <row r="1113" spans="1:1" ht="15" customHeight="1">
      <c r="A1113" s="9"/>
    </row>
    <row r="1114" spans="1:1" ht="15" customHeight="1">
      <c r="A1114" s="9"/>
    </row>
    <row r="1115" spans="1:1" ht="15" customHeight="1">
      <c r="A1115" s="9"/>
    </row>
    <row r="1116" spans="1:1" ht="15" customHeight="1">
      <c r="A1116" s="9"/>
    </row>
    <row r="1117" spans="1:1" ht="15" customHeight="1">
      <c r="A1117" s="9"/>
    </row>
    <row r="1118" spans="1:1" ht="15" customHeight="1">
      <c r="A1118" s="9"/>
    </row>
    <row r="1119" spans="1:1" ht="15" customHeight="1">
      <c r="A1119" s="9"/>
    </row>
    <row r="1120" spans="1:1" ht="15" customHeight="1">
      <c r="A1120" s="9"/>
    </row>
    <row r="1121" spans="1:1" ht="15" customHeight="1">
      <c r="A1121" s="9"/>
    </row>
    <row r="1122" spans="1:1" ht="15" customHeight="1">
      <c r="A1122" s="9"/>
    </row>
    <row r="1123" spans="1:1" ht="15" customHeight="1">
      <c r="A1123" s="9"/>
    </row>
    <row r="1124" spans="1:1" ht="15" customHeight="1">
      <c r="A1124" s="9"/>
    </row>
    <row r="1125" spans="1:1" ht="15" customHeight="1">
      <c r="A1125" s="9"/>
    </row>
    <row r="1126" spans="1:1" ht="15" customHeight="1">
      <c r="A1126" s="9"/>
    </row>
    <row r="1127" spans="1:1" ht="15" customHeight="1">
      <c r="A1127" s="9"/>
    </row>
    <row r="1128" spans="1:1" ht="15" customHeight="1">
      <c r="A1128" s="9"/>
    </row>
    <row r="1129" spans="1:1" ht="15" customHeight="1">
      <c r="A1129" s="9"/>
    </row>
    <row r="1130" spans="1:1" ht="15" customHeight="1">
      <c r="A1130" s="9"/>
    </row>
    <row r="1131" spans="1:1" ht="15" customHeight="1">
      <c r="A1131" s="9"/>
    </row>
    <row r="1132" spans="1:1" ht="15" customHeight="1">
      <c r="A1132" s="9"/>
    </row>
    <row r="1133" spans="1:1" ht="15" customHeight="1">
      <c r="A1133" s="9"/>
    </row>
    <row r="1134" spans="1:1" ht="15" customHeight="1">
      <c r="A1134" s="9"/>
    </row>
    <row r="1135" spans="1:1" ht="15" customHeight="1">
      <c r="A1135" s="9"/>
    </row>
    <row r="1136" spans="1:1" ht="15" customHeight="1">
      <c r="A1136" s="9"/>
    </row>
    <row r="1137" spans="1:1" ht="15" customHeight="1">
      <c r="A1137" s="9"/>
    </row>
    <row r="1138" spans="1:1" ht="15" customHeight="1">
      <c r="A1138" s="9"/>
    </row>
    <row r="1139" spans="1:1" ht="15" customHeight="1">
      <c r="A1139" s="9"/>
    </row>
    <row r="1140" spans="1:1" ht="15" customHeight="1">
      <c r="A1140" s="9"/>
    </row>
    <row r="1141" spans="1:1" ht="15" customHeight="1">
      <c r="A1141" s="9"/>
    </row>
    <row r="1142" spans="1:1" ht="15" customHeight="1">
      <c r="A1142" s="9"/>
    </row>
    <row r="1143" spans="1:1" ht="15" customHeight="1">
      <c r="A1143" s="9"/>
    </row>
    <row r="1144" spans="1:1" ht="15" customHeight="1">
      <c r="A1144" s="9"/>
    </row>
    <row r="1145" spans="1:1" ht="15" customHeight="1">
      <c r="A1145" s="9"/>
    </row>
    <row r="1146" spans="1:1" ht="15" customHeight="1">
      <c r="A1146" s="9"/>
    </row>
    <row r="1147" spans="1:1" ht="15" customHeight="1">
      <c r="A1147" s="9"/>
    </row>
    <row r="1148" spans="1:1" ht="15" customHeight="1">
      <c r="A1148" s="9"/>
    </row>
    <row r="1149" spans="1:1" ht="15" customHeight="1">
      <c r="A1149" s="9"/>
    </row>
    <row r="1150" spans="1:1" ht="15" customHeight="1">
      <c r="A1150" s="9"/>
    </row>
    <row r="1151" spans="1:1" ht="15" customHeight="1">
      <c r="A1151" s="9"/>
    </row>
    <row r="1152" spans="1:1" ht="15" customHeight="1">
      <c r="A1152" s="9"/>
    </row>
    <row r="1153" spans="1:1" ht="15" customHeight="1">
      <c r="A1153" s="9"/>
    </row>
    <row r="1154" spans="1:1" ht="15" customHeight="1">
      <c r="A1154" s="9"/>
    </row>
    <row r="1155" spans="1:1" ht="15" customHeight="1">
      <c r="A1155" s="9"/>
    </row>
    <row r="1156" spans="1:1" ht="15" customHeight="1">
      <c r="A1156" s="9"/>
    </row>
    <row r="1157" spans="1:1" ht="15" customHeight="1">
      <c r="A1157" s="9"/>
    </row>
    <row r="1158" spans="1:1" ht="15" customHeight="1">
      <c r="A1158" s="9"/>
    </row>
    <row r="1159" spans="1:1" ht="15" customHeight="1">
      <c r="A1159" s="9"/>
    </row>
    <row r="1160" spans="1:1" ht="15" customHeight="1">
      <c r="A1160" s="9"/>
    </row>
    <row r="1161" spans="1:1" ht="15" customHeight="1">
      <c r="A1161" s="9"/>
    </row>
    <row r="1162" spans="1:1" ht="15" customHeight="1">
      <c r="A1162" s="9"/>
    </row>
    <row r="1163" spans="1:1" ht="15" customHeight="1">
      <c r="A1163" s="9"/>
    </row>
    <row r="1164" spans="1:1" ht="15" customHeight="1">
      <c r="A1164" s="9"/>
    </row>
    <row r="1165" spans="1:1" ht="15" customHeight="1">
      <c r="A1165" s="9"/>
    </row>
    <row r="1166" spans="1:1" ht="15" customHeight="1">
      <c r="A1166" s="9"/>
    </row>
    <row r="1167" spans="1:1" ht="15" customHeight="1">
      <c r="A1167" s="9"/>
    </row>
    <row r="1168" spans="1:1" ht="15" customHeight="1">
      <c r="A1168" s="9"/>
    </row>
    <row r="1169" spans="1:1" ht="15" customHeight="1">
      <c r="A1169" s="9"/>
    </row>
    <row r="1170" spans="1:1" ht="15" customHeight="1">
      <c r="A1170" s="9"/>
    </row>
    <row r="1171" spans="1:1" ht="15" customHeight="1">
      <c r="A1171" s="9"/>
    </row>
    <row r="1172" spans="1:1" ht="15" customHeight="1">
      <c r="A1172" s="9"/>
    </row>
    <row r="1173" spans="1:1" ht="15" customHeight="1">
      <c r="A1173" s="9"/>
    </row>
    <row r="1174" spans="1:1" ht="15" customHeight="1">
      <c r="A1174" s="9"/>
    </row>
    <row r="1175" spans="1:1" ht="15" customHeight="1">
      <c r="A1175" s="9"/>
    </row>
    <row r="1176" spans="1:1" ht="15" customHeight="1">
      <c r="A1176" s="9"/>
    </row>
    <row r="1177" spans="1:1" ht="15" customHeight="1">
      <c r="A1177" s="9"/>
    </row>
    <row r="1178" spans="1:1" ht="15" customHeight="1">
      <c r="A1178" s="9"/>
    </row>
    <row r="1179" spans="1:1" ht="15" customHeight="1">
      <c r="A1179" s="9"/>
    </row>
    <row r="1180" spans="1:1" ht="15" customHeight="1">
      <c r="A1180" s="9"/>
    </row>
    <row r="1181" spans="1:1" ht="15" customHeight="1">
      <c r="A1181" s="9"/>
    </row>
    <row r="1182" spans="1:1" ht="15" customHeight="1">
      <c r="A1182" s="9"/>
    </row>
    <row r="1183" spans="1:1" ht="15" customHeight="1">
      <c r="A1183" s="9"/>
    </row>
    <row r="1184" spans="1:1" ht="15" customHeight="1">
      <c r="A1184" s="9"/>
    </row>
    <row r="1185" spans="1:1" ht="15" customHeight="1">
      <c r="A1185" s="9"/>
    </row>
    <row r="1186" spans="1:1" ht="15" customHeight="1">
      <c r="A1186" s="9"/>
    </row>
    <row r="1187" spans="1:1" ht="15" customHeight="1">
      <c r="A1187" s="9"/>
    </row>
    <row r="1188" spans="1:1" ht="15" customHeight="1">
      <c r="A1188" s="9"/>
    </row>
    <row r="1189" spans="1:1" ht="15" customHeight="1">
      <c r="A1189" s="9"/>
    </row>
    <row r="1190" spans="1:1" ht="15" customHeight="1">
      <c r="A1190" s="9"/>
    </row>
    <row r="1191" spans="1:1" ht="15" customHeight="1">
      <c r="A1191" s="9"/>
    </row>
    <row r="1192" spans="1:1" ht="15" customHeight="1">
      <c r="A1192" s="9"/>
    </row>
    <row r="1193" spans="1:1" ht="15" customHeight="1">
      <c r="A1193" s="9"/>
    </row>
    <row r="1194" spans="1:1" ht="15" customHeight="1">
      <c r="A1194" s="9"/>
    </row>
    <row r="1195" spans="1:1" ht="15" customHeight="1">
      <c r="A1195" s="9"/>
    </row>
    <row r="1196" spans="1:1" ht="15" customHeight="1">
      <c r="A1196" s="9"/>
    </row>
    <row r="1197" spans="1:1" ht="15" customHeight="1">
      <c r="A1197" s="9"/>
    </row>
    <row r="1198" spans="1:1" ht="15" customHeight="1">
      <c r="A1198" s="9"/>
    </row>
    <row r="1199" spans="1:1" ht="15" customHeight="1">
      <c r="A1199" s="9"/>
    </row>
    <row r="1200" spans="1:1" ht="15" customHeight="1">
      <c r="A1200" s="9"/>
    </row>
    <row r="1201" spans="1:1" ht="15" customHeight="1">
      <c r="A1201" s="9"/>
    </row>
    <row r="1202" spans="1:1" ht="15" customHeight="1">
      <c r="A1202" s="9"/>
    </row>
    <row r="1203" spans="1:1" ht="15" customHeight="1">
      <c r="A1203" s="9"/>
    </row>
    <row r="1204" spans="1:1" ht="15" customHeight="1">
      <c r="A1204" s="9"/>
    </row>
    <row r="1205" spans="1:1" ht="15" customHeight="1">
      <c r="A1205" s="9"/>
    </row>
    <row r="1206" spans="1:1" ht="15" customHeight="1">
      <c r="A1206" s="9"/>
    </row>
    <row r="1207" spans="1:1" ht="15" customHeight="1">
      <c r="A1207" s="9"/>
    </row>
    <row r="1208" spans="1:1" ht="15" customHeight="1">
      <c r="A1208" s="9"/>
    </row>
    <row r="1209" spans="1:1" ht="15" customHeight="1">
      <c r="A1209" s="9"/>
    </row>
    <row r="1210" spans="1:1" ht="15" customHeight="1">
      <c r="A1210" s="9"/>
    </row>
    <row r="1211" spans="1:1" ht="15" customHeight="1">
      <c r="A1211" s="9"/>
    </row>
    <row r="1212" spans="1:1" ht="15" customHeight="1">
      <c r="A1212" s="9"/>
    </row>
    <row r="1213" spans="1:1" ht="15" customHeight="1">
      <c r="A1213" s="9"/>
    </row>
    <row r="1214" spans="1:1" ht="15" customHeight="1">
      <c r="A1214" s="9"/>
    </row>
    <row r="1215" spans="1:1" ht="15" customHeight="1">
      <c r="A1215" s="9"/>
    </row>
    <row r="1216" spans="1:1" ht="15" customHeight="1">
      <c r="A1216" s="9"/>
    </row>
    <row r="1217" spans="1:1" ht="15" customHeight="1">
      <c r="A1217" s="9"/>
    </row>
    <row r="1218" spans="1:1" ht="15" customHeight="1">
      <c r="A1218" s="9"/>
    </row>
    <row r="1219" spans="1:1" ht="15" customHeight="1">
      <c r="A1219" s="9"/>
    </row>
    <row r="1220" spans="1:1" ht="15" customHeight="1">
      <c r="A1220" s="9"/>
    </row>
    <row r="1221" spans="1:1" ht="15" customHeight="1">
      <c r="A1221" s="9"/>
    </row>
    <row r="1222" spans="1:1" ht="15" customHeight="1">
      <c r="A1222" s="9"/>
    </row>
    <row r="1223" spans="1:1" ht="15" customHeight="1">
      <c r="A1223" s="9"/>
    </row>
    <row r="1224" spans="1:1" ht="15" customHeight="1">
      <c r="A1224" s="9"/>
    </row>
    <row r="1225" spans="1:1" ht="15" customHeight="1">
      <c r="A1225" s="9"/>
    </row>
    <row r="1226" spans="1:1" ht="15" customHeight="1">
      <c r="A1226" s="9"/>
    </row>
    <row r="1227" spans="1:1" ht="15" customHeight="1">
      <c r="A1227" s="9"/>
    </row>
    <row r="1228" spans="1:1" ht="15" customHeight="1">
      <c r="A1228" s="9"/>
    </row>
    <row r="1229" spans="1:1" ht="15" customHeight="1">
      <c r="A1229" s="9"/>
    </row>
    <row r="1230" spans="1:1" ht="15" customHeight="1">
      <c r="A1230" s="9"/>
    </row>
    <row r="1231" spans="1:1" ht="15" customHeight="1">
      <c r="A1231" s="9"/>
    </row>
    <row r="1232" spans="1:1" ht="15" customHeight="1">
      <c r="A1232" s="9"/>
    </row>
    <row r="1233" spans="1:1" ht="15" customHeight="1">
      <c r="A1233" s="9"/>
    </row>
    <row r="1234" spans="1:1" ht="15" customHeight="1">
      <c r="A1234" s="9"/>
    </row>
    <row r="1235" spans="1:1" ht="15" customHeight="1">
      <c r="A1235" s="9"/>
    </row>
    <row r="1236" spans="1:1" ht="15" customHeight="1">
      <c r="A1236" s="9"/>
    </row>
    <row r="1237" spans="1:1" ht="15" customHeight="1">
      <c r="A1237" s="9"/>
    </row>
    <row r="1238" spans="1:1" ht="15" customHeight="1">
      <c r="A1238" s="9"/>
    </row>
    <row r="1239" spans="1:1" ht="15" customHeight="1">
      <c r="A1239" s="9"/>
    </row>
    <row r="1240" spans="1:1" ht="15" customHeight="1">
      <c r="A1240" s="9"/>
    </row>
    <row r="1241" spans="1:1" ht="15" customHeight="1">
      <c r="A1241" s="9"/>
    </row>
    <row r="1242" spans="1:1" ht="15" customHeight="1">
      <c r="A1242" s="9"/>
    </row>
    <row r="1243" spans="1:1" ht="15" customHeight="1">
      <c r="A1243" s="9"/>
    </row>
    <row r="1244" spans="1:1" ht="15" customHeight="1">
      <c r="A1244" s="9"/>
    </row>
    <row r="1245" spans="1:1" ht="15" customHeight="1">
      <c r="A1245" s="9"/>
    </row>
    <row r="1246" spans="1:1" ht="15" customHeight="1">
      <c r="A1246" s="9"/>
    </row>
    <row r="1247" spans="1:1" ht="15" customHeight="1">
      <c r="A1247" s="9"/>
    </row>
    <row r="1248" spans="1:1" ht="15" customHeight="1">
      <c r="A1248" s="9"/>
    </row>
    <row r="1249" spans="1:1" ht="15" customHeight="1">
      <c r="A1249" s="9"/>
    </row>
    <row r="1250" spans="1:1" ht="15" customHeight="1">
      <c r="A1250" s="9"/>
    </row>
    <row r="1251" spans="1:1" ht="15" customHeight="1">
      <c r="A1251" s="9"/>
    </row>
    <row r="1252" spans="1:1" ht="15" customHeight="1">
      <c r="A1252" s="9"/>
    </row>
    <row r="1253" spans="1:1" ht="15" customHeight="1">
      <c r="A1253" s="9"/>
    </row>
    <row r="1254" spans="1:1" ht="15" customHeight="1">
      <c r="A1254" s="9"/>
    </row>
    <row r="1255" spans="1:1" ht="15" customHeight="1">
      <c r="A1255" s="9"/>
    </row>
    <row r="1256" spans="1:1" ht="15" customHeight="1">
      <c r="A1256" s="9"/>
    </row>
    <row r="1257" spans="1:1" ht="15" customHeight="1">
      <c r="A1257" s="9"/>
    </row>
    <row r="1258" spans="1:1" ht="15" customHeight="1">
      <c r="A1258" s="9"/>
    </row>
    <row r="1259" spans="1:1" ht="15" customHeight="1">
      <c r="A1259" s="9"/>
    </row>
    <row r="1260" spans="1:1" ht="15" customHeight="1">
      <c r="A1260" s="9"/>
    </row>
    <row r="1261" spans="1:1" ht="15" customHeight="1">
      <c r="A1261" s="9"/>
    </row>
    <row r="1262" spans="1:1" ht="15" customHeight="1">
      <c r="A1262" s="9"/>
    </row>
    <row r="1263" spans="1:1" ht="15" customHeight="1">
      <c r="A1263" s="9"/>
    </row>
    <row r="1264" spans="1:1" ht="15" customHeight="1">
      <c r="A1264" s="9"/>
    </row>
    <row r="1265" spans="1:1" ht="15" customHeight="1">
      <c r="A1265" s="9"/>
    </row>
    <row r="1266" spans="1:1" ht="15" customHeight="1">
      <c r="A1266" s="9"/>
    </row>
    <row r="1267" spans="1:1" ht="15" customHeight="1">
      <c r="A1267" s="9"/>
    </row>
    <row r="1268" spans="1:1" ht="15" customHeight="1">
      <c r="A1268" s="9"/>
    </row>
    <row r="1269" spans="1:1" ht="15" customHeight="1">
      <c r="A1269" s="9"/>
    </row>
    <row r="1270" spans="1:1" ht="15" customHeight="1">
      <c r="A1270" s="9"/>
    </row>
    <row r="1271" spans="1:1" ht="15" customHeight="1">
      <c r="A1271" s="9"/>
    </row>
    <row r="1272" spans="1:1" ht="15" customHeight="1">
      <c r="A1272" s="9"/>
    </row>
    <row r="1273" spans="1:1" ht="15" customHeight="1">
      <c r="A1273" s="9"/>
    </row>
    <row r="1274" spans="1:1" ht="15" customHeight="1">
      <c r="A1274" s="9"/>
    </row>
    <row r="1275" spans="1:1" ht="15" customHeight="1">
      <c r="A1275" s="9"/>
    </row>
  </sheetData>
  <conditionalFormatting sqref="F1:F716">
    <cfRule type="duplicateValues" dxfId="1" priority="66"/>
  </conditionalFormatting>
  <dataValidations count="2">
    <dataValidation type="list" allowBlank="1" showInputMessage="1" showErrorMessage="1" sqref="H2" xr:uid="{585DA9B2-DA6E-F149-BC51-05D619EEE0DB}">
      <formula1>LeadTypeList</formula1>
    </dataValidation>
    <dataValidation type="list" allowBlank="1" sqref="I2:I716" xr:uid="{00000000-0002-0000-0200-000000000000}">
      <formula1>SourceList</formula1>
      <formula2>0</formula2>
    </dataValidation>
  </dataValidations>
  <hyperlinks>
    <hyperlink ref="F441" r:id="rId1" display="mailto:Daya@taryag-group.com" xr:uid="{3880A053-1E71-5147-B626-48F194459AB7}"/>
    <hyperlink ref="F660" r:id="rId2" xr:uid="{74BEA463-E0E6-FE42-931E-A18892BB327B}"/>
    <hyperlink ref="F643" r:id="rId3" display="mailto:ziv@alvox.co.il" xr:uid="{9E89BBF3-30EC-8440-8E61-8070A986A113}"/>
    <hyperlink ref="F212" r:id="rId4" display="mailto:pninit@biotization.com" xr:uid="{0BD66EB6-34BA-1140-A5E8-C5CCB884540C}"/>
    <hyperlink ref="F611" r:id="rId5" xr:uid="{C884E6DC-8BA2-8F4A-8583-3AC709EB93AC}"/>
    <hyperlink ref="F590" r:id="rId6" xr:uid="{F6AB46C2-5D54-FE4D-B412-E842B4240212}"/>
    <hyperlink ref="F472" r:id="rId7" xr:uid="{E1545AE6-3461-0949-8DBF-66E18254CF47}"/>
    <hyperlink ref="F474" r:id="rId8" display="mailto:reemmiari@yahoo.com" xr:uid="{B8DB9311-8CF5-2C40-B91C-92FA7E5DDAC9}"/>
    <hyperlink ref="F400" r:id="rId9" display="mailto:yarons@bduk-tx.com" xr:uid="{B85E5BA7-FE2F-2F4F-B45C-35C4A8168A4D}"/>
    <hyperlink ref="F412" r:id="rId10" display="mailto:adi@birad.biz" xr:uid="{3D168254-61EB-634F-9E3B-CF4A6224FFAC}"/>
    <hyperlink ref="F401" r:id="rId11" display="mailto:karinael@sce.ac.il" xr:uid="{E0F5BCEB-067B-1546-ACDA-780672111E13}"/>
    <hyperlink ref="F347" r:id="rId12" display="mailto:nizar@ngt3vc.com" xr:uid="{D059F33C-E881-014B-B8A5-D25893865D49}"/>
    <hyperlink ref="F516" r:id="rId13" display="mailto:kerenriabr@gmail.com" xr:uid="{893C8BA8-5256-E748-B1C8-A921C3FBB71C}"/>
    <hyperlink ref="F446" r:id="rId14" display="mailto:tsmax@live.com" xr:uid="{5E9970D5-7F1C-144D-BB7D-21B2C35CC9F1}"/>
    <hyperlink ref="F414" r:id="rId15" display="mailto:barakazmon@gmail.com" xr:uid="{DD99693E-494E-5C49-B22D-F1A7028628A0}"/>
    <hyperlink ref="F399" r:id="rId16" display="mailto:yaron@formicrobotics.com" xr:uid="{C320B463-5634-9D4B-B2B7-98D309140208}"/>
    <hyperlink ref="F452" r:id="rId17" display="mailto:anwarrayan67@gmail.com" xr:uid="{1DD1A94B-4E1C-E746-BC9E-8DBB72C1CD39}"/>
    <hyperlink ref="F469" r:id="rId18" display="mailto:hagit.alon@gmail.com" xr:uid="{F361C77D-ED47-C648-938D-D104D64244E2}"/>
    <hyperlink ref="F518" r:id="rId19" display="mailto:kfirb@sce.ac.il" xr:uid="{2F57E6B5-789B-D54D-99CD-01A2F473A617}"/>
    <hyperlink ref="F655" r:id="rId20" xr:uid="{C974BF40-50C3-844D-B5A1-547813F00FF4}"/>
    <hyperlink ref="F656" r:id="rId21" xr:uid="{AC610505-52C2-234C-A6C9-4C83067A7D08}"/>
  </hyperlinks>
  <pageMargins left="0.75" right="0.75" top="1" bottom="1" header="0.511811023622047" footer="0.511811023622047"/>
  <pageSetup paperSize="9" orientation="portrait" horizontalDpi="300" verticalDpi="300"/>
  <tableParts count="1">
    <tablePart r:id="rId22"/>
  </tableParts>
  <extLst>
    <ext xmlns:x14="http://schemas.microsoft.com/office/spreadsheetml/2009/9/main" uri="{CCE6A557-97BC-4b89-ADB6-D9C93CAAB3DF}">
      <x14:dataValidations xmlns:xm="http://schemas.microsoft.com/office/excel/2006/main" count="3">
        <x14:dataValidation type="list" allowBlank="1" xr:uid="{04423170-F0EC-F44F-9B6E-0DA649FCE698}">
          <x14:formula1>
            <xm:f>Companies!$B$2:$B$2000</xm:f>
          </x14:formula1>
          <xm:sqref>E715:E716</xm:sqref>
        </x14:dataValidation>
        <x14:dataValidation type="list" allowBlank="1" showInputMessage="1" showErrorMessage="1" xr:uid="{C29CCA26-5F7A-3E4D-BBEB-25FBFBFCA4A3}">
          <x14:formula1>
            <xm:f>Lists!$4:$4</xm:f>
          </x14:formula1>
          <xm:sqref>H3:H631</xm:sqref>
        </x14:dataValidation>
        <x14:dataValidation type="list" allowBlank="1" xr:uid="{00000000-0002-0000-0200-000001000000}">
          <x14:formula1>
            <xm:f>Companies!$B$2:$B$450</xm:f>
          </x14:formula1>
          <x14:formula2>
            <xm:f>0</xm:f>
          </x14:formula2>
          <xm:sqref>E2:E714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54360"/>
  </sheetPr>
  <dimension ref="A1:L480"/>
  <sheetViews>
    <sheetView tabSelected="1" zoomScale="138" zoomScaleNormal="85" workbookViewId="0">
      <pane xSplit="1" ySplit="1" topLeftCell="C410" activePane="bottomRight" state="frozen"/>
      <selection pane="topRight" activeCell="B1" sqref="B1"/>
      <selection pane="bottomLeft" activeCell="A2" sqref="A2"/>
      <selection pane="bottomRight" activeCell="C428" sqref="C428"/>
    </sheetView>
  </sheetViews>
  <sheetFormatPr baseColWidth="10" defaultColWidth="8.6640625" defaultRowHeight="15" customHeight="1"/>
  <cols>
    <col min="1" max="1" width="7" style="21" bestFit="1" customWidth="1"/>
    <col min="2" max="2" width="9.33203125" bestFit="1" customWidth="1"/>
    <col min="3" max="3" width="31" bestFit="1" customWidth="1"/>
    <col min="4" max="4" width="18.6640625" bestFit="1" customWidth="1"/>
    <col min="5" max="5" width="54" bestFit="1" customWidth="1"/>
    <col min="6" max="6" width="9.5" bestFit="1" customWidth="1"/>
    <col min="7" max="7" width="33.1640625" bestFit="1" customWidth="1"/>
    <col min="8" max="8" width="10.83203125" bestFit="1" customWidth="1"/>
    <col min="9" max="9" width="16.83203125" bestFit="1" customWidth="1"/>
    <col min="10" max="10" width="17.5" bestFit="1" customWidth="1"/>
    <col min="11" max="11" width="17.5" customWidth="1"/>
    <col min="12" max="12" width="40.33203125" hidden="1" customWidth="1"/>
  </cols>
  <sheetData>
    <row r="1" spans="1:12" ht="21.75" customHeight="1">
      <c r="A1" s="18" t="s">
        <v>20</v>
      </c>
      <c r="B1" s="12" t="s">
        <v>2995</v>
      </c>
      <c r="C1" s="12" t="s">
        <v>2096</v>
      </c>
      <c r="D1" s="2" t="s">
        <v>2097</v>
      </c>
      <c r="E1" s="2" t="s">
        <v>721</v>
      </c>
      <c r="F1" s="12" t="s">
        <v>2098</v>
      </c>
      <c r="G1" s="12" t="s">
        <v>2099</v>
      </c>
      <c r="H1" s="12" t="s">
        <v>2100</v>
      </c>
      <c r="I1" s="12" t="s">
        <v>2101</v>
      </c>
      <c r="J1" s="12" t="s">
        <v>2102</v>
      </c>
      <c r="K1" s="12" t="s">
        <v>2812</v>
      </c>
      <c r="L1" s="2" t="s">
        <v>2103</v>
      </c>
    </row>
    <row r="2" spans="1:12">
      <c r="A2" s="19">
        <f>IF(tblOutreachLog[[#This Row],[Interaction Date]]&lt;&gt;0,ROW()-1,"")</f>
        <v>1</v>
      </c>
      <c r="B2" s="13">
        <v>46084</v>
      </c>
      <c r="C2" s="10" t="s">
        <v>859</v>
      </c>
      <c r="D2" s="11" t="str">
        <f>IFERROR(INDEX(Contacts!$B:$B,MATCH(C2,Contacts!$F:$F,0))&amp;" "&amp;INDEX(Contacts!$C:$C,MATCH(C2,Contacts!$F:$F,0)),"")</f>
        <v>אבישי עוז</v>
      </c>
      <c r="E2" s="14" t="str">
        <f>IFERROR(INDEX(Contacts!$E:$E,MATCH(C2,Contacts!$F:$F,0)),"")</f>
        <v>Axioma</v>
      </c>
      <c r="F2" s="9" t="s">
        <v>9</v>
      </c>
      <c r="G2" s="10" t="s">
        <v>2104</v>
      </c>
      <c r="H2" s="10" t="s">
        <v>734</v>
      </c>
      <c r="I2" s="13"/>
      <c r="J2" s="13"/>
      <c r="K2" s="10" t="s">
        <v>2818</v>
      </c>
      <c r="L2" s="11" t="str">
        <f t="shared" ref="L2:L65" si="0">TEXT(B2,"YYYY-MM-DD")&amp;C2</f>
        <v>2026-03-03avishai.o@axioma-in.com</v>
      </c>
    </row>
    <row r="3" spans="1:12">
      <c r="A3" s="19">
        <f>IF(tblOutreachLog[[#This Row],[Interaction Date]]&lt;&gt;0,ROW()-1,"")</f>
        <v>2</v>
      </c>
      <c r="B3" s="13">
        <v>46084</v>
      </c>
      <c r="C3" s="10" t="s">
        <v>863</v>
      </c>
      <c r="D3" s="11" t="str">
        <f>IFERROR(INDEX(Contacts!$B:$B,MATCH(C3,Contacts!$F:$F,0))&amp;" "&amp;INDEX(Contacts!$C:$C,MATCH(C3,Contacts!$F:$F,0)),"")</f>
        <v>אבנר פרייברגר</v>
      </c>
      <c r="E3" s="14" t="str">
        <f>IFERROR(INDEX(Contacts!$E:$E,MATCH(C3,Contacts!$F:$F,0)),"")</f>
        <v>Ansora</v>
      </c>
      <c r="F3" s="9" t="s">
        <v>9</v>
      </c>
      <c r="G3" s="10" t="s">
        <v>2104</v>
      </c>
      <c r="H3" s="10" t="s">
        <v>734</v>
      </c>
      <c r="I3" s="13"/>
      <c r="J3" s="13"/>
      <c r="K3" s="10" t="s">
        <v>2818</v>
      </c>
      <c r="L3" s="11" t="str">
        <f t="shared" si="0"/>
        <v>2026-03-03avner.fr@gmail.com</v>
      </c>
    </row>
    <row r="4" spans="1:12">
      <c r="A4" s="19">
        <f>IF(tblOutreachLog[[#This Row],[Interaction Date]]&lt;&gt;0,ROW()-1,"")</f>
        <v>3</v>
      </c>
      <c r="B4" s="13">
        <v>46084</v>
      </c>
      <c r="C4" s="10" t="s">
        <v>901</v>
      </c>
      <c r="D4" s="11" t="str">
        <f>IFERROR(INDEX(Contacts!$B:$B,MATCH(C4,Contacts!$F:$F,0))&amp;" "&amp;INDEX(Contacts!$C:$C,MATCH(C4,Contacts!$F:$F,0)),"")</f>
        <v>לירון בורט</v>
      </c>
      <c r="E4" s="14" t="str">
        <f>IFERROR(INDEX(Contacts!$E:$E,MATCH(C4,Contacts!$F:$F,0)),"")</f>
        <v>Wsc sports</v>
      </c>
      <c r="F4" s="9" t="s">
        <v>9</v>
      </c>
      <c r="G4" s="10" t="s">
        <v>2104</v>
      </c>
      <c r="H4" s="10" t="s">
        <v>734</v>
      </c>
      <c r="I4" s="13"/>
      <c r="J4" s="13"/>
      <c r="K4" s="10" t="s">
        <v>2818</v>
      </c>
      <c r="L4" s="11" t="str">
        <f t="shared" si="0"/>
        <v>2026-03-03burtliron@gmail.com</v>
      </c>
    </row>
    <row r="5" spans="1:12">
      <c r="A5" s="19">
        <f>IF(tblOutreachLog[[#This Row],[Interaction Date]]&lt;&gt;0,ROW()-1,"")</f>
        <v>4</v>
      </c>
      <c r="B5" s="13">
        <v>46084</v>
      </c>
      <c r="C5" s="10" t="s">
        <v>921</v>
      </c>
      <c r="D5" s="11" t="str">
        <f>IFERROR(INDEX(Contacts!$B:$B,MATCH(C5,Contacts!$F:$F,0))&amp;" "&amp;INDEX(Contacts!$C:$C,MATCH(C5,Contacts!$F:$F,0)),"")</f>
        <v>דניאל ברנסטין</v>
      </c>
      <c r="E5" s="14" t="str">
        <f>IFERROR(INDEX(Contacts!$E:$E,MATCH(C5,Contacts!$F:$F,0)),"")</f>
        <v>Bruker</v>
      </c>
      <c r="F5" s="9" t="s">
        <v>9</v>
      </c>
      <c r="G5" s="10" t="s">
        <v>2104</v>
      </c>
      <c r="H5" s="10" t="s">
        <v>734</v>
      </c>
      <c r="I5" s="13"/>
      <c r="J5" s="13"/>
      <c r="K5" s="10" t="s">
        <v>2818</v>
      </c>
      <c r="L5" s="11" t="str">
        <f t="shared" si="0"/>
        <v>2026-03-03daniel.bernstein@bruker.com</v>
      </c>
    </row>
    <row r="6" spans="1:12">
      <c r="A6" s="19">
        <f>IF(tblOutreachLog[[#This Row],[Interaction Date]]&lt;&gt;0,ROW()-1,"")</f>
        <v>5</v>
      </c>
      <c r="B6" s="13">
        <v>46084</v>
      </c>
      <c r="C6" s="10" t="s">
        <v>937</v>
      </c>
      <c r="D6" s="11" t="str">
        <f>IFERROR(INDEX(Contacts!$B:$B,MATCH(C6,Contacts!$F:$F,0))&amp;" "&amp;INDEX(Contacts!$C:$C,MATCH(C6,Contacts!$F:$F,0)),"")</f>
        <v>דריו בריטל</v>
      </c>
      <c r="E6" s="14" t="str">
        <f>IFERROR(INDEX(Contacts!$E:$E,MATCH(C6,Contacts!$F:$F,0)),"")</f>
        <v>Kokomodo</v>
      </c>
      <c r="F6" s="9" t="s">
        <v>9</v>
      </c>
      <c r="G6" s="10" t="s">
        <v>2104</v>
      </c>
      <c r="H6" s="10" t="s">
        <v>734</v>
      </c>
      <c r="I6" s="13"/>
      <c r="J6" s="13"/>
      <c r="K6" s="10" t="s">
        <v>2818</v>
      </c>
      <c r="L6" s="11" t="str">
        <f t="shared" si="0"/>
        <v>2026-03-03dario@thekokomodo.com</v>
      </c>
    </row>
    <row r="7" spans="1:12">
      <c r="A7" s="19">
        <f>IF(tblOutreachLog[[#This Row],[Interaction Date]]&lt;&gt;0,ROW()-1,"")</f>
        <v>6</v>
      </c>
      <c r="B7" s="13">
        <v>46084</v>
      </c>
      <c r="C7" s="10" t="s">
        <v>962</v>
      </c>
      <c r="D7" s="11" t="str">
        <f>IFERROR(INDEX(Contacts!$B:$B,MATCH(C7,Contacts!$F:$F,0))&amp;" "&amp;INDEX(Contacts!$C:$C,MATCH(C7,Contacts!$F:$F,0)),"")</f>
        <v>דגנית סופר</v>
      </c>
      <c r="E7" s="14" t="str">
        <f>IFERROR(INDEX(Contacts!$E:$E,MATCH(C7,Contacts!$F:$F,0)),"")</f>
        <v>Afimilk</v>
      </c>
      <c r="F7" s="9" t="s">
        <v>9</v>
      </c>
      <c r="G7" s="10" t="s">
        <v>2104</v>
      </c>
      <c r="H7" s="10" t="s">
        <v>734</v>
      </c>
      <c r="I7" s="13"/>
      <c r="J7" s="13"/>
      <c r="K7" s="10" t="s">
        <v>2818</v>
      </c>
      <c r="L7" s="11" t="str">
        <f t="shared" si="0"/>
        <v>2026-03-03dganit@afimilk.com</v>
      </c>
    </row>
    <row r="8" spans="1:12">
      <c r="A8" s="19">
        <f>IF(tblOutreachLog[[#This Row],[Interaction Date]]&lt;&gt;0,ROW()-1,"")</f>
        <v>7</v>
      </c>
      <c r="B8" s="13">
        <v>46084</v>
      </c>
      <c r="C8" s="10" t="s">
        <v>973</v>
      </c>
      <c r="D8" s="11" t="str">
        <f>IFERROR(INDEX(Contacts!$B:$B,MATCH(C8,Contacts!$F:$F,0))&amp;" "&amp;INDEX(Contacts!$C:$C,MATCH(C8,Contacts!$F:$F,0)),"")</f>
        <v>דורינה רוברמאן</v>
      </c>
      <c r="E8" s="14" t="str">
        <f>IFERROR(INDEX(Contacts!$E:$E,MATCH(C8,Contacts!$F:$F,0)),"")</f>
        <v>ever after foods</v>
      </c>
      <c r="F8" s="9" t="s">
        <v>9</v>
      </c>
      <c r="G8" s="10" t="s">
        <v>2104</v>
      </c>
      <c r="H8" s="10" t="s">
        <v>734</v>
      </c>
      <c r="I8" s="13"/>
      <c r="J8" s="13"/>
      <c r="K8" s="10" t="s">
        <v>2818</v>
      </c>
      <c r="L8" s="11" t="str">
        <f t="shared" si="0"/>
        <v>2026-03-03dorinar@everafterfoods.com</v>
      </c>
    </row>
    <row r="9" spans="1:12">
      <c r="A9" s="19">
        <f>IF(tblOutreachLog[[#This Row],[Interaction Date]]&lt;&gt;0,ROW()-1,"")</f>
        <v>8</v>
      </c>
      <c r="B9" s="13">
        <v>46084</v>
      </c>
      <c r="C9" s="10" t="s">
        <v>1048</v>
      </c>
      <c r="D9" s="11" t="str">
        <f>IFERROR(INDEX(Contacts!$B:$B,MATCH(C9,Contacts!$F:$F,0))&amp;" "&amp;INDEX(Contacts!$C:$C,MATCH(C9,Contacts!$F:$F,0)),"")</f>
        <v>ארז פניר</v>
      </c>
      <c r="E9" s="14" t="str">
        <f>IFERROR(INDEX(Contacts!$E:$E,MATCH(C9,Contacts!$F:$F,0)),"")</f>
        <v>סופוויב</v>
      </c>
      <c r="F9" s="9" t="s">
        <v>9</v>
      </c>
      <c r="G9" s="10" t="s">
        <v>2104</v>
      </c>
      <c r="H9" s="10" t="s">
        <v>734</v>
      </c>
      <c r="I9" s="13"/>
      <c r="J9" s="13"/>
      <c r="K9" s="10" t="s">
        <v>2818</v>
      </c>
      <c r="L9" s="11" t="str">
        <f t="shared" si="0"/>
        <v>2026-03-03erez@sofwave.com</v>
      </c>
    </row>
    <row r="10" spans="1:12">
      <c r="A10" s="19">
        <f>IF(tblOutreachLog[[#This Row],[Interaction Date]]&lt;&gt;0,ROW()-1,"")</f>
        <v>9</v>
      </c>
      <c r="B10" s="13">
        <v>46084</v>
      </c>
      <c r="C10" s="10" t="s">
        <v>1092</v>
      </c>
      <c r="D10" s="11" t="str">
        <f>IFERROR(INDEX(Contacts!$B:$B,MATCH(C10,Contacts!$F:$F,0))&amp;" "&amp;INDEX(Contacts!$C:$C,MATCH(C10,Contacts!$F:$F,0)),"")</f>
        <v>גל אולבסון</v>
      </c>
      <c r="E10" s="14" t="str">
        <f>IFERROR(INDEX(Contacts!$E:$E,MATCH(C10,Contacts!$F:$F,0)),"")</f>
        <v>Emotion Logic</v>
      </c>
      <c r="F10" s="9" t="s">
        <v>9</v>
      </c>
      <c r="G10" s="10" t="s">
        <v>2104</v>
      </c>
      <c r="H10" s="10" t="s">
        <v>734</v>
      </c>
      <c r="I10" s="13"/>
      <c r="J10" s="13"/>
      <c r="K10" s="10" t="s">
        <v>2818</v>
      </c>
      <c r="L10" s="11" t="str">
        <f t="shared" si="0"/>
        <v>2026-03-03gal@emotionlogic.ai</v>
      </c>
    </row>
    <row r="11" spans="1:12">
      <c r="A11" s="19">
        <f>IF(tblOutreachLog[[#This Row],[Interaction Date]]&lt;&gt;0,ROW()-1,"")</f>
        <v>10</v>
      </c>
      <c r="B11" s="13">
        <v>46084</v>
      </c>
      <c r="C11" s="10" t="s">
        <v>1127</v>
      </c>
      <c r="D11" s="11" t="str">
        <f>IFERROR(INDEX(Contacts!$B:$B,MATCH(C11,Contacts!$F:$F,0))&amp;" "&amp;INDEX(Contacts!$C:$C,MATCH(C11,Contacts!$F:$F,0)),"")</f>
        <v>יוג'ין גרקו</v>
      </c>
      <c r="E11" s="14" t="str">
        <f>IFERROR(INDEX(Contacts!$E:$E,MATCH(C11,Contacts!$F:$F,0)),"")</f>
        <v>InFocus</v>
      </c>
      <c r="F11" s="9" t="s">
        <v>9</v>
      </c>
      <c r="G11" s="10" t="s">
        <v>2104</v>
      </c>
      <c r="H11" s="10" t="s">
        <v>734</v>
      </c>
      <c r="I11" s="13"/>
      <c r="J11" s="13"/>
      <c r="K11" s="10" t="s">
        <v>2818</v>
      </c>
      <c r="L11" s="11" t="str">
        <f t="shared" si="0"/>
        <v>2026-03-03grekov.e@gmail.com</v>
      </c>
    </row>
    <row r="12" spans="1:12">
      <c r="A12" s="19">
        <f>IF(tblOutreachLog[[#This Row],[Interaction Date]]&lt;&gt;0,ROW()-1,"")</f>
        <v>11</v>
      </c>
      <c r="B12" s="13">
        <v>46084</v>
      </c>
      <c r="C12" s="10" t="s">
        <v>1145</v>
      </c>
      <c r="D12" s="11" t="str">
        <f>IFERROR(INDEX(Contacts!$B:$B,MATCH(C12,Contacts!$F:$F,0))&amp;" "&amp;INDEX(Contacts!$C:$C,MATCH(C12,Contacts!$F:$F,0)),"")</f>
        <v>גיא מזרחי</v>
      </c>
      <c r="E12" s="14" t="str">
        <f>IFERROR(INDEX(Contacts!$E:$E,MATCH(C12,Contacts!$F:$F,0)),"")</f>
        <v>Park Ariel Sharon</v>
      </c>
      <c r="F12" s="9" t="s">
        <v>9</v>
      </c>
      <c r="G12" s="10" t="s">
        <v>2104</v>
      </c>
      <c r="H12" s="10" t="s">
        <v>734</v>
      </c>
      <c r="I12" s="13"/>
      <c r="J12" s="13"/>
      <c r="K12" s="10" t="s">
        <v>2818</v>
      </c>
      <c r="L12" s="11" t="str">
        <f t="shared" si="0"/>
        <v>2026-03-03guy@parksharon.co.il</v>
      </c>
    </row>
    <row r="13" spans="1:12">
      <c r="A13" s="19">
        <f>IF(tblOutreachLog[[#This Row],[Interaction Date]]&lt;&gt;0,ROW()-1,"")</f>
        <v>12</v>
      </c>
      <c r="B13" s="13">
        <v>46084</v>
      </c>
      <c r="C13" s="10" t="s">
        <v>1175</v>
      </c>
      <c r="D13" s="11" t="str">
        <f>IFERROR(INDEX(Contacts!$B:$B,MATCH(C13,Contacts!$F:$F,0))&amp;" "&amp;INDEX(Contacts!$C:$C,MATCH(C13,Contacts!$F:$F,0)),"")</f>
        <v>עידן באוקי</v>
      </c>
      <c r="E13" s="14" t="str">
        <f>IFERROR(INDEX(Contacts!$E:$E,MATCH(C13,Contacts!$F:$F,0)),"")</f>
        <v>Driveu.auto</v>
      </c>
      <c r="F13" s="9" t="s">
        <v>9</v>
      </c>
      <c r="G13" s="10" t="s">
        <v>2104</v>
      </c>
      <c r="H13" s="10" t="s">
        <v>734</v>
      </c>
      <c r="I13" s="13"/>
      <c r="J13" s="13"/>
      <c r="K13" s="10" t="s">
        <v>2818</v>
      </c>
      <c r="L13" s="11" t="str">
        <f t="shared" si="0"/>
        <v>2026-03-03idan@driveu.auto</v>
      </c>
    </row>
    <row r="14" spans="1:12">
      <c r="A14" s="19">
        <f>IF(tblOutreachLog[[#This Row],[Interaction Date]]&lt;&gt;0,ROW()-1,"")</f>
        <v>13</v>
      </c>
      <c r="B14" s="13">
        <v>46084</v>
      </c>
      <c r="C14" s="10" t="s">
        <v>1198</v>
      </c>
      <c r="D14" s="11" t="str">
        <f>IFERROR(INDEX(Contacts!$B:$B,MATCH(C14,Contacts!$F:$F,0))&amp;" "&amp;INDEX(Contacts!$C:$C,MATCH(C14,Contacts!$F:$F,0)),"")</f>
        <v xml:space="preserve">אסף </v>
      </c>
      <c r="E14" s="14" t="str">
        <f>IFERROR(INDEX(Contacts!$E:$E,MATCH(C14,Contacts!$F:$F,0)),"")</f>
        <v>3Dme</v>
      </c>
      <c r="F14" s="9" t="s">
        <v>9</v>
      </c>
      <c r="G14" s="10" t="s">
        <v>2104</v>
      </c>
      <c r="H14" s="10" t="s">
        <v>734</v>
      </c>
      <c r="I14" s="13"/>
      <c r="J14" s="13"/>
      <c r="K14" s="10" t="s">
        <v>2818</v>
      </c>
      <c r="L14" s="11" t="str">
        <f t="shared" si="0"/>
        <v>2026-03-03info@3dme.co.il</v>
      </c>
    </row>
    <row r="15" spans="1:12">
      <c r="A15" s="19">
        <f>IF(tblOutreachLog[[#This Row],[Interaction Date]]&lt;&gt;0,ROW()-1,"")</f>
        <v>14</v>
      </c>
      <c r="B15" s="13">
        <v>46084</v>
      </c>
      <c r="C15" s="10" t="s">
        <v>1367</v>
      </c>
      <c r="D15" s="11" t="str">
        <f>IFERROR(INDEX(Contacts!$B:$B,MATCH(C15,Contacts!$F:$F,0))&amp;" "&amp;INDEX(Contacts!$C:$C,MATCH(C15,Contacts!$F:$F,0)),"")</f>
        <v>ליאור רביב</v>
      </c>
      <c r="E15" s="14" t="str">
        <f>IFERROR(INDEX(Contacts!$E:$E,MATCH(C15,Contacts!$F:$F,0)),"")</f>
        <v>Pluri</v>
      </c>
      <c r="F15" s="9" t="s">
        <v>9</v>
      </c>
      <c r="G15" s="10" t="s">
        <v>2104</v>
      </c>
      <c r="H15" s="10" t="s">
        <v>734</v>
      </c>
      <c r="I15" s="13"/>
      <c r="J15" s="13"/>
      <c r="K15" s="10" t="s">
        <v>2818</v>
      </c>
      <c r="L15" s="11" t="str">
        <f t="shared" si="0"/>
        <v>2026-03-03liorr@pluri-biotech.com</v>
      </c>
    </row>
    <row r="16" spans="1:12">
      <c r="A16" s="19">
        <f>IF(tblOutreachLog[[#This Row],[Interaction Date]]&lt;&gt;0,ROW()-1,"")</f>
        <v>15</v>
      </c>
      <c r="B16" s="13">
        <v>46084</v>
      </c>
      <c r="C16" s="10" t="s">
        <v>1393</v>
      </c>
      <c r="D16" s="11" t="str">
        <f>IFERROR(INDEX(Contacts!$B:$B,MATCH(C16,Contacts!$F:$F,0))&amp;" "&amp;INDEX(Contacts!$C:$C,MATCH(C16,Contacts!$F:$F,0)),"")</f>
        <v>מרק קולטון</v>
      </c>
      <c r="E16" s="14" t="str">
        <f>IFERROR(INDEX(Contacts!$E:$E,MATCH(C16,Contacts!$F:$F,0)),"")</f>
        <v>Attis Aviation</v>
      </c>
      <c r="F16" s="9" t="s">
        <v>9</v>
      </c>
      <c r="G16" s="10" t="s">
        <v>2104</v>
      </c>
      <c r="H16" s="10" t="s">
        <v>734</v>
      </c>
      <c r="I16" s="13"/>
      <c r="J16" s="13"/>
      <c r="K16" s="10" t="s">
        <v>2818</v>
      </c>
      <c r="L16" s="11" t="str">
        <f t="shared" si="0"/>
        <v>2026-03-03mark@attis-aviation.com</v>
      </c>
    </row>
    <row r="17" spans="1:12">
      <c r="A17" s="19">
        <f>IF(tblOutreachLog[[#This Row],[Interaction Date]]&lt;&gt;0,ROW()-1,"")</f>
        <v>16</v>
      </c>
      <c r="B17" s="13">
        <v>46084</v>
      </c>
      <c r="C17" s="10" t="s">
        <v>1504</v>
      </c>
      <c r="D17" s="11" t="str">
        <f>IFERROR(INDEX(Contacts!$B:$B,MATCH(C17,Contacts!$F:$F,0))&amp;" "&amp;INDEX(Contacts!$C:$C,MATCH(C17,Contacts!$F:$F,0)),"")</f>
        <v>נמרוד אשל</v>
      </c>
      <c r="E17" s="14" t="str">
        <f>IFERROR(INDEX(Contacts!$E:$E,MATCH(C17,Contacts!$F:$F,0)),"")</f>
        <v>Desert Bird</v>
      </c>
      <c r="F17" s="9" t="s">
        <v>9</v>
      </c>
      <c r="G17" s="10" t="s">
        <v>2104</v>
      </c>
      <c r="H17" s="10" t="s">
        <v>734</v>
      </c>
      <c r="I17" s="13"/>
      <c r="J17" s="13"/>
      <c r="K17" s="10" t="s">
        <v>2818</v>
      </c>
      <c r="L17" s="11" t="str">
        <f t="shared" si="0"/>
        <v>2026-03-03nimrod@desert-bird.com</v>
      </c>
    </row>
    <row r="18" spans="1:12">
      <c r="A18" s="19">
        <f>IF(tblOutreachLog[[#This Row],[Interaction Date]]&lt;&gt;0,ROW()-1,"")</f>
        <v>17</v>
      </c>
      <c r="B18" s="13">
        <v>46084</v>
      </c>
      <c r="C18" s="10" t="s">
        <v>1540</v>
      </c>
      <c r="D18" s="11" t="str">
        <f>IFERROR(INDEX(Contacts!$B:$B,MATCH(C18,Contacts!$F:$F,0))&amp;" "&amp;INDEX(Contacts!$C:$C,MATCH(C18,Contacts!$F:$F,0)),"")</f>
        <v>ניצן משכיל</v>
      </c>
      <c r="E18" s="14" t="str">
        <f>IFERROR(INDEX(Contacts!$E:$E,MATCH(C18,Contacts!$F:$F,0)),"")</f>
        <v>qarakal</v>
      </c>
      <c r="F18" s="9" t="s">
        <v>9</v>
      </c>
      <c r="G18" s="10" t="s">
        <v>2104</v>
      </c>
      <c r="H18" s="10" t="s">
        <v>734</v>
      </c>
      <c r="I18" s="13"/>
      <c r="J18" s="13"/>
      <c r="K18" s="10" t="s">
        <v>2818</v>
      </c>
      <c r="L18" s="11" t="str">
        <f t="shared" si="0"/>
        <v>2026-03-03nmaskil@qarakal.ai</v>
      </c>
    </row>
    <row r="19" spans="1:12">
      <c r="A19" s="19">
        <f>IF(tblOutreachLog[[#This Row],[Interaction Date]]&lt;&gt;0,ROW()-1,"")</f>
        <v>18</v>
      </c>
      <c r="B19" s="13">
        <v>46084</v>
      </c>
      <c r="C19" s="10" t="s">
        <v>1631</v>
      </c>
      <c r="D19" s="11" t="str">
        <f>IFERROR(INDEX(Contacts!$B:$B,MATCH(C19,Contacts!$F:$F,0))&amp;" "&amp;INDEX(Contacts!$C:$C,MATCH(C19,Contacts!$F:$F,0)),"")</f>
        <v>אורי ליאדא</v>
      </c>
      <c r="E19" s="14" t="str">
        <f>IFERROR(INDEX(Contacts!$E:$E,MATCH(C19,Contacts!$F:$F,0)),"")</f>
        <v>atlasensebiomed.com</v>
      </c>
      <c r="F19" s="9" t="s">
        <v>9</v>
      </c>
      <c r="G19" s="10" t="s">
        <v>2104</v>
      </c>
      <c r="H19" s="10" t="s">
        <v>734</v>
      </c>
      <c r="I19" s="13"/>
      <c r="J19" s="13"/>
      <c r="K19" s="10" t="s">
        <v>2818</v>
      </c>
      <c r="L19" s="11" t="str">
        <f t="shared" si="0"/>
        <v>2026-03-03ori.elyada@atlasensebiomed.com</v>
      </c>
    </row>
    <row r="20" spans="1:12">
      <c r="A20" s="19">
        <f>IF(tblOutreachLog[[#This Row],[Interaction Date]]&lt;&gt;0,ROW()-1,"")</f>
        <v>19</v>
      </c>
      <c r="B20" s="13">
        <v>46084</v>
      </c>
      <c r="C20" s="10" t="s">
        <v>1668</v>
      </c>
      <c r="D20" s="11" t="str">
        <f>IFERROR(INDEX(Contacts!$B:$B,MATCH(C20,Contacts!$F:$F,0))&amp;" "&amp;INDEX(Contacts!$C:$C,MATCH(C20,Contacts!$F:$F,0)),"")</f>
        <v>רחלי נחמיה</v>
      </c>
      <c r="E20" s="14" t="str">
        <f>IFERROR(INDEX(Contacts!$E:$E,MATCH(C20,Contacts!$F:$F,0)),"")</f>
        <v>BMC Helix</v>
      </c>
      <c r="F20" s="9" t="s">
        <v>9</v>
      </c>
      <c r="G20" s="10" t="s">
        <v>2104</v>
      </c>
      <c r="H20" s="10" t="s">
        <v>734</v>
      </c>
      <c r="I20" s="13"/>
      <c r="J20" s="13"/>
      <c r="K20" s="10" t="s">
        <v>2818</v>
      </c>
      <c r="L20" s="11" t="str">
        <f t="shared" si="0"/>
        <v>2026-03-03Racheli_nehemia@bmc.com</v>
      </c>
    </row>
    <row r="21" spans="1:12">
      <c r="A21" s="19">
        <f>IF(tblOutreachLog[[#This Row],[Interaction Date]]&lt;&gt;0,ROW()-1,"")</f>
        <v>20</v>
      </c>
      <c r="B21" s="13">
        <v>46084</v>
      </c>
      <c r="C21" s="10" t="s">
        <v>1686</v>
      </c>
      <c r="D21" s="11" t="str">
        <f>IFERROR(INDEX(Contacts!$B:$B,MATCH(C21,Contacts!$F:$F,0))&amp;" "&amp;INDEX(Contacts!$C:$C,MATCH(C21,Contacts!$F:$F,0)),"")</f>
        <v>מיכה ריסלינג</v>
      </c>
      <c r="E21" s="14" t="str">
        <f>IFERROR(INDEX(Contacts!$E:$E,MATCH(C21,Contacts!$F:$F,0)),"")</f>
        <v>NAVAIRO</v>
      </c>
      <c r="F21" s="9" t="s">
        <v>9</v>
      </c>
      <c r="G21" s="10" t="s">
        <v>2104</v>
      </c>
      <c r="H21" s="10" t="s">
        <v>734</v>
      </c>
      <c r="I21" s="13"/>
      <c r="J21" s="13"/>
      <c r="K21" s="10" t="s">
        <v>2818</v>
      </c>
      <c r="L21" s="11" t="str">
        <f t="shared" si="0"/>
        <v>2026-03-03rislingm@gmail.com</v>
      </c>
    </row>
    <row r="22" spans="1:12">
      <c r="A22" s="19">
        <f>IF(tblOutreachLog[[#This Row],[Interaction Date]]&lt;&gt;0,ROW()-1,"")</f>
        <v>21</v>
      </c>
      <c r="B22" s="13">
        <v>46084</v>
      </c>
      <c r="C22" s="10" t="s">
        <v>1723</v>
      </c>
      <c r="D22" s="11" t="str">
        <f>IFERROR(INDEX(Contacts!$B:$B,MATCH(C22,Contacts!$F:$F,0))&amp;" "&amp;INDEX(Contacts!$C:$C,MATCH(C22,Contacts!$F:$F,0)),"")</f>
        <v>מרגריטה גרינברג</v>
      </c>
      <c r="E22" s="14" t="str">
        <f>IFERROR(INDEX(Contacts!$E:$E,MATCH(C22,Contacts!$F:$F,0)),"")</f>
        <v>IEC</v>
      </c>
      <c r="F22" s="9" t="s">
        <v>9</v>
      </c>
      <c r="G22" s="10" t="s">
        <v>2104</v>
      </c>
      <c r="H22" s="10" t="s">
        <v>2169</v>
      </c>
      <c r="I22" s="13"/>
      <c r="J22" s="13"/>
      <c r="K22" s="10" t="s">
        <v>2818</v>
      </c>
      <c r="L22" s="11" t="str">
        <f t="shared" si="0"/>
        <v>2026-03-03Rtgrin1@gmail.com</v>
      </c>
    </row>
    <row r="23" spans="1:12">
      <c r="A23" s="19">
        <f>IF(tblOutreachLog[[#This Row],[Interaction Date]]&lt;&gt;0,ROW()-1,"")</f>
        <v>22</v>
      </c>
      <c r="B23" s="13">
        <v>46084</v>
      </c>
      <c r="C23" s="10" t="s">
        <v>1765</v>
      </c>
      <c r="D23" s="11" t="str">
        <f>IFERROR(INDEX(Contacts!$B:$B,MATCH(C23,Contacts!$F:$F,0))&amp;" "&amp;INDEX(Contacts!$C:$C,MATCH(C23,Contacts!$F:$F,0)),"")</f>
        <v>שי קוהן</v>
      </c>
      <c r="E23" s="14" t="str">
        <f>IFERROR(INDEX(Contacts!$E:$E,MATCH(C23,Contacts!$F:$F,0)),"")</f>
        <v>Aigis Labs</v>
      </c>
      <c r="F23" s="9" t="s">
        <v>9</v>
      </c>
      <c r="G23" s="10" t="s">
        <v>2104</v>
      </c>
      <c r="H23" s="10" t="s">
        <v>734</v>
      </c>
      <c r="I23" s="13"/>
      <c r="J23" s="13"/>
      <c r="K23" s="10" t="s">
        <v>2818</v>
      </c>
      <c r="L23" s="11" t="str">
        <f t="shared" si="0"/>
        <v>2026-03-03shay@aigis-labs.com</v>
      </c>
    </row>
    <row r="24" spans="1:12">
      <c r="A24" s="19">
        <f>IF(tblOutreachLog[[#This Row],[Interaction Date]]&lt;&gt;0,ROW()-1,"")</f>
        <v>23</v>
      </c>
      <c r="B24" s="13">
        <v>46084</v>
      </c>
      <c r="C24" s="10" t="s">
        <v>1814</v>
      </c>
      <c r="D24" s="11" t="str">
        <f>IFERROR(INDEX(Contacts!$B:$B,MATCH(C24,Contacts!$F:$F,0))&amp;" "&amp;INDEX(Contacts!$C:$C,MATCH(C24,Contacts!$F:$F,0)),"")</f>
        <v>טל ליבוביץ ריבקין</v>
      </c>
      <c r="E24" s="14" t="str">
        <f>IFERROR(INDEX(Contacts!$E:$E,MATCH(C24,Contacts!$F:$F,0)),"")</f>
        <v>DenovAI</v>
      </c>
      <c r="F24" s="9" t="s">
        <v>9</v>
      </c>
      <c r="G24" s="10" t="s">
        <v>2104</v>
      </c>
      <c r="H24" s="10" t="s">
        <v>734</v>
      </c>
      <c r="I24" s="13"/>
      <c r="J24" s="13"/>
      <c r="K24" s="10" t="s">
        <v>2818</v>
      </c>
      <c r="L24" s="11" t="str">
        <f t="shared" si="0"/>
        <v>2026-03-03tal.leibovich@denovai.com</v>
      </c>
    </row>
    <row r="25" spans="1:12" ht="15" customHeight="1">
      <c r="A25" s="19">
        <f>IF(tblOutreachLog[[#This Row],[Interaction Date]]&lt;&gt;0,ROW()-1,"")</f>
        <v>24</v>
      </c>
      <c r="B25" s="13">
        <v>46093</v>
      </c>
      <c r="C25" s="10" t="s">
        <v>1349</v>
      </c>
      <c r="D25" s="11" t="str">
        <f>IFERROR(INDEX(Contacts!$B:$B,MATCH(C25,Contacts!$F:$F,0))&amp;" "&amp;INDEX(Contacts!$C:$C,MATCH(C25,Contacts!$F:$F,0)),"")</f>
        <v>ליאת שלומי</v>
      </c>
      <c r="E25" s="14" t="str">
        <f>IFERROR(INDEX(Contacts!$E:$E,MATCH(C25,Contacts!$F:$F,0)),"")</f>
        <v>Alvox Bio</v>
      </c>
      <c r="F25" s="9" t="s">
        <v>9</v>
      </c>
      <c r="G25" s="10" t="s">
        <v>2994</v>
      </c>
      <c r="H25" s="10" t="s">
        <v>2105</v>
      </c>
      <c r="I25" s="13"/>
      <c r="J25" s="13"/>
      <c r="K25" s="10" t="s">
        <v>2818</v>
      </c>
      <c r="L25" s="11" t="str">
        <f t="shared" si="0"/>
        <v>2026-03-12liat@alvox.co.il</v>
      </c>
    </row>
    <row r="26" spans="1:12" ht="15" customHeight="1">
      <c r="A26" s="19">
        <f>IF(tblOutreachLog[[#This Row],[Interaction Date]]&lt;&gt;0,ROW()-1,"")</f>
        <v>25</v>
      </c>
      <c r="B26" s="13">
        <v>46093</v>
      </c>
      <c r="C26" s="10" t="s">
        <v>1600</v>
      </c>
      <c r="D26" s="11" t="str">
        <f>IFERROR(INDEX(Contacts!$B:$B,MATCH(C26,Contacts!$F:$F,0))&amp;" "&amp;INDEX(Contacts!$C:$C,MATCH(C26,Contacts!$F:$F,0)),"")</f>
        <v>עומר מילר</v>
      </c>
      <c r="E26" s="14" t="str">
        <f>IFERROR(INDEX(Contacts!$E:$E,MATCH(C26,Contacts!$F:$F,0)),"")</f>
        <v>Alvox Bio</v>
      </c>
      <c r="F26" s="9" t="s">
        <v>9</v>
      </c>
      <c r="G26" s="10" t="s">
        <v>2994</v>
      </c>
      <c r="H26" s="10" t="s">
        <v>2105</v>
      </c>
      <c r="I26" s="13"/>
      <c r="J26" s="13"/>
      <c r="K26" s="10" t="s">
        <v>2818</v>
      </c>
      <c r="L26" s="11" t="str">
        <f t="shared" si="0"/>
        <v>2026-03-12omer@alvox.co.il</v>
      </c>
    </row>
    <row r="27" spans="1:12" ht="15" customHeight="1">
      <c r="A27" s="19">
        <f>IF(tblOutreachLog[[#This Row],[Interaction Date]]&lt;&gt;0,ROW()-1,"")</f>
        <v>26</v>
      </c>
      <c r="B27" s="13">
        <v>46093</v>
      </c>
      <c r="C27" s="10" t="s">
        <v>1951</v>
      </c>
      <c r="D27" s="11" t="str">
        <f>IFERROR(INDEX(Contacts!$B:$B,MATCH(C27,Contacts!$F:$F,0))&amp;" "&amp;INDEX(Contacts!$C:$C,MATCH(C27,Contacts!$F:$F,0)),"")</f>
        <v>טוקו זיו הלר</v>
      </c>
      <c r="E27" s="14" t="str">
        <f>IFERROR(INDEX(Contacts!$E:$E,MATCH(C27,Contacts!$F:$F,0)),"")</f>
        <v>Alvox Bio</v>
      </c>
      <c r="F27" s="9" t="s">
        <v>9</v>
      </c>
      <c r="G27" s="10" t="s">
        <v>2994</v>
      </c>
      <c r="H27" s="10" t="s">
        <v>2105</v>
      </c>
      <c r="I27" s="13"/>
      <c r="J27" s="13"/>
      <c r="K27" s="10" t="s">
        <v>2818</v>
      </c>
      <c r="L27" s="11" t="str">
        <f t="shared" si="0"/>
        <v>2026-03-12toko@alvox.co.il</v>
      </c>
    </row>
    <row r="28" spans="1:12" ht="15" customHeight="1">
      <c r="A28" s="19">
        <f>IF(tblOutreachLog[[#This Row],[Interaction Date]]&lt;&gt;0,ROW()-1,"")</f>
        <v>27</v>
      </c>
      <c r="B28" s="13">
        <v>46093</v>
      </c>
      <c r="C28" s="10" t="s">
        <v>1205</v>
      </c>
      <c r="D28" s="11" t="str">
        <f>IFERROR(INDEX(Contacts!$B:$B,MATCH(C28,Contacts!$F:$F,0))&amp;" "&amp;INDEX(Contacts!$C:$C,MATCH(C28,Contacts!$F:$F,0)),"")</f>
        <v/>
      </c>
      <c r="E28" s="14" t="str">
        <f>IFERROR(INDEX(Contacts!$E:$E,MATCH(C28,Contacts!$F:$F,0)),"")</f>
        <v/>
      </c>
      <c r="F28" s="9" t="s">
        <v>9</v>
      </c>
      <c r="G28" s="10" t="s">
        <v>2994</v>
      </c>
      <c r="H28" s="10" t="s">
        <v>2105</v>
      </c>
      <c r="I28" s="13"/>
      <c r="J28" s="13"/>
      <c r="K28" s="10" t="s">
        <v>2818</v>
      </c>
      <c r="L28" s="11" t="str">
        <f t="shared" si="0"/>
        <v>2026-03-12info@beyon-d.com</v>
      </c>
    </row>
    <row r="29" spans="1:12" ht="15" customHeight="1">
      <c r="A29" s="19">
        <f>IF(tblOutreachLog[[#This Row],[Interaction Date]]&lt;&gt;0,ROW()-1,"")</f>
        <v>28</v>
      </c>
      <c r="B29" s="13">
        <v>46093</v>
      </c>
      <c r="C29" s="10" t="s">
        <v>1952</v>
      </c>
      <c r="D29" s="11" t="str">
        <f>IFERROR(INDEX(Contacts!$B:$B,MATCH(C29,Contacts!$F:$F,0))&amp;" "&amp;INDEX(Contacts!$C:$C,MATCH(C29,Contacts!$F:$F,0)),"")</f>
        <v/>
      </c>
      <c r="E29" s="14" t="str">
        <f>IFERROR(INDEX(Contacts!$E:$E,MATCH(C29,Contacts!$F:$F,0)),"")</f>
        <v/>
      </c>
      <c r="F29" s="9" t="s">
        <v>9</v>
      </c>
      <c r="G29" s="10" t="s">
        <v>2994</v>
      </c>
      <c r="H29" s="10" t="s">
        <v>2105</v>
      </c>
      <c r="I29" s="13"/>
      <c r="J29" s="13"/>
      <c r="K29" s="10" t="s">
        <v>2818</v>
      </c>
      <c r="L29" s="11" t="str">
        <f t="shared" si="0"/>
        <v>2026-03-12michal.zeevi-bender@beyon-d.com</v>
      </c>
    </row>
    <row r="30" spans="1:12" ht="15" customHeight="1">
      <c r="A30" s="19">
        <f>IF(tblOutreachLog[[#This Row],[Interaction Date]]&lt;&gt;0,ROW()-1,"")</f>
        <v>29</v>
      </c>
      <c r="B30" s="13">
        <v>46093</v>
      </c>
      <c r="C30" s="10" t="s">
        <v>1412</v>
      </c>
      <c r="D30" s="11" t="str">
        <f>IFERROR(INDEX(Contacts!$B:$B,MATCH(C30,Contacts!$F:$F,0))&amp;" "&amp;INDEX(Contacts!$C:$C,MATCH(C30,Contacts!$F:$F,0)),"")</f>
        <v>מיה איל</v>
      </c>
      <c r="E30" s="14" t="str">
        <f>IFERROR(INDEX(Contacts!$E:$E,MATCH(C30,Contacts!$F:$F,0)),"")</f>
        <v>innovation Africa</v>
      </c>
      <c r="F30" s="9" t="s">
        <v>9</v>
      </c>
      <c r="G30" s="10" t="s">
        <v>2994</v>
      </c>
      <c r="H30" s="10" t="s">
        <v>2105</v>
      </c>
      <c r="I30" s="13"/>
      <c r="J30" s="13"/>
      <c r="K30" s="10" t="s">
        <v>2818</v>
      </c>
      <c r="L30" s="11" t="str">
        <f t="shared" si="0"/>
        <v>2026-03-12maya@innoafrica.org</v>
      </c>
    </row>
    <row r="31" spans="1:12" ht="15" customHeight="1">
      <c r="A31" s="19">
        <f>IF(tblOutreachLog[[#This Row],[Interaction Date]]&lt;&gt;0,ROW()-1,"")</f>
        <v>30</v>
      </c>
      <c r="B31" s="13">
        <v>46093</v>
      </c>
      <c r="C31" s="10" t="s">
        <v>1954</v>
      </c>
      <c r="D31" s="11" t="str">
        <f>IFERROR(INDEX(Contacts!$B:$B,MATCH(C31,Contacts!$F:$F,0))&amp;" "&amp;INDEX(Contacts!$C:$C,MATCH(C31,Contacts!$F:$F,0)),"")</f>
        <v>סיוון יערי</v>
      </c>
      <c r="E31" s="14" t="str">
        <f>IFERROR(INDEX(Contacts!$E:$E,MATCH(C31,Contacts!$F:$F,0)),"")</f>
        <v>innovation Africa</v>
      </c>
      <c r="F31" s="9" t="s">
        <v>9</v>
      </c>
      <c r="G31" s="10" t="s">
        <v>2994</v>
      </c>
      <c r="H31" s="10" t="s">
        <v>2105</v>
      </c>
      <c r="I31" s="13"/>
      <c r="J31" s="13"/>
      <c r="K31" s="10" t="s">
        <v>2818</v>
      </c>
      <c r="L31" s="11" t="str">
        <f t="shared" si="0"/>
        <v>2026-03-12sivan.yaari@innoafrica.org</v>
      </c>
    </row>
    <row r="32" spans="1:12" ht="15" customHeight="1">
      <c r="A32" s="19">
        <f>IF(tblOutreachLog[[#This Row],[Interaction Date]]&lt;&gt;0,ROW()-1,"")</f>
        <v>31</v>
      </c>
      <c r="B32" s="13">
        <v>46093</v>
      </c>
      <c r="C32" s="10" t="s">
        <v>1109</v>
      </c>
      <c r="D32" s="11" t="str">
        <f>IFERROR(INDEX(Contacts!$B:$B,MATCH(C32,Contacts!$F:$F,0))&amp;" "&amp;INDEX(Contacts!$C:$C,MATCH(C32,Contacts!$F:$F,0)),"")</f>
        <v/>
      </c>
      <c r="E32" s="14" t="str">
        <f>IFERROR(INDEX(Contacts!$E:$E,MATCH(C32,Contacts!$F:$F,0)),"")</f>
        <v/>
      </c>
      <c r="F32" s="9" t="s">
        <v>9</v>
      </c>
      <c r="G32" s="10" t="s">
        <v>2994</v>
      </c>
      <c r="H32" s="10" t="s">
        <v>2105</v>
      </c>
      <c r="I32" s="13"/>
      <c r="J32" s="13"/>
      <c r="K32" s="10" t="s">
        <v>2818</v>
      </c>
      <c r="L32" s="11" t="str">
        <f t="shared" si="0"/>
        <v>2026-03-12gil@polyx.io</v>
      </c>
    </row>
    <row r="33" spans="1:12" ht="15" customHeight="1">
      <c r="A33" s="19">
        <f>IF(tblOutreachLog[[#This Row],[Interaction Date]]&lt;&gt;0,ROW()-1,"")</f>
        <v>32</v>
      </c>
      <c r="B33" s="13">
        <v>46093</v>
      </c>
      <c r="C33" s="10" t="s">
        <v>1167</v>
      </c>
      <c r="D33" s="11" t="str">
        <f>IFERROR(INDEX(Contacts!$B:$B,MATCH(C33,Contacts!$F:$F,0))&amp;" "&amp;INDEX(Contacts!$C:$C,MATCH(C33,Contacts!$F:$F,0)),"")</f>
        <v/>
      </c>
      <c r="E33" s="14" t="str">
        <f>IFERROR(INDEX(Contacts!$E:$E,MATCH(C33,Contacts!$F:$F,0)),"")</f>
        <v/>
      </c>
      <c r="F33" s="9" t="s">
        <v>9</v>
      </c>
      <c r="G33" s="10" t="s">
        <v>2994</v>
      </c>
      <c r="H33" s="10" t="s">
        <v>2105</v>
      </c>
      <c r="I33" s="13"/>
      <c r="J33" s="13"/>
      <c r="K33" s="10" t="s">
        <v>2818</v>
      </c>
      <c r="L33" s="11" t="str">
        <f t="shared" si="0"/>
        <v>2026-03-12hello@polyx.io</v>
      </c>
    </row>
    <row r="34" spans="1:12" ht="15" customHeight="1">
      <c r="A34" s="19">
        <f>IF(tblOutreachLog[[#This Row],[Interaction Date]]&lt;&gt;0,ROW()-1,"")</f>
        <v>33</v>
      </c>
      <c r="B34" s="13">
        <v>46093</v>
      </c>
      <c r="C34" s="10" t="s">
        <v>1213</v>
      </c>
      <c r="D34" s="11" t="str">
        <f>IFERROR(INDEX(Contacts!$B:$B,MATCH(C34,Contacts!$F:$F,0))&amp;" "&amp;INDEX(Contacts!$C:$C,MATCH(C34,Contacts!$F:$F,0)),"")</f>
        <v>שי פוליקר</v>
      </c>
      <c r="E34" s="14" t="str">
        <f>IFERROR(INDEX(Contacts!$E:$E,MATCH(C34,Contacts!$F:$F,0)),"")</f>
        <v>אדג' מדיקל ונצ'רס שותף כללי ,שותפות מוגבלת</v>
      </c>
      <c r="F34" s="9" t="s">
        <v>9</v>
      </c>
      <c r="G34" s="10" t="s">
        <v>2994</v>
      </c>
      <c r="H34" s="10" t="s">
        <v>2105</v>
      </c>
      <c r="I34" s="13"/>
      <c r="J34" s="13"/>
      <c r="K34" s="10" t="s">
        <v>2818</v>
      </c>
      <c r="L34" s="11" t="str">
        <f t="shared" si="0"/>
        <v>2026-03-12info@edgemed.vc</v>
      </c>
    </row>
    <row r="35" spans="1:12" ht="15" customHeight="1">
      <c r="A35" s="19">
        <f>IF(tblOutreachLog[[#This Row],[Interaction Date]]&lt;&gt;0,ROW()-1,"")</f>
        <v>34</v>
      </c>
      <c r="B35" s="13">
        <v>46093</v>
      </c>
      <c r="C35" s="10" t="s">
        <v>1956</v>
      </c>
      <c r="D35" s="11" t="str">
        <f>IFERROR(INDEX(Contacts!$B:$B,MATCH(C35,Contacts!$F:$F,0))&amp;" "&amp;INDEX(Contacts!$C:$C,MATCH(C35,Contacts!$F:$F,0)),"")</f>
        <v>גל עטרות</v>
      </c>
      <c r="E35" s="14" t="str">
        <f>IFERROR(INDEX(Contacts!$E:$E,MATCH(C35,Contacts!$F:$F,0)),"")</f>
        <v>אדג' מדיקל ונצ'רס שותף כללי ,שותפות מוגבלת</v>
      </c>
      <c r="F35" s="9" t="s">
        <v>9</v>
      </c>
      <c r="G35" s="10" t="s">
        <v>2994</v>
      </c>
      <c r="H35" s="10" t="s">
        <v>2105</v>
      </c>
      <c r="I35" s="13"/>
      <c r="J35" s="13"/>
      <c r="K35" s="10" t="s">
        <v>2818</v>
      </c>
      <c r="L35" s="11" t="str">
        <f t="shared" si="0"/>
        <v>2026-03-12gal.atarot@edgemed.vc</v>
      </c>
    </row>
    <row r="36" spans="1:12" ht="15" customHeight="1">
      <c r="A36" s="19">
        <f>IF(tblOutreachLog[[#This Row],[Interaction Date]]&lt;&gt;0,ROW()-1,"")</f>
        <v>35</v>
      </c>
      <c r="B36" s="13">
        <v>46093</v>
      </c>
      <c r="C36" s="10" t="s">
        <v>1235</v>
      </c>
      <c r="D36" s="11" t="str">
        <f>IFERROR(INDEX(Contacts!$B:$B,MATCH(C36,Contacts!$F:$F,0))&amp;" "&amp;INDEX(Contacts!$C:$C,MATCH(C36,Contacts!$F:$F,0)),"")</f>
        <v xml:space="preserve"> </v>
      </c>
      <c r="E36" s="14" t="str">
        <f>IFERROR(INDEX(Contacts!$E:$E,MATCH(C36,Contacts!$F:$F,0)),"")</f>
        <v>אומניסול מערכות מידע בע"מ</v>
      </c>
      <c r="F36" s="9" t="s">
        <v>9</v>
      </c>
      <c r="G36" s="10" t="s">
        <v>2994</v>
      </c>
      <c r="H36" s="10" t="s">
        <v>2105</v>
      </c>
      <c r="I36" s="13"/>
      <c r="J36" s="13"/>
      <c r="K36" s="10" t="s">
        <v>2818</v>
      </c>
      <c r="L36" s="11" t="str">
        <f t="shared" si="0"/>
        <v>2026-03-12info@omnisol.co.il</v>
      </c>
    </row>
    <row r="37" spans="1:12" ht="15" customHeight="1">
      <c r="A37" s="19">
        <f>IF(tblOutreachLog[[#This Row],[Interaction Date]]&lt;&gt;0,ROW()-1,"")</f>
        <v>36</v>
      </c>
      <c r="B37" s="13">
        <v>46093</v>
      </c>
      <c r="C37" s="10" t="s">
        <v>1594</v>
      </c>
      <c r="D37" s="11" t="str">
        <f>IFERROR(INDEX(Contacts!$B:$B,MATCH(C37,Contacts!$F:$F,0))&amp;" "&amp;INDEX(Contacts!$C:$C,MATCH(C37,Contacts!$F:$F,0)),"")</f>
        <v>אוהד זהר</v>
      </c>
      <c r="E37" s="14" t="str">
        <f>IFERROR(INDEX(Contacts!$E:$E,MATCH(C37,Contacts!$F:$F,0)),"")</f>
        <v>אומניסול מערכות מידע בע"מ</v>
      </c>
      <c r="F37" s="9" t="s">
        <v>9</v>
      </c>
      <c r="G37" s="10" t="s">
        <v>2994</v>
      </c>
      <c r="H37" s="10" t="s">
        <v>2105</v>
      </c>
      <c r="I37" s="13"/>
      <c r="J37" s="13"/>
      <c r="K37" s="10" t="s">
        <v>2818</v>
      </c>
      <c r="L37" s="11" t="str">
        <f t="shared" si="0"/>
        <v>2026-03-12ohad@omnisol.co.il</v>
      </c>
    </row>
    <row r="38" spans="1:12" ht="15" customHeight="1">
      <c r="A38" s="19">
        <f>IF(tblOutreachLog[[#This Row],[Interaction Date]]&lt;&gt;0,ROW()-1,"")</f>
        <v>37</v>
      </c>
      <c r="B38" s="13">
        <v>46093</v>
      </c>
      <c r="C38" s="10" t="s">
        <v>1957</v>
      </c>
      <c r="D38" s="11" t="str">
        <f>IFERROR(INDEX(Contacts!$B:$B,MATCH(C38,Contacts!$F:$F,0))&amp;" "&amp;INDEX(Contacts!$C:$C,MATCH(C38,Contacts!$F:$F,0)),"")</f>
        <v>טל זוהר</v>
      </c>
      <c r="E38" s="14" t="str">
        <f>IFERROR(INDEX(Contacts!$E:$E,MATCH(C38,Contacts!$F:$F,0)),"")</f>
        <v>אומניסול מערכות מידע בע"מ</v>
      </c>
      <c r="F38" s="9" t="s">
        <v>9</v>
      </c>
      <c r="G38" s="10" t="s">
        <v>2994</v>
      </c>
      <c r="H38" s="10" t="s">
        <v>2105</v>
      </c>
      <c r="I38" s="13"/>
      <c r="J38" s="13"/>
      <c r="K38" s="10" t="s">
        <v>2818</v>
      </c>
      <c r="L38" s="11" t="str">
        <f t="shared" si="0"/>
        <v>2026-03-12tal.zohar@omnisol.co.il</v>
      </c>
    </row>
    <row r="39" spans="1:12" ht="15" customHeight="1">
      <c r="A39" s="19">
        <f>IF(tblOutreachLog[[#This Row],[Interaction Date]]&lt;&gt;0,ROW()-1,"")</f>
        <v>38</v>
      </c>
      <c r="B39" s="13">
        <v>46093</v>
      </c>
      <c r="C39" s="10" t="s">
        <v>1959</v>
      </c>
      <c r="D39" s="11" t="str">
        <f>IFERROR(INDEX(Contacts!$B:$B,MATCH(C39,Contacts!$F:$F,0))&amp;" "&amp;INDEX(Contacts!$C:$C,MATCH(C39,Contacts!$F:$F,0)),"")</f>
        <v>תומר ברקאי</v>
      </c>
      <c r="E39" s="14" t="str">
        <f>IFERROR(INDEX(Contacts!$E:$E,MATCH(C39,Contacts!$F:$F,0)),"")</f>
        <v>אומניסול מערכות מידע בע"מ</v>
      </c>
      <c r="F39" s="9" t="s">
        <v>9</v>
      </c>
      <c r="G39" s="10" t="s">
        <v>2994</v>
      </c>
      <c r="H39" s="10" t="s">
        <v>2105</v>
      </c>
      <c r="I39" s="13"/>
      <c r="J39" s="13"/>
      <c r="K39" s="10" t="s">
        <v>2818</v>
      </c>
      <c r="L39" s="11" t="str">
        <f t="shared" si="0"/>
        <v>2026-03-12tomer.barkai@omnisol.co.il</v>
      </c>
    </row>
    <row r="40" spans="1:12" ht="15" customHeight="1">
      <c r="A40" s="19">
        <f>IF(tblOutreachLog[[#This Row],[Interaction Date]]&lt;&gt;0,ROW()-1,"")</f>
        <v>39</v>
      </c>
      <c r="B40" s="13">
        <v>46093</v>
      </c>
      <c r="C40" s="10" t="s">
        <v>918</v>
      </c>
      <c r="D40" s="11" t="str">
        <f>IFERROR(INDEX(Contacts!$B:$B,MATCH(C40,Contacts!$F:$F,0))&amp;" "&amp;INDEX(Contacts!$C:$C,MATCH(C40,Contacts!$F:$F,0)),"")</f>
        <v>דנה גביש-פרידמן</v>
      </c>
      <c r="E40" s="14" t="str">
        <f>IFERROR(INDEX(Contacts!$E:$E,MATCH(C40,Contacts!$F:$F,0)),"")</f>
        <v>אוניברסיטת בן-גוריון B.G. Technologies &amp; Application LTD Yazamut 360°</v>
      </c>
      <c r="F40" s="9" t="s">
        <v>9</v>
      </c>
      <c r="G40" s="10" t="s">
        <v>2994</v>
      </c>
      <c r="H40" s="10" t="s">
        <v>2105</v>
      </c>
      <c r="I40" s="13"/>
      <c r="J40" s="13"/>
      <c r="K40" s="10" t="s">
        <v>2818</v>
      </c>
      <c r="L40" s="11" t="str">
        <f t="shared" si="0"/>
        <v>2026-03-12danagav@bgu.ac.il</v>
      </c>
    </row>
    <row r="41" spans="1:12" ht="15" customHeight="1">
      <c r="A41" s="19">
        <f>IF(tblOutreachLog[[#This Row],[Interaction Date]]&lt;&gt;0,ROW()-1,"")</f>
        <v>40</v>
      </c>
      <c r="B41" s="13">
        <v>46093</v>
      </c>
      <c r="C41" s="10" t="s">
        <v>1650</v>
      </c>
      <c r="D41" s="11" t="str">
        <f>IFERROR(INDEX(Contacts!$B:$B,MATCH(C41,Contacts!$F:$F,0))&amp;" "&amp;INDEX(Contacts!$C:$C,MATCH(C41,Contacts!$F:$F,0)),"")</f>
        <v>גור אלרואי</v>
      </c>
      <c r="E41" s="14" t="str">
        <f>IFERROR(INDEX(Contacts!$E:$E,MATCH(C41,Contacts!$F:$F,0)),"")</f>
        <v>אוניברסיטת חיפה</v>
      </c>
      <c r="F41" s="9" t="s">
        <v>9</v>
      </c>
      <c r="G41" s="10" t="s">
        <v>2994</v>
      </c>
      <c r="H41" s="10" t="s">
        <v>2105</v>
      </c>
      <c r="I41" s="13"/>
      <c r="J41" s="13"/>
      <c r="K41" s="10" t="s">
        <v>2818</v>
      </c>
      <c r="L41" s="11" t="str">
        <f t="shared" si="0"/>
        <v>2026-03-12president@univ.haifa.ac.il</v>
      </c>
    </row>
    <row r="42" spans="1:12" ht="15" customHeight="1">
      <c r="A42" s="19">
        <f>IF(tblOutreachLog[[#This Row],[Interaction Date]]&lt;&gt;0,ROW()-1,"")</f>
        <v>41</v>
      </c>
      <c r="B42" s="13">
        <v>46093</v>
      </c>
      <c r="C42" s="10" t="s">
        <v>1961</v>
      </c>
      <c r="D42" s="11" t="str">
        <f>IFERROR(INDEX(Contacts!$B:$B,MATCH(C42,Contacts!$F:$F,0))&amp;" "&amp;INDEX(Contacts!$C:$C,MATCH(C42,Contacts!$F:$F,0)),"")</f>
        <v>שרון זאיד</v>
      </c>
      <c r="E42" s="14" t="str">
        <f>IFERROR(INDEX(Contacts!$E:$E,MATCH(C42,Contacts!$F:$F,0)),"")</f>
        <v>אוניברסיטת חיפה</v>
      </c>
      <c r="F42" s="9" t="s">
        <v>9</v>
      </c>
      <c r="G42" s="10" t="s">
        <v>2994</v>
      </c>
      <c r="H42" s="10" t="s">
        <v>2105</v>
      </c>
      <c r="I42" s="13"/>
      <c r="J42" s="13"/>
      <c r="K42" s="10" t="s">
        <v>2818</v>
      </c>
      <c r="L42" s="11" t="str">
        <f t="shared" si="0"/>
        <v>2026-03-12szaid@univ.haifa.ac.il</v>
      </c>
    </row>
    <row r="43" spans="1:12" ht="15" customHeight="1">
      <c r="A43" s="19">
        <f>IF(tblOutreachLog[[#This Row],[Interaction Date]]&lt;&gt;0,ROW()-1,"")</f>
        <v>42</v>
      </c>
      <c r="B43" s="13">
        <v>46093</v>
      </c>
      <c r="C43" s="10" t="s">
        <v>1613</v>
      </c>
      <c r="D43" s="11" t="str">
        <f>IFERROR(INDEX(Contacts!$B:$B,MATCH(C43,Contacts!$F:$F,0))&amp;" "&amp;INDEX(Contacts!$C:$C,MATCH(C43,Contacts!$F:$F,0)),"")</f>
        <v>אופיר שחף</v>
      </c>
      <c r="E43" s="14" t="str">
        <f>IFERROR(INDEX(Contacts!$E:$E,MATCH(C43,Contacts!$F:$F,0)),"")</f>
        <v>אי אייץ' וי ישראל, שותפות מוגבלת</v>
      </c>
      <c r="F43" s="9" t="s">
        <v>9</v>
      </c>
      <c r="G43" s="10" t="s">
        <v>2994</v>
      </c>
      <c r="H43" s="10" t="s">
        <v>2105</v>
      </c>
      <c r="I43" s="13"/>
      <c r="J43" s="13"/>
      <c r="K43" s="10" t="s">
        <v>2818</v>
      </c>
      <c r="L43" s="11" t="str">
        <f t="shared" si="0"/>
        <v>2026-03-12ophir@ehv.health</v>
      </c>
    </row>
    <row r="44" spans="1:12" ht="15" customHeight="1">
      <c r="A44" s="19">
        <f>IF(tblOutreachLog[[#This Row],[Interaction Date]]&lt;&gt;0,ROW()-1,"")</f>
        <v>43</v>
      </c>
      <c r="B44" s="13">
        <v>46093</v>
      </c>
      <c r="C44" s="10" t="s">
        <v>1827</v>
      </c>
      <c r="D44" s="11" t="str">
        <f>IFERROR(INDEX(Contacts!$B:$B,MATCH(C44,Contacts!$F:$F,0))&amp;" "&amp;INDEX(Contacts!$C:$C,MATCH(C44,Contacts!$F:$F,0)),"")</f>
        <v>טלור סקס</v>
      </c>
      <c r="E44" s="14" t="str">
        <f>IFERROR(INDEX(Contacts!$E:$E,MATCH(C44,Contacts!$F:$F,0)),"")</f>
        <v>אי אייץ' וי ישראל, שותפות מוגבלת</v>
      </c>
      <c r="F44" s="9" t="s">
        <v>9</v>
      </c>
      <c r="G44" s="10" t="s">
        <v>2994</v>
      </c>
      <c r="H44" s="10" t="s">
        <v>2105</v>
      </c>
      <c r="I44" s="13"/>
      <c r="J44" s="13"/>
      <c r="K44" s="10" t="s">
        <v>2818</v>
      </c>
      <c r="L44" s="11" t="str">
        <f t="shared" si="0"/>
        <v>2026-03-12talor@ehv.health</v>
      </c>
    </row>
    <row r="45" spans="1:12" ht="15" customHeight="1">
      <c r="A45" s="19">
        <f>IF(tblOutreachLog[[#This Row],[Interaction Date]]&lt;&gt;0,ROW()-1,"")</f>
        <v>44</v>
      </c>
      <c r="B45" s="13">
        <v>46093</v>
      </c>
      <c r="C45" s="10" t="s">
        <v>1963</v>
      </c>
      <c r="D45" s="11" t="str">
        <f>IFERROR(INDEX(Contacts!$B:$B,MATCH(C45,Contacts!$F:$F,0))&amp;" "&amp;INDEX(Contacts!$C:$C,MATCH(C45,Contacts!$F:$F,0)),"")</f>
        <v>יוסי לובטון</v>
      </c>
      <c r="E45" s="14" t="str">
        <f>IFERROR(INDEX(Contacts!$E:$E,MATCH(C45,Contacts!$F:$F,0)),"")</f>
        <v>אי אייץ' וי ישראל, שותפות מוגבלת</v>
      </c>
      <c r="F45" s="9" t="s">
        <v>9</v>
      </c>
      <c r="G45" s="10" t="s">
        <v>2994</v>
      </c>
      <c r="H45" s="10" t="s">
        <v>2105</v>
      </c>
      <c r="I45" s="13"/>
      <c r="J45" s="13"/>
      <c r="K45" s="10" t="s">
        <v>2818</v>
      </c>
      <c r="L45" s="11" t="str">
        <f t="shared" si="0"/>
        <v>2026-03-12yossi@ehv.health</v>
      </c>
    </row>
    <row r="46" spans="1:12" ht="15" customHeight="1">
      <c r="A46" s="19">
        <f>IF(tblOutreachLog[[#This Row],[Interaction Date]]&lt;&gt;0,ROW()-1,"")</f>
        <v>45</v>
      </c>
      <c r="B46" s="13">
        <v>46093</v>
      </c>
      <c r="C46" s="10" t="s">
        <v>781</v>
      </c>
      <c r="D46" s="11" t="str">
        <f>IFERROR(INDEX(Contacts!$B:$B,MATCH(C46,Contacts!$F:$F,0))&amp;" "&amp;INDEX(Contacts!$C:$C,MATCH(C46,Contacts!$F:$F,0)),"")</f>
        <v>אמיר שטיינברג</v>
      </c>
      <c r="E46" s="14" t="str">
        <f>IFERROR(INDEX(Contacts!$E:$E,MATCH(C46,Contacts!$F:$F,0)),"")</f>
        <v>אי. אי. ג'י-סנס בע"מ</v>
      </c>
      <c r="F46" s="9" t="s">
        <v>9</v>
      </c>
      <c r="G46" s="10" t="s">
        <v>2994</v>
      </c>
      <c r="H46" s="10" t="s">
        <v>2105</v>
      </c>
      <c r="I46" s="13"/>
      <c r="J46" s="13"/>
      <c r="K46" s="10" t="s">
        <v>2818</v>
      </c>
      <c r="L46" s="11" t="str">
        <f t="shared" si="0"/>
        <v>2026-03-12Amir.@brain.space</v>
      </c>
    </row>
    <row r="47" spans="1:12" ht="15" customHeight="1">
      <c r="A47" s="19">
        <f>IF(tblOutreachLog[[#This Row],[Interaction Date]]&lt;&gt;0,ROW()-1,"")</f>
        <v>46</v>
      </c>
      <c r="B47" s="13">
        <v>46093</v>
      </c>
      <c r="C47" s="10" t="s">
        <v>1964</v>
      </c>
      <c r="D47" s="11" t="str">
        <f>IFERROR(INDEX(Contacts!$B:$B,MATCH(C47,Contacts!$F:$F,0))&amp;" "&amp;INDEX(Contacts!$C:$C,MATCH(C47,Contacts!$F:$F,0)),"")</f>
        <v>יאיר לוי</v>
      </c>
      <c r="E47" s="14" t="str">
        <f>IFERROR(INDEX(Contacts!$E:$E,MATCH(C47,Contacts!$F:$F,0)),"")</f>
        <v>אי. אי. ג'י-סנס בע"מ</v>
      </c>
      <c r="F47" s="9" t="s">
        <v>9</v>
      </c>
      <c r="G47" s="10" t="s">
        <v>2994</v>
      </c>
      <c r="H47" s="10" t="s">
        <v>2105</v>
      </c>
      <c r="I47" s="13"/>
      <c r="J47" s="13"/>
      <c r="K47" s="10" t="s">
        <v>2818</v>
      </c>
      <c r="L47" s="11" t="str">
        <f t="shared" si="0"/>
        <v>2026-03-12yair@brain.space</v>
      </c>
    </row>
    <row r="48" spans="1:12" ht="15" customHeight="1">
      <c r="A48" s="19">
        <f>IF(tblOutreachLog[[#This Row],[Interaction Date]]&lt;&gt;0,ROW()-1,"")</f>
        <v>47</v>
      </c>
      <c r="B48" s="13">
        <v>46093</v>
      </c>
      <c r="C48" s="10" t="s">
        <v>1966</v>
      </c>
      <c r="D48" s="11" t="str">
        <f>IFERROR(INDEX(Contacts!$B:$B,MATCH(C48,Contacts!$F:$F,0))&amp;" "&amp;INDEX(Contacts!$C:$C,MATCH(C48,Contacts!$F:$F,0)),"")</f>
        <v>ישראל דויטש</v>
      </c>
      <c r="E48" s="14" t="str">
        <f>IFERROR(INDEX(Contacts!$E:$E,MATCH(C48,Contacts!$F:$F,0)),"")</f>
        <v>אי. אי. ג'י-סנס בע"מ</v>
      </c>
      <c r="F48" s="9" t="s">
        <v>9</v>
      </c>
      <c r="G48" s="10" t="s">
        <v>2994</v>
      </c>
      <c r="H48" s="10" t="s">
        <v>2105</v>
      </c>
      <c r="I48" s="13"/>
      <c r="J48" s="13"/>
      <c r="K48" s="10" t="s">
        <v>2818</v>
      </c>
      <c r="L48" s="11" t="str">
        <f t="shared" si="0"/>
        <v>2026-03-12israel@brain.space</v>
      </c>
    </row>
    <row r="49" spans="1:12" ht="15" customHeight="1">
      <c r="A49" s="19">
        <f>IF(tblOutreachLog[[#This Row],[Interaction Date]]&lt;&gt;0,ROW()-1,"")</f>
        <v>48</v>
      </c>
      <c r="B49" s="13">
        <v>46093</v>
      </c>
      <c r="C49" s="10" t="s">
        <v>1223</v>
      </c>
      <c r="D49" s="11" t="str">
        <f>IFERROR(INDEX(Contacts!$B:$B,MATCH(C49,Contacts!$F:$F,0))&amp;" "&amp;INDEX(Contacts!$C:$C,MATCH(C49,Contacts!$F:$F,0)),"")</f>
        <v xml:space="preserve">צחי </v>
      </c>
      <c r="E49" s="14" t="str">
        <f>IFERROR(INDEX(Contacts!$E:$E,MATCH(C49,Contacts!$F:$F,0)),"")</f>
        <v>איגנייט דיפטק בע״מ</v>
      </c>
      <c r="F49" s="9" t="s">
        <v>9</v>
      </c>
      <c r="G49" s="10" t="s">
        <v>2994</v>
      </c>
      <c r="H49" s="10" t="s">
        <v>2105</v>
      </c>
      <c r="I49" s="13"/>
      <c r="J49" s="13"/>
      <c r="K49" s="10" t="s">
        <v>2818</v>
      </c>
      <c r="L49" s="11" t="str">
        <f t="shared" si="0"/>
        <v>2026-03-12info@ignitedeeptech.com</v>
      </c>
    </row>
    <row r="50" spans="1:12" ht="15" customHeight="1">
      <c r="A50" s="19">
        <f>IF(tblOutreachLog[[#This Row],[Interaction Date]]&lt;&gt;0,ROW()-1,"")</f>
        <v>49</v>
      </c>
      <c r="B50" s="13">
        <v>46093</v>
      </c>
      <c r="C50" s="10" t="s">
        <v>1967</v>
      </c>
      <c r="D50" s="11" t="str">
        <f>IFERROR(INDEX(Contacts!$B:$B,MATCH(C50,Contacts!$F:$F,0))&amp;" "&amp;INDEX(Contacts!$C:$C,MATCH(C50,Contacts!$F:$F,0)),"")</f>
        <v>אלון לייבוביץ'</v>
      </c>
      <c r="E50" s="14" t="str">
        <f>IFERROR(INDEX(Contacts!$E:$E,MATCH(C50,Contacts!$F:$F,0)),"")</f>
        <v>איגנייט דיפטק בע״מ</v>
      </c>
      <c r="F50" s="9" t="s">
        <v>9</v>
      </c>
      <c r="G50" s="10" t="s">
        <v>2994</v>
      </c>
      <c r="H50" s="10" t="s">
        <v>2105</v>
      </c>
      <c r="I50" s="13"/>
      <c r="J50" s="13"/>
      <c r="K50" s="10" t="s">
        <v>2818</v>
      </c>
      <c r="L50" s="11" t="str">
        <f t="shared" si="0"/>
        <v>2026-03-12alon.leibovich@ignitedeeptech.com</v>
      </c>
    </row>
    <row r="51" spans="1:12" ht="15" customHeight="1">
      <c r="A51" s="19">
        <f>IF(tblOutreachLog[[#This Row],[Interaction Date]]&lt;&gt;0,ROW()-1,"")</f>
        <v>50</v>
      </c>
      <c r="B51" s="13">
        <v>46093</v>
      </c>
      <c r="C51" s="10" t="s">
        <v>1401</v>
      </c>
      <c r="D51" s="11" t="str">
        <f>IFERROR(INDEX(Contacts!$B:$B,MATCH(C51,Contacts!$F:$F,0))&amp;" "&amp;INDEX(Contacts!$C:$C,MATCH(C51,Contacts!$F:$F,0)),"")</f>
        <v>יאיר בניטה</v>
      </c>
      <c r="E51" s="14" t="str">
        <f>IFERROR(INDEX(Contacts!$E:$E,MATCH(C51,Contacts!$F:$F,0)),"")</f>
        <v>איון לאבס מעבדת חדשנות בע"מ</v>
      </c>
      <c r="F51" s="9" t="s">
        <v>9</v>
      </c>
      <c r="G51" s="10" t="s">
        <v>2994</v>
      </c>
      <c r="H51" s="10" t="s">
        <v>2105</v>
      </c>
      <c r="I51" s="13"/>
      <c r="J51" s="13"/>
      <c r="K51" s="10" t="s">
        <v>2818</v>
      </c>
      <c r="L51" s="11" t="str">
        <f t="shared" si="0"/>
        <v>2026-03-12mati@aionlabs.com</v>
      </c>
    </row>
    <row r="52" spans="1:12" ht="15" customHeight="1">
      <c r="A52" s="19">
        <f>IF(tblOutreachLog[[#This Row],[Interaction Date]]&lt;&gt;0,ROW()-1,"")</f>
        <v>51</v>
      </c>
      <c r="B52" s="13">
        <v>46093</v>
      </c>
      <c r="C52" s="10" t="s">
        <v>1757</v>
      </c>
      <c r="D52" s="11" t="str">
        <f>IFERROR(INDEX(Contacts!$B:$B,MATCH(C52,Contacts!$F:$F,0))&amp;" "&amp;INDEX(Contacts!$C:$C,MATCH(C52,Contacts!$F:$F,0)),"")</f>
        <v>שרון גור אריה</v>
      </c>
      <c r="E52" s="14" t="str">
        <f>IFERROR(INDEX(Contacts!$E:$E,MATCH(C52,Contacts!$F:$F,0)),"")</f>
        <v>איון לאבס מעבדת חדשנות בע"מ</v>
      </c>
      <c r="F52" s="9" t="s">
        <v>9</v>
      </c>
      <c r="G52" s="10" t="s">
        <v>2994</v>
      </c>
      <c r="H52" s="10" t="s">
        <v>2105</v>
      </c>
      <c r="I52" s="13"/>
      <c r="J52" s="13"/>
      <c r="K52" s="10" t="s">
        <v>2818</v>
      </c>
      <c r="L52" s="11" t="str">
        <f t="shared" si="0"/>
        <v>2026-03-12sharon@aionlabs.com</v>
      </c>
    </row>
    <row r="53" spans="1:12" ht="15" customHeight="1">
      <c r="A53" s="19">
        <f>IF(tblOutreachLog[[#This Row],[Interaction Date]]&lt;&gt;0,ROW()-1,"")</f>
        <v>52</v>
      </c>
      <c r="B53" s="13">
        <v>46093</v>
      </c>
      <c r="C53" s="10" t="s">
        <v>1875</v>
      </c>
      <c r="D53" s="11" t="str">
        <f>IFERROR(INDEX(Contacts!$B:$B,MATCH(C53,Contacts!$F:$F,0))&amp;" "&amp;INDEX(Contacts!$C:$C,MATCH(C53,Contacts!$F:$F,0)),"")</f>
        <v>מתי גיל</v>
      </c>
      <c r="E53" s="14" t="str">
        <f>IFERROR(INDEX(Contacts!$E:$E,MATCH(C53,Contacts!$F:$F,0)),"")</f>
        <v>איון לאבס מעבדת חדשנות בע"מ</v>
      </c>
      <c r="F53" s="9" t="s">
        <v>9</v>
      </c>
      <c r="G53" s="10" t="s">
        <v>2994</v>
      </c>
      <c r="H53" s="10" t="s">
        <v>2105</v>
      </c>
      <c r="I53" s="13"/>
      <c r="J53" s="13"/>
      <c r="K53" s="10" t="s">
        <v>2818</v>
      </c>
      <c r="L53" s="11" t="str">
        <f t="shared" si="0"/>
        <v>2026-03-12yair@aionlabs.com</v>
      </c>
    </row>
    <row r="54" spans="1:12" ht="15" customHeight="1">
      <c r="A54" s="19">
        <f>IF(tblOutreachLog[[#This Row],[Interaction Date]]&lt;&gt;0,ROW()-1,"")</f>
        <v>53</v>
      </c>
      <c r="B54" s="13">
        <v>46093</v>
      </c>
      <c r="C54" s="10" t="s">
        <v>1583</v>
      </c>
      <c r="D54" s="11" t="str">
        <f>IFERROR(INDEX(Contacts!$B:$B,MATCH(C54,Contacts!$F:$F,0))&amp;" "&amp;INDEX(Contacts!$C:$C,MATCH(C54,Contacts!$F:$F,0)),"")</f>
        <v xml:space="preserve">יואל </v>
      </c>
      <c r="E54" s="14" t="str">
        <f>IFERROR(INDEX(Contacts!$E:$E,MATCH(C54,Contacts!$F:$F,0)),"")</f>
        <v>אינוביסטק</v>
      </c>
      <c r="F54" s="9" t="s">
        <v>9</v>
      </c>
      <c r="G54" s="10" t="s">
        <v>2994</v>
      </c>
      <c r="H54" s="10" t="s">
        <v>2105</v>
      </c>
      <c r="I54" s="13"/>
      <c r="J54" s="13"/>
      <c r="K54" s="10" t="s">
        <v>2818</v>
      </c>
      <c r="L54" s="11" t="str">
        <f t="shared" si="0"/>
        <v>2026-03-12office@innoveast.org</v>
      </c>
    </row>
    <row r="55" spans="1:12" ht="15" customHeight="1">
      <c r="A55" s="19">
        <f>IF(tblOutreachLog[[#This Row],[Interaction Date]]&lt;&gt;0,ROW()-1,"")</f>
        <v>54</v>
      </c>
      <c r="B55" s="13">
        <v>46093</v>
      </c>
      <c r="C55" s="10" t="s">
        <v>1201</v>
      </c>
      <c r="D55" s="11" t="str">
        <f>IFERROR(INDEX(Contacts!$B:$B,MATCH(C55,Contacts!$F:$F,0))&amp;" "&amp;INDEX(Contacts!$C:$C,MATCH(C55,Contacts!$F:$F,0)),"")</f>
        <v>איתן זיגלר</v>
      </c>
      <c r="E55" s="14" t="str">
        <f>IFERROR(INDEX(Contacts!$E:$E,MATCH(C55,Contacts!$F:$F,0)),"")</f>
        <v>אלאג'ן בע"מ</v>
      </c>
      <c r="F55" s="9" t="s">
        <v>9</v>
      </c>
      <c r="G55" s="10" t="s">
        <v>2994</v>
      </c>
      <c r="H55" s="10" t="s">
        <v>2105</v>
      </c>
      <c r="I55" s="13"/>
      <c r="J55" s="13"/>
      <c r="K55" s="10" t="s">
        <v>2818</v>
      </c>
      <c r="L55" s="11" t="str">
        <f t="shared" si="0"/>
        <v>2026-03-12info@alagene.co.il</v>
      </c>
    </row>
    <row r="56" spans="1:12" ht="15" customHeight="1">
      <c r="A56" s="19">
        <f>IF(tblOutreachLog[[#This Row],[Interaction Date]]&lt;&gt;0,ROW()-1,"")</f>
        <v>55</v>
      </c>
      <c r="B56" s="13">
        <v>46093</v>
      </c>
      <c r="C56" s="10" t="s">
        <v>1969</v>
      </c>
      <c r="D56" s="11" t="str">
        <f>IFERROR(INDEX(Contacts!$B:$B,MATCH(C56,Contacts!$F:$F,0))&amp;" "&amp;INDEX(Contacts!$C:$C,MATCH(C56,Contacts!$F:$F,0)),"")</f>
        <v>אורלי סביון</v>
      </c>
      <c r="E56" s="14" t="str">
        <f>IFERROR(INDEX(Contacts!$E:$E,MATCH(C56,Contacts!$F:$F,0)),"")</f>
        <v>אלאג'ן בע"מ</v>
      </c>
      <c r="F56" s="9" t="s">
        <v>9</v>
      </c>
      <c r="G56" s="10" t="s">
        <v>2994</v>
      </c>
      <c r="H56" s="10" t="s">
        <v>2105</v>
      </c>
      <c r="I56" s="13"/>
      <c r="J56" s="13"/>
      <c r="K56" s="10" t="s">
        <v>2818</v>
      </c>
      <c r="L56" s="11" t="str">
        <f t="shared" si="0"/>
        <v>2026-03-12orly.savion@alagene.co.il</v>
      </c>
    </row>
    <row r="57" spans="1:12" ht="15" customHeight="1">
      <c r="A57" s="19">
        <f>IF(tblOutreachLog[[#This Row],[Interaction Date]]&lt;&gt;0,ROW()-1,"")</f>
        <v>56</v>
      </c>
      <c r="B57" s="13">
        <v>46093</v>
      </c>
      <c r="C57" s="10" t="s">
        <v>840</v>
      </c>
      <c r="D57" s="11" t="str">
        <f>IFERROR(INDEX(Contacts!$B:$B,MATCH(C57,Contacts!$F:$F,0))&amp;" "&amp;INDEX(Contacts!$C:$C,MATCH(C57,Contacts!$F:$F,0)),"")</f>
        <v>אסף מאנסאור</v>
      </c>
      <c r="E57" s="14" t="str">
        <f>IFERROR(INDEX(Contacts!$E:$E,MATCH(C57,Contacts!$F:$F,0)),"")</f>
        <v>אלון מדטק ונצ'רס בע"מ</v>
      </c>
      <c r="F57" s="9" t="s">
        <v>9</v>
      </c>
      <c r="G57" s="10" t="s">
        <v>2994</v>
      </c>
      <c r="H57" s="10" t="s">
        <v>2105</v>
      </c>
      <c r="I57" s="13"/>
      <c r="J57" s="13"/>
      <c r="K57" s="10" t="s">
        <v>2818</v>
      </c>
      <c r="L57" s="11" t="str">
        <f t="shared" si="0"/>
        <v>2026-03-12assaf@alon-medtech.com</v>
      </c>
    </row>
    <row r="58" spans="1:12" ht="15" customHeight="1">
      <c r="A58" s="19">
        <f>IF(tblOutreachLog[[#This Row],[Interaction Date]]&lt;&gt;0,ROW()-1,"")</f>
        <v>57</v>
      </c>
      <c r="B58" s="13">
        <v>46093</v>
      </c>
      <c r="C58" s="10" t="s">
        <v>1972</v>
      </c>
      <c r="D58" s="11" t="str">
        <f>IFERROR(INDEX(Contacts!$B:$B,MATCH(C58,Contacts!$F:$F,0))&amp;" "&amp;INDEX(Contacts!$C:$C,MATCH(C58,Contacts!$F:$F,0)),"")</f>
        <v>יהודית זילברשטיין</v>
      </c>
      <c r="E58" s="14" t="str">
        <f>IFERROR(INDEX(Contacts!$E:$E,MATCH(C58,Contacts!$F:$F,0)),"")</f>
        <v>אלון מדטק ונצ'רס בע"מ</v>
      </c>
      <c r="F58" s="9" t="s">
        <v>9</v>
      </c>
      <c r="G58" s="10" t="s">
        <v>2994</v>
      </c>
      <c r="H58" s="10" t="s">
        <v>2105</v>
      </c>
      <c r="I58" s="13"/>
      <c r="J58" s="13"/>
      <c r="K58" s="10" t="s">
        <v>2818</v>
      </c>
      <c r="L58" s="11" t="str">
        <f t="shared" si="0"/>
        <v>2026-03-12judith.zilberstein@alon-medtech.com</v>
      </c>
    </row>
    <row r="59" spans="1:12" ht="15" customHeight="1">
      <c r="A59" s="19">
        <f>IF(tblOutreachLog[[#This Row],[Interaction Date]]&lt;&gt;0,ROW()-1,"")</f>
        <v>58</v>
      </c>
      <c r="B59" s="13">
        <v>46093</v>
      </c>
      <c r="C59" s="10" t="s">
        <v>1579</v>
      </c>
      <c r="D59" s="11" t="str">
        <f>IFERROR(INDEX(Contacts!$B:$B,MATCH(C59,Contacts!$F:$F,0))&amp;" "&amp;INDEX(Contacts!$C:$C,MATCH(C59,Contacts!$F:$F,0)),"")</f>
        <v>אלון פרוטפוליו טאמס</v>
      </c>
      <c r="E59" s="14" t="str">
        <f>IFERROR(INDEX(Contacts!$E:$E,MATCH(C59,Contacts!$F:$F,0)),"")</f>
        <v>אלון מדטק ונצ'רס בע"מ</v>
      </c>
      <c r="F59" s="9" t="s">
        <v>9</v>
      </c>
      <c r="G59" s="10" t="s">
        <v>2994</v>
      </c>
      <c r="H59" s="10" t="s">
        <v>2105</v>
      </c>
      <c r="I59" s="13"/>
      <c r="J59" s="13"/>
      <c r="K59" s="10" t="s">
        <v>2818</v>
      </c>
      <c r="L59" s="11" t="str">
        <f t="shared" si="0"/>
        <v>2026-03-12office@alon-medtech.com</v>
      </c>
    </row>
    <row r="60" spans="1:12" ht="15" customHeight="1">
      <c r="A60" s="19">
        <f>IF(tblOutreachLog[[#This Row],[Interaction Date]]&lt;&gt;0,ROW()-1,"")</f>
        <v>59</v>
      </c>
      <c r="B60" s="13">
        <v>46093</v>
      </c>
      <c r="C60" s="10" t="s">
        <v>1974</v>
      </c>
      <c r="D60" s="11" t="str">
        <f>IFERROR(INDEX(Contacts!$B:$B,MATCH(C60,Contacts!$F:$F,0))&amp;" "&amp;INDEX(Contacts!$C:$C,MATCH(C60,Contacts!$F:$F,0)),"")</f>
        <v>שמעון אקהאוס</v>
      </c>
      <c r="E60" s="14" t="str">
        <f>IFERROR(INDEX(Contacts!$E:$E,MATCH(C60,Contacts!$F:$F,0)),"")</f>
        <v>אלון מדטק ונצ'רס בע"מ</v>
      </c>
      <c r="F60" s="9" t="s">
        <v>9</v>
      </c>
      <c r="G60" s="10" t="s">
        <v>2994</v>
      </c>
      <c r="H60" s="10" t="s">
        <v>2105</v>
      </c>
      <c r="I60" s="13"/>
      <c r="J60" s="13"/>
      <c r="K60" s="10" t="s">
        <v>2818</v>
      </c>
      <c r="L60" s="11" t="str">
        <f t="shared" si="0"/>
        <v>2026-03-12shimon.eckhouse@alon-medtech.com</v>
      </c>
    </row>
    <row r="61" spans="1:12" ht="15" customHeight="1">
      <c r="A61" s="19">
        <f>IF(tblOutreachLog[[#This Row],[Interaction Date]]&lt;&gt;0,ROW()-1,"")</f>
        <v>60</v>
      </c>
      <c r="B61" s="13">
        <v>46093</v>
      </c>
      <c r="C61" s="10" t="s">
        <v>778</v>
      </c>
      <c r="D61" s="11" t="str">
        <f>IFERROR(INDEX(Contacts!$B:$B,MATCH(C61,Contacts!$F:$F,0))&amp;" "&amp;INDEX(Contacts!$C:$C,MATCH(C61,Contacts!$F:$F,0)),"")</f>
        <v>עמי מויאל</v>
      </c>
      <c r="E61" s="14" t="str">
        <f>IFERROR(INDEX(Contacts!$E:$E,MATCH(C61,Contacts!$F:$F,0)),"")</f>
        <v>אפקה המכללה האקדמית להנדסה בת"א</v>
      </c>
      <c r="F61" s="9" t="s">
        <v>9</v>
      </c>
      <c r="G61" s="10" t="s">
        <v>2994</v>
      </c>
      <c r="H61" s="10" t="s">
        <v>2105</v>
      </c>
      <c r="I61" s="13"/>
      <c r="J61" s="13"/>
      <c r="K61" s="10" t="s">
        <v>2818</v>
      </c>
      <c r="L61" s="11" t="str">
        <f t="shared" si="0"/>
        <v>2026-03-12amim@afeka.ac.il</v>
      </c>
    </row>
    <row r="62" spans="1:12" ht="15" customHeight="1">
      <c r="A62" s="19">
        <f>IF(tblOutreachLog[[#This Row],[Interaction Date]]&lt;&gt;0,ROW()-1,"")</f>
        <v>61</v>
      </c>
      <c r="B62" s="13">
        <v>46093</v>
      </c>
      <c r="C62" s="10" t="s">
        <v>1976</v>
      </c>
      <c r="D62" s="11" t="str">
        <f>IFERROR(INDEX(Contacts!$B:$B,MATCH(C62,Contacts!$F:$F,0))&amp;" "&amp;INDEX(Contacts!$C:$C,MATCH(C62,Contacts!$F:$F,0)),"")</f>
        <v>שושי זונאבנד-תמרי</v>
      </c>
      <c r="E62" s="14" t="str">
        <f>IFERROR(INDEX(Contacts!$E:$E,MATCH(C62,Contacts!$F:$F,0)),"")</f>
        <v>אפקה המכללה האקדמית להנדסה בת"א</v>
      </c>
      <c r="F62" s="9" t="s">
        <v>9</v>
      </c>
      <c r="G62" s="10" t="s">
        <v>2994</v>
      </c>
      <c r="H62" s="10" t="s">
        <v>2105</v>
      </c>
      <c r="I62" s="13"/>
      <c r="J62" s="13"/>
      <c r="K62" s="10" t="s">
        <v>2818</v>
      </c>
      <c r="L62" s="11" t="str">
        <f t="shared" si="0"/>
        <v>2026-03-12shoshi.zonabend-tamari@afeka.ac.il</v>
      </c>
    </row>
    <row r="63" spans="1:12" ht="15" customHeight="1">
      <c r="A63" s="19">
        <f>IF(tblOutreachLog[[#This Row],[Interaction Date]]&lt;&gt;0,ROW()-1,"")</f>
        <v>62</v>
      </c>
      <c r="B63" s="13">
        <v>46093</v>
      </c>
      <c r="C63" s="10" t="s">
        <v>1202</v>
      </c>
      <c r="D63" s="11" t="str">
        <f>IFERROR(INDEX(Contacts!$B:$B,MATCH(C63,Contacts!$F:$F,0))&amp;" "&amp;INDEX(Contacts!$C:$C,MATCH(C63,Contacts!$F:$F,0)),"")</f>
        <v xml:space="preserve"> </v>
      </c>
      <c r="E63" s="14" t="str">
        <f>IFERROR(INDEX(Contacts!$E:$E,MATCH(C63,Contacts!$F:$F,0)),"")</f>
        <v>ארבה רובוטיקס בע"מ</v>
      </c>
      <c r="F63" s="9" t="s">
        <v>9</v>
      </c>
      <c r="G63" s="10" t="s">
        <v>2994</v>
      </c>
      <c r="H63" s="10" t="s">
        <v>2105</v>
      </c>
      <c r="I63" s="13"/>
      <c r="J63" s="13"/>
      <c r="K63" s="10" t="s">
        <v>2818</v>
      </c>
      <c r="L63" s="11" t="str">
        <f t="shared" si="0"/>
        <v>2026-03-12info@arberobotics.com</v>
      </c>
    </row>
    <row r="64" spans="1:12" ht="15" customHeight="1">
      <c r="A64" s="19">
        <f>IF(tblOutreachLog[[#This Row],[Interaction Date]]&lt;&gt;0,ROW()-1,"")</f>
        <v>63</v>
      </c>
      <c r="B64" s="13">
        <v>46093</v>
      </c>
      <c r="C64" s="10" t="s">
        <v>1978</v>
      </c>
      <c r="D64" s="11" t="str">
        <f>IFERROR(INDEX(Contacts!$B:$B,MATCH(C64,Contacts!$F:$F,0))&amp;" "&amp;INDEX(Contacts!$C:$C,MATCH(C64,Contacts!$F:$F,0)),"")</f>
        <v>קובי מרנקו</v>
      </c>
      <c r="E64" s="14" t="str">
        <f>IFERROR(INDEX(Contacts!$E:$E,MATCH(C64,Contacts!$F:$F,0)),"")</f>
        <v>ארבה רובוטיקס בע"מ</v>
      </c>
      <c r="F64" s="9" t="s">
        <v>9</v>
      </c>
      <c r="G64" s="10" t="s">
        <v>2994</v>
      </c>
      <c r="H64" s="10" t="s">
        <v>2105</v>
      </c>
      <c r="I64" s="13"/>
      <c r="J64" s="13"/>
      <c r="K64" s="10" t="s">
        <v>2818</v>
      </c>
      <c r="L64" s="11" t="str">
        <f t="shared" si="0"/>
        <v>2026-03-12kobi.marenko@arberobotics.com</v>
      </c>
    </row>
    <row r="65" spans="1:12" ht="15" customHeight="1">
      <c r="A65" s="19">
        <f>IF(tblOutreachLog[[#This Row],[Interaction Date]]&lt;&gt;0,ROW()-1,"")</f>
        <v>64</v>
      </c>
      <c r="B65" s="13">
        <v>46093</v>
      </c>
      <c r="C65" s="10" t="s">
        <v>1980</v>
      </c>
      <c r="D65" s="11" t="str">
        <f>IFERROR(INDEX(Contacts!$B:$B,MATCH(C65,Contacts!$F:$F,0))&amp;" "&amp;INDEX(Contacts!$C:$C,MATCH(C65,Contacts!$F:$F,0)),"")</f>
        <v>נועם ארקין</v>
      </c>
      <c r="E65" s="14" t="str">
        <f>IFERROR(INDEX(Contacts!$E:$E,MATCH(C65,Contacts!$F:$F,0)),"")</f>
        <v>ארבה רובוטיקס בע"מ</v>
      </c>
      <c r="F65" s="9" t="s">
        <v>9</v>
      </c>
      <c r="G65" s="10" t="s">
        <v>2994</v>
      </c>
      <c r="H65" s="10" t="s">
        <v>2105</v>
      </c>
      <c r="I65" s="13"/>
      <c r="J65" s="13"/>
      <c r="K65" s="10" t="s">
        <v>2818</v>
      </c>
      <c r="L65" s="11" t="str">
        <f t="shared" si="0"/>
        <v>2026-03-12noam.arkind@arberobotics.com</v>
      </c>
    </row>
    <row r="66" spans="1:12" ht="15" customHeight="1">
      <c r="A66" s="19">
        <f>IF(tblOutreachLog[[#This Row],[Interaction Date]]&lt;&gt;0,ROW()-1,"")</f>
        <v>65</v>
      </c>
      <c r="B66" s="13">
        <v>46093</v>
      </c>
      <c r="C66" s="10" t="s">
        <v>1203</v>
      </c>
      <c r="D66" s="11" t="str">
        <f>IFERROR(INDEX(Contacts!$B:$B,MATCH(C66,Contacts!$F:$F,0))&amp;" "&amp;INDEX(Contacts!$C:$C,MATCH(C66,Contacts!$F:$F,0)),"")</f>
        <v>לירון אלעד</v>
      </c>
      <c r="E66" s="14" t="str">
        <f>IFERROR(INDEX(Contacts!$E:$E,MATCH(C66,Contacts!$F:$F,0)),"")</f>
        <v>ארט מדיקל בע"מ</v>
      </c>
      <c r="F66" s="9" t="s">
        <v>9</v>
      </c>
      <c r="G66" s="10" t="s">
        <v>2994</v>
      </c>
      <c r="H66" s="10" t="s">
        <v>2105</v>
      </c>
      <c r="I66" s="13"/>
      <c r="J66" s="13"/>
      <c r="K66" s="10" t="s">
        <v>2818</v>
      </c>
      <c r="L66" s="11" t="str">
        <f t="shared" ref="L66:L129" si="1">TEXT(B66,"YYYY-MM-DD")&amp;C66</f>
        <v>2026-03-12info@artmedical.com</v>
      </c>
    </row>
    <row r="67" spans="1:12" ht="15" customHeight="1">
      <c r="A67" s="19">
        <f>IF(tblOutreachLog[[#This Row],[Interaction Date]]&lt;&gt;0,ROW()-1,"")</f>
        <v>66</v>
      </c>
      <c r="B67" s="13">
        <v>46093</v>
      </c>
      <c r="C67" s="10" t="s">
        <v>1981</v>
      </c>
      <c r="D67" s="11" t="str">
        <f>IFERROR(INDEX(Contacts!$B:$B,MATCH(C67,Contacts!$F:$F,0))&amp;" "&amp;INDEX(Contacts!$C:$C,MATCH(C67,Contacts!$F:$F,0)),"")</f>
        <v>גבריאל י. (גבי) עידן</v>
      </c>
      <c r="E67" s="14" t="str">
        <f>IFERROR(INDEX(Contacts!$E:$E,MATCH(C67,Contacts!$F:$F,0)),"")</f>
        <v>ארט מדיקל בע"מ</v>
      </c>
      <c r="F67" s="9" t="s">
        <v>9</v>
      </c>
      <c r="G67" s="10" t="s">
        <v>2994</v>
      </c>
      <c r="H67" s="10" t="s">
        <v>2105</v>
      </c>
      <c r="I67" s="13"/>
      <c r="J67" s="13"/>
      <c r="K67" s="10" t="s">
        <v>2818</v>
      </c>
      <c r="L67" s="11" t="str">
        <f t="shared" si="1"/>
        <v>2026-03-12gavriel j. (gabi).iddan@artmedical.com</v>
      </c>
    </row>
    <row r="68" spans="1:12" ht="15" customHeight="1">
      <c r="A68" s="19">
        <f>IF(tblOutreachLog[[#This Row],[Interaction Date]]&lt;&gt;0,ROW()-1,"")</f>
        <v>67</v>
      </c>
      <c r="B68" s="13">
        <v>46093</v>
      </c>
      <c r="C68" s="10" t="s">
        <v>1983</v>
      </c>
      <c r="D68" s="11" t="str">
        <f>IFERROR(INDEX(Contacts!$B:$B,MATCH(C68,Contacts!$F:$F,0))&amp;" "&amp;INDEX(Contacts!$C:$C,MATCH(C68,Contacts!$F:$F,0)),"")</f>
        <v>אורי בראון</v>
      </c>
      <c r="E68" s="14" t="str">
        <f>IFERROR(INDEX(Contacts!$E:$E,MATCH(C68,Contacts!$F:$F,0)),"")</f>
        <v>ארט מדיקל בע"מ</v>
      </c>
      <c r="F68" s="9" t="s">
        <v>9</v>
      </c>
      <c r="G68" s="10" t="s">
        <v>2994</v>
      </c>
      <c r="H68" s="10" t="s">
        <v>2105</v>
      </c>
      <c r="I68" s="13"/>
      <c r="J68" s="13"/>
      <c r="K68" s="10" t="s">
        <v>2818</v>
      </c>
      <c r="L68" s="11" t="str">
        <f t="shared" si="1"/>
        <v>2026-03-12ori.braun@artmedical.com</v>
      </c>
    </row>
    <row r="69" spans="1:12" ht="15" customHeight="1">
      <c r="A69" s="19">
        <f>IF(tblOutreachLog[[#This Row],[Interaction Date]]&lt;&gt;0,ROW()-1,"")</f>
        <v>68</v>
      </c>
      <c r="B69" s="13">
        <v>46093</v>
      </c>
      <c r="C69" s="10" t="s">
        <v>1984</v>
      </c>
      <c r="D69" s="11" t="str">
        <f>IFERROR(INDEX(Contacts!$B:$B,MATCH(C69,Contacts!$F:$F,0))&amp;" "&amp;INDEX(Contacts!$C:$C,MATCH(C69,Contacts!$F:$F,0)),"")</f>
        <v>גבריאל י. גבי</v>
      </c>
      <c r="E69" s="14" t="str">
        <f>IFERROR(INDEX(Contacts!$E:$E,MATCH(C69,Contacts!$F:$F,0)),"")</f>
        <v>ארט מדיקל בע"מ</v>
      </c>
      <c r="F69" s="9" t="s">
        <v>9</v>
      </c>
      <c r="G69" s="10" t="s">
        <v>2994</v>
      </c>
      <c r="H69" s="10" t="s">
        <v>2105</v>
      </c>
      <c r="I69" s="13"/>
      <c r="J69" s="13"/>
      <c r="K69" s="10" t="s">
        <v>2818</v>
      </c>
      <c r="L69" s="11" t="str">
        <f t="shared" si="1"/>
        <v>2026-03-12gavriel j..gabi@artmedical.com</v>
      </c>
    </row>
    <row r="70" spans="1:12" ht="15" customHeight="1">
      <c r="A70" s="19">
        <f>IF(tblOutreachLog[[#This Row],[Interaction Date]]&lt;&gt;0,ROW()-1,"")</f>
        <v>69</v>
      </c>
      <c r="B70" s="13">
        <v>46093</v>
      </c>
      <c r="C70" s="10" t="s">
        <v>1581</v>
      </c>
      <c r="D70" s="11" t="str">
        <f>IFERROR(INDEX(Contacts!$B:$B,MATCH(C70,Contacts!$F:$F,0))&amp;" "&amp;INDEX(Contacts!$C:$C,MATCH(C70,Contacts!$F:$F,0)),"")</f>
        <v>אבנר רוזן</v>
      </c>
      <c r="E70" s="14" t="str">
        <f>IFERROR(INDEX(Contacts!$E:$E,MATCH(C70,Contacts!$F:$F,0)),"")</f>
        <v>בי או אר גרין גרופ</v>
      </c>
      <c r="F70" s="9" t="s">
        <v>9</v>
      </c>
      <c r="G70" s="10" t="s">
        <v>2994</v>
      </c>
      <c r="H70" s="10" t="s">
        <v>2105</v>
      </c>
      <c r="I70" s="13"/>
      <c r="J70" s="13"/>
      <c r="K70" s="10" t="s">
        <v>2818</v>
      </c>
      <c r="L70" s="11" t="str">
        <f t="shared" si="1"/>
        <v>2026-03-12office@green-group.co.il</v>
      </c>
    </row>
    <row r="71" spans="1:12" ht="15" customHeight="1">
      <c r="A71" s="19">
        <f>IF(tblOutreachLog[[#This Row],[Interaction Date]]&lt;&gt;0,ROW()-1,"")</f>
        <v>70</v>
      </c>
      <c r="B71" s="13">
        <v>46093</v>
      </c>
      <c r="C71" s="10" t="s">
        <v>1206</v>
      </c>
      <c r="D71" s="11" t="str">
        <f>IFERROR(INDEX(Contacts!$B:$B,MATCH(C71,Contacts!$F:$F,0))&amp;" "&amp;INDEX(Contacts!$C:$C,MATCH(C71,Contacts!$F:$F,0)),"")</f>
        <v>מיכאל דורון</v>
      </c>
      <c r="E71" s="14" t="str">
        <f>IFERROR(INDEX(Contacts!$E:$E,MATCH(C71,Contacts!$F:$F,0)),"")</f>
        <v>ביודליה טכנולוגיות מיקרוביולוגיות בע"מ</v>
      </c>
      <c r="F71" s="9" t="s">
        <v>9</v>
      </c>
      <c r="G71" s="10" t="s">
        <v>2994</v>
      </c>
      <c r="H71" s="10" t="s">
        <v>2105</v>
      </c>
      <c r="I71" s="13"/>
      <c r="J71" s="13"/>
      <c r="K71" s="10" t="s">
        <v>2818</v>
      </c>
      <c r="L71" s="11" t="str">
        <f t="shared" si="1"/>
        <v>2026-03-12info@biodalia.com</v>
      </c>
    </row>
    <row r="72" spans="1:12" ht="15" customHeight="1">
      <c r="A72" s="19">
        <f>IF(tblOutreachLog[[#This Row],[Interaction Date]]&lt;&gt;0,ROW()-1,"")</f>
        <v>71</v>
      </c>
      <c r="B72" s="13">
        <v>46093</v>
      </c>
      <c r="C72" s="10" t="s">
        <v>1209</v>
      </c>
      <c r="D72" s="11" t="str">
        <f>IFERROR(INDEX(Contacts!$B:$B,MATCH(C72,Contacts!$F:$F,0))&amp;" "&amp;INDEX(Contacts!$C:$C,MATCH(C72,Contacts!$F:$F,0)),"")</f>
        <v>זהר ינון</v>
      </c>
      <c r="E72" s="14" t="str">
        <f>IFERROR(INDEX(Contacts!$E:$E,MATCH(C72,Contacts!$F:$F,0)),"")</f>
        <v>ביראד- חברה למחקר ופיתוח בע"מ</v>
      </c>
      <c r="F72" s="9" t="s">
        <v>9</v>
      </c>
      <c r="G72" s="10" t="s">
        <v>2994</v>
      </c>
      <c r="H72" s="10" t="s">
        <v>2105</v>
      </c>
      <c r="I72" s="13"/>
      <c r="J72" s="13"/>
      <c r="K72" s="10" t="s">
        <v>2818</v>
      </c>
      <c r="L72" s="11" t="str">
        <f t="shared" si="1"/>
        <v>2026-03-12info@birad.biz</v>
      </c>
    </row>
    <row r="73" spans="1:12" ht="15" customHeight="1">
      <c r="A73" s="19">
        <f>IF(tblOutreachLog[[#This Row],[Interaction Date]]&lt;&gt;0,ROW()-1,"")</f>
        <v>72</v>
      </c>
      <c r="B73" s="13">
        <v>46093</v>
      </c>
      <c r="C73" s="10" t="s">
        <v>1986</v>
      </c>
      <c r="D73" s="11" t="str">
        <f>IFERROR(INDEX(Contacts!$B:$B,MATCH(C73,Contacts!$F:$F,0))&amp;" "&amp;INDEX(Contacts!$C:$C,MATCH(C73,Contacts!$F:$F,0)),"")</f>
        <v>צביקה בן פורת</v>
      </c>
      <c r="E73" s="14" t="str">
        <f>IFERROR(INDEX(Contacts!$E:$E,MATCH(C73,Contacts!$F:$F,0)),"")</f>
        <v>ביראד- חברה למחקר ופיתוח בע"מ</v>
      </c>
      <c r="F73" s="9" t="s">
        <v>9</v>
      </c>
      <c r="G73" s="10" t="s">
        <v>2994</v>
      </c>
      <c r="H73" s="10" t="s">
        <v>2105</v>
      </c>
      <c r="I73" s="13"/>
      <c r="J73" s="13"/>
      <c r="K73" s="10" t="s">
        <v>2818</v>
      </c>
      <c r="L73" s="11" t="str">
        <f t="shared" si="1"/>
        <v>2026-03-12tsvika.ben porat@birad.biz</v>
      </c>
    </row>
    <row r="74" spans="1:12" ht="15" customHeight="1">
      <c r="A74" s="19">
        <f>IF(tblOutreachLog[[#This Row],[Interaction Date]]&lt;&gt;0,ROW()-1,"")</f>
        <v>73</v>
      </c>
      <c r="B74" s="13">
        <v>46093</v>
      </c>
      <c r="C74" s="10" t="s">
        <v>1988</v>
      </c>
      <c r="D74" s="11" t="str">
        <f>IFERROR(INDEX(Contacts!$B:$B,MATCH(C74,Contacts!$F:$F,0))&amp;" "&amp;INDEX(Contacts!$C:$C,MATCH(C74,Contacts!$F:$F,0)),"")</f>
        <v>יוסי באהאגון</v>
      </c>
      <c r="E74" s="14" t="str">
        <f>IFERROR(INDEX(Contacts!$E:$E,MATCH(C74,Contacts!$F:$F,0)),"")</f>
        <v>בית החולים הציבורי אסותא אשדוד (ע״ר)</v>
      </c>
      <c r="F74" s="9" t="s">
        <v>9</v>
      </c>
      <c r="G74" s="10" t="s">
        <v>2994</v>
      </c>
      <c r="H74" s="10" t="s">
        <v>2105</v>
      </c>
      <c r="I74" s="13"/>
      <c r="J74" s="13"/>
      <c r="K74" s="10" t="s">
        <v>2818</v>
      </c>
      <c r="L74" s="11" t="str">
        <f t="shared" si="1"/>
        <v>2026-03-12bagahon@rise.assuta.co.il</v>
      </c>
    </row>
    <row r="75" spans="1:12" ht="15" customHeight="1">
      <c r="A75" s="19">
        <f>IF(tblOutreachLog[[#This Row],[Interaction Date]]&lt;&gt;0,ROW()-1,"")</f>
        <v>74</v>
      </c>
      <c r="B75" s="13">
        <v>46093</v>
      </c>
      <c r="C75" s="10" t="s">
        <v>1990</v>
      </c>
      <c r="D75" s="11" t="str">
        <f>IFERROR(INDEX(Contacts!$B:$B,MATCH(C75,Contacts!$F:$F,0))&amp;" "&amp;INDEX(Contacts!$C:$C,MATCH(C75,Contacts!$F:$F,0)),"")</f>
        <v>גלית קאופמן</v>
      </c>
      <c r="E75" s="14" t="str">
        <f>IFERROR(INDEX(Contacts!$E:$E,MATCH(C75,Contacts!$F:$F,0)),"")</f>
        <v>בית החולים הציבורי אסותא אשדוד (ע״ר)</v>
      </c>
      <c r="F75" s="9" t="s">
        <v>9</v>
      </c>
      <c r="G75" s="10" t="s">
        <v>2994</v>
      </c>
      <c r="H75" s="10" t="s">
        <v>2105</v>
      </c>
      <c r="I75" s="13"/>
      <c r="J75" s="13"/>
      <c r="K75" s="10" t="s">
        <v>2818</v>
      </c>
      <c r="L75" s="11" t="str">
        <f t="shared" si="1"/>
        <v>2026-03-12galit.kaufman@rise.assuta.co.il</v>
      </c>
    </row>
    <row r="76" spans="1:12" ht="15" customHeight="1">
      <c r="A76" s="19">
        <f>IF(tblOutreachLog[[#This Row],[Interaction Date]]&lt;&gt;0,ROW()-1,"")</f>
        <v>75</v>
      </c>
      <c r="B76" s="13">
        <v>46093</v>
      </c>
      <c r="C76" s="10" t="s">
        <v>1991</v>
      </c>
      <c r="D76" s="11" t="str">
        <f>IFERROR(INDEX(Contacts!$B:$B,MATCH(C76,Contacts!$F:$F,0))&amp;" "&amp;INDEX(Contacts!$C:$C,MATCH(C76,Contacts!$F:$F,0)),"")</f>
        <v>ארז ברנבוים</v>
      </c>
      <c r="E76" s="14" t="str">
        <f>IFERROR(INDEX(Contacts!$E:$E,MATCH(C76,Contacts!$F:$F,0)),"")</f>
        <v>בית החולים הציבורי אסותא אשדוד (ע״ר)</v>
      </c>
      <c r="F76" s="9" t="s">
        <v>9</v>
      </c>
      <c r="G76" s="10" t="s">
        <v>2994</v>
      </c>
      <c r="H76" s="10" t="s">
        <v>2105</v>
      </c>
      <c r="I76" s="13"/>
      <c r="J76" s="13"/>
      <c r="K76" s="10" t="s">
        <v>2818</v>
      </c>
      <c r="L76" s="11" t="str">
        <f t="shared" si="1"/>
        <v>2026-03-12berenboim@rise.assuta.co.il</v>
      </c>
    </row>
    <row r="77" spans="1:12" ht="15" customHeight="1">
      <c r="A77" s="19">
        <f>IF(tblOutreachLog[[#This Row],[Interaction Date]]&lt;&gt;0,ROW()-1,"")</f>
        <v>76</v>
      </c>
      <c r="B77" s="13">
        <v>46093</v>
      </c>
      <c r="C77" s="10" t="s">
        <v>1993</v>
      </c>
      <c r="D77" s="11" t="str">
        <f>IFERROR(INDEX(Contacts!$B:$B,MATCH(C77,Contacts!$F:$F,0))&amp;" "&amp;INDEX(Contacts!$C:$C,MATCH(C77,Contacts!$F:$F,0)),"")</f>
        <v>אורלי פלוצוק</v>
      </c>
      <c r="E77" s="14" t="str">
        <f>IFERROR(INDEX(Contacts!$E:$E,MATCH(C77,Contacts!$F:$F,0)),"")</f>
        <v>בית החולים הציבורי אסותא אשדוד (ע״ר)</v>
      </c>
      <c r="F77" s="9" t="s">
        <v>9</v>
      </c>
      <c r="G77" s="10" t="s">
        <v>2994</v>
      </c>
      <c r="H77" s="10" t="s">
        <v>2105</v>
      </c>
      <c r="I77" s="13"/>
      <c r="J77" s="13"/>
      <c r="K77" s="10" t="s">
        <v>2818</v>
      </c>
      <c r="L77" s="11" t="str">
        <f t="shared" si="1"/>
        <v>2026-03-12orli@rise.assuta.co.il</v>
      </c>
    </row>
    <row r="78" spans="1:12" ht="15" customHeight="1">
      <c r="A78" s="19">
        <f>IF(tblOutreachLog[[#This Row],[Interaction Date]]&lt;&gt;0,ROW()-1,"")</f>
        <v>77</v>
      </c>
      <c r="B78" s="13">
        <v>46093</v>
      </c>
      <c r="C78" s="10" t="s">
        <v>940</v>
      </c>
      <c r="D78" s="11" t="str">
        <f>IFERROR(INDEX(Contacts!$B:$B,MATCH(C78,Contacts!$F:$F,0))&amp;" "&amp;INDEX(Contacts!$C:$C,MATCH(C78,Contacts!$F:$F,0)),"")</f>
        <v>דוד לאזרסון</v>
      </c>
      <c r="E78" s="14" t="str">
        <f>IFERROR(INDEX(Contacts!$E:$E,MATCH(C78,Contacts!$F:$F,0)),"")</f>
        <v>בריאה מעבדות בע"מ</v>
      </c>
      <c r="F78" s="9" t="s">
        <v>9</v>
      </c>
      <c r="G78" s="10" t="s">
        <v>2994</v>
      </c>
      <c r="H78" s="10" t="s">
        <v>2105</v>
      </c>
      <c r="I78" s="13"/>
      <c r="J78" s="13"/>
      <c r="K78" s="10" t="s">
        <v>2818</v>
      </c>
      <c r="L78" s="11" t="str">
        <f t="shared" si="1"/>
        <v>2026-03-12david@briya.com</v>
      </c>
    </row>
    <row r="79" spans="1:12" ht="15" customHeight="1">
      <c r="A79" s="19">
        <f>IF(tblOutreachLog[[#This Row],[Interaction Date]]&lt;&gt;0,ROW()-1,"")</f>
        <v>78</v>
      </c>
      <c r="B79" s="13">
        <v>46093</v>
      </c>
      <c r="C79" s="10" t="s">
        <v>1995</v>
      </c>
      <c r="D79" s="11" t="str">
        <f>IFERROR(INDEX(Contacts!$B:$B,MATCH(C79,Contacts!$F:$F,0))&amp;" "&amp;INDEX(Contacts!$C:$C,MATCH(C79,Contacts!$F:$F,0)),"")</f>
        <v>גיא טיש</v>
      </c>
      <c r="E79" s="14" t="str">
        <f>IFERROR(INDEX(Contacts!$E:$E,MATCH(C79,Contacts!$F:$F,0)),"")</f>
        <v>בריאה מעבדות בע"מ</v>
      </c>
      <c r="F79" s="9" t="s">
        <v>9</v>
      </c>
      <c r="G79" s="10" t="s">
        <v>2994</v>
      </c>
      <c r="H79" s="10" t="s">
        <v>2105</v>
      </c>
      <c r="I79" s="13"/>
      <c r="J79" s="13"/>
      <c r="K79" s="10" t="s">
        <v>2818</v>
      </c>
      <c r="L79" s="11" t="str">
        <f t="shared" si="1"/>
        <v>2026-03-12guy.tish@briya.com</v>
      </c>
    </row>
    <row r="80" spans="1:12" ht="15" customHeight="1">
      <c r="A80" s="19">
        <f>IF(tblOutreachLog[[#This Row],[Interaction Date]]&lt;&gt;0,ROW()-1,"")</f>
        <v>79</v>
      </c>
      <c r="B80" s="13">
        <v>46093</v>
      </c>
      <c r="C80" s="10" t="s">
        <v>1216</v>
      </c>
      <c r="D80" s="11" t="str">
        <f>IFERROR(INDEX(Contacts!$B:$B,MATCH(C80,Contacts!$F:$F,0))&amp;" "&amp;INDEX(Contacts!$C:$C,MATCH(C80,Contacts!$F:$F,0)),"")</f>
        <v>נועם גוסף</v>
      </c>
      <c r="E80" s="14" t="str">
        <f>IFERROR(INDEX(Contacts!$E:$E,MATCH(C80,Contacts!$F:$F,0)),"")</f>
        <v>גאיה פרטנרס - גלילאו סטודיו וונצ'רס בע"מ</v>
      </c>
      <c r="F80" s="9" t="s">
        <v>9</v>
      </c>
      <c r="G80" s="10" t="s">
        <v>2994</v>
      </c>
      <c r="H80" s="10" t="s">
        <v>2105</v>
      </c>
      <c r="I80" s="13"/>
      <c r="J80" s="13"/>
      <c r="K80" s="10" t="s">
        <v>2818</v>
      </c>
      <c r="L80" s="11" t="str">
        <f t="shared" si="1"/>
        <v>2026-03-12info@gaiapartners.co.il</v>
      </c>
    </row>
    <row r="81" spans="1:12" ht="15" customHeight="1">
      <c r="A81" s="19">
        <f>IF(tblOutreachLog[[#This Row],[Interaction Date]]&lt;&gt;0,ROW()-1,"")</f>
        <v>80</v>
      </c>
      <c r="B81" s="13">
        <v>46093</v>
      </c>
      <c r="C81" s="10" t="s">
        <v>1620</v>
      </c>
      <c r="D81" s="11" t="str">
        <f>IFERROR(INDEX(Contacts!$B:$B,MATCH(C81,Contacts!$F:$F,0))&amp;" "&amp;INDEX(Contacts!$C:$C,MATCH(C81,Contacts!$F:$F,0)),"")</f>
        <v>אור נאדאו ארגו</v>
      </c>
      <c r="E81" s="14" t="str">
        <f>IFERROR(INDEX(Contacts!$E:$E,MATCH(C81,Contacts!$F:$F,0)),"")</f>
        <v>גאיה פרטנרס - גלילאו סטודיו וונצ'רס בע"מ</v>
      </c>
      <c r="F81" s="9" t="s">
        <v>9</v>
      </c>
      <c r="G81" s="10" t="s">
        <v>2994</v>
      </c>
      <c r="H81" s="10" t="s">
        <v>2105</v>
      </c>
      <c r="I81" s="13"/>
      <c r="J81" s="13"/>
      <c r="K81" s="10" t="s">
        <v>2818</v>
      </c>
      <c r="L81" s="11" t="str">
        <f t="shared" si="1"/>
        <v>2026-03-12Or@gaiapartners.co.il</v>
      </c>
    </row>
    <row r="82" spans="1:12" ht="15" customHeight="1">
      <c r="A82" s="19">
        <f>IF(tblOutreachLog[[#This Row],[Interaction Date]]&lt;&gt;0,ROW()-1,"")</f>
        <v>81</v>
      </c>
      <c r="B82" s="13">
        <v>46093</v>
      </c>
      <c r="C82" s="10" t="s">
        <v>1548</v>
      </c>
      <c r="D82" s="11" t="str">
        <f>IFERROR(INDEX(Contacts!$B:$B,MATCH(C82,Contacts!$F:$F,0))&amp;" "&amp;INDEX(Contacts!$C:$C,MATCH(C82,Contacts!$F:$F,0)),"")</f>
        <v>נעם ג'וסף</v>
      </c>
      <c r="E82" s="14" t="str">
        <f>IFERROR(INDEX(Contacts!$E:$E,MATCH(C82,Contacts!$F:$F,0)),"")</f>
        <v>גאיה פרטנרס - גלילאו סטודיו וונצ'רס בע"מ</v>
      </c>
      <c r="F82" s="9" t="s">
        <v>9</v>
      </c>
      <c r="G82" s="10" t="s">
        <v>2994</v>
      </c>
      <c r="H82" s="10" t="s">
        <v>2105</v>
      </c>
      <c r="I82" s="13"/>
      <c r="J82" s="13"/>
      <c r="K82" s="10" t="s">
        <v>2818</v>
      </c>
      <c r="L82" s="11" t="str">
        <f t="shared" si="1"/>
        <v>2026-03-12noam@gaiapartners.co.il</v>
      </c>
    </row>
    <row r="83" spans="1:12" ht="15" customHeight="1">
      <c r="A83" s="19">
        <f>IF(tblOutreachLog[[#This Row],[Interaction Date]]&lt;&gt;0,ROW()-1,"")</f>
        <v>82</v>
      </c>
      <c r="B83" s="13">
        <v>46093</v>
      </c>
      <c r="C83" s="10" t="s">
        <v>1270</v>
      </c>
      <c r="D83" s="11" t="str">
        <f>IFERROR(INDEX(Contacts!$B:$B,MATCH(C83,Contacts!$F:$F,0))&amp;" "&amp;INDEX(Contacts!$C:$C,MATCH(C83,Contacts!$F:$F,0)),"")</f>
        <v xml:space="preserve">יעל </v>
      </c>
      <c r="E83" s="14" t="str">
        <f>IFERROR(INDEX(Contacts!$E:$E,MATCH(C83,Contacts!$F:$F,0)),"")</f>
        <v>גינובייט (תיקליניק)</v>
      </c>
      <c r="F83" s="9" t="s">
        <v>9</v>
      </c>
      <c r="G83" s="10" t="s">
        <v>2994</v>
      </c>
      <c r="H83" s="10" t="s">
        <v>2105</v>
      </c>
      <c r="I83" s="13"/>
      <c r="J83" s="13"/>
      <c r="K83" s="10" t="s">
        <v>2818</v>
      </c>
      <c r="L83" s="11" t="str">
        <f t="shared" si="1"/>
        <v>2026-03-12info@techlinic.com</v>
      </c>
    </row>
    <row r="84" spans="1:12" ht="15" customHeight="1">
      <c r="A84" s="19">
        <f>IF(tblOutreachLog[[#This Row],[Interaction Date]]&lt;&gt;0,ROW()-1,"")</f>
        <v>83</v>
      </c>
      <c r="B84" s="13">
        <v>46093</v>
      </c>
      <c r="C84" s="10" t="s">
        <v>1375</v>
      </c>
      <c r="D84" s="11" t="str">
        <f>IFERROR(INDEX(Contacts!$B:$B,MATCH(C84,Contacts!$F:$F,0))&amp;" "&amp;INDEX(Contacts!$C:$C,MATCH(C84,Contacts!$F:$F,0)),"")</f>
        <v>מחמוד חויס</v>
      </c>
      <c r="E84" s="14" t="str">
        <f>IFERROR(INDEX(Contacts!$E:$E,MATCH(C84,Contacts!$F:$F,0)),"")</f>
        <v>גינובייט (תיקליניק)</v>
      </c>
      <c r="F84" s="9" t="s">
        <v>9</v>
      </c>
      <c r="G84" s="10" t="s">
        <v>2994</v>
      </c>
      <c r="H84" s="10" t="s">
        <v>2105</v>
      </c>
      <c r="I84" s="13"/>
      <c r="J84" s="13"/>
      <c r="K84" s="10" t="s">
        <v>2818</v>
      </c>
      <c r="L84" s="11" t="str">
        <f t="shared" si="1"/>
        <v>2026-03-12mahmoud@techlinic.com</v>
      </c>
    </row>
    <row r="85" spans="1:12" ht="15" customHeight="1">
      <c r="A85" s="19">
        <f>IF(tblOutreachLog[[#This Row],[Interaction Date]]&lt;&gt;0,ROW()-1,"")</f>
        <v>84</v>
      </c>
      <c r="B85" s="13">
        <v>46093</v>
      </c>
      <c r="C85" s="10" t="s">
        <v>1997</v>
      </c>
      <c r="D85" s="11" t="str">
        <f>IFERROR(INDEX(Contacts!$B:$B,MATCH(C85,Contacts!$F:$F,0))&amp;" "&amp;INDEX(Contacts!$C:$C,MATCH(C85,Contacts!$F:$F,0)),"")</f>
        <v>ג'פר מחפוז</v>
      </c>
      <c r="E85" s="14" t="str">
        <f>IFERROR(INDEX(Contacts!$E:$E,MATCH(C85,Contacts!$F:$F,0)),"")</f>
        <v>גינובייט (תיקליניק)</v>
      </c>
      <c r="F85" s="9" t="s">
        <v>9</v>
      </c>
      <c r="G85" s="10" t="s">
        <v>2994</v>
      </c>
      <c r="H85" s="10" t="s">
        <v>2105</v>
      </c>
      <c r="I85" s="13"/>
      <c r="J85" s="13"/>
      <c r="K85" s="10" t="s">
        <v>2818</v>
      </c>
      <c r="L85" s="11" t="str">
        <f t="shared" si="1"/>
        <v>2026-03-12jafar.mahfouz@techlinic.com</v>
      </c>
    </row>
    <row r="86" spans="1:12" ht="15" customHeight="1">
      <c r="A86" s="19">
        <f>IF(tblOutreachLog[[#This Row],[Interaction Date]]&lt;&gt;0,ROW()-1,"")</f>
        <v>85</v>
      </c>
      <c r="B86" s="13">
        <v>46093</v>
      </c>
      <c r="C86" s="10" t="s">
        <v>947</v>
      </c>
      <c r="D86" s="11" t="str">
        <f>IFERROR(INDEX(Contacts!$B:$B,MATCH(C86,Contacts!$F:$F,0))&amp;" "&amp;INDEX(Contacts!$C:$C,MATCH(C86,Contacts!$F:$F,0)),"")</f>
        <v>דוד זיגדון</v>
      </c>
      <c r="E86" s="14" t="str">
        <f>IFERROR(INDEX(Contacts!$E:$E,MATCH(C86,Contacts!$F:$F,0)),"")</f>
        <v>גלילאו - מיגל מסחור טכנולוגיות בע"מ</v>
      </c>
      <c r="F86" s="9" t="s">
        <v>9</v>
      </c>
      <c r="G86" s="10" t="s">
        <v>2994</v>
      </c>
      <c r="H86" s="10" t="s">
        <v>2105</v>
      </c>
      <c r="I86" s="13"/>
      <c r="J86" s="13"/>
      <c r="K86" s="10" t="s">
        <v>2818</v>
      </c>
      <c r="L86" s="11" t="str">
        <f t="shared" si="1"/>
        <v>2026-03-12davidz@migal.org.il</v>
      </c>
    </row>
    <row r="87" spans="1:12" ht="15" customHeight="1">
      <c r="A87" s="19">
        <f>IF(tblOutreachLog[[#This Row],[Interaction Date]]&lt;&gt;0,ROW()-1,"")</f>
        <v>86</v>
      </c>
      <c r="B87" s="13">
        <v>46093</v>
      </c>
      <c r="C87" s="10" t="s">
        <v>1218</v>
      </c>
      <c r="D87" s="11" t="str">
        <f>IFERROR(INDEX(Contacts!$B:$B,MATCH(C87,Contacts!$F:$F,0))&amp;" "&amp;INDEX(Contacts!$C:$C,MATCH(C87,Contacts!$F:$F,0)),"")</f>
        <v>טל פלג-שולמן</v>
      </c>
      <c r="E87" s="14" t="str">
        <f>IFERROR(INDEX(Contacts!$E:$E,MATCH(C87,Contacts!$F:$F,0)),"")</f>
        <v>גראם ביוטק פאונדרי בע"מ</v>
      </c>
      <c r="F87" s="9" t="s">
        <v>9</v>
      </c>
      <c r="G87" s="10" t="s">
        <v>2994</v>
      </c>
      <c r="H87" s="10" t="s">
        <v>2105</v>
      </c>
      <c r="I87" s="13"/>
      <c r="J87" s="13"/>
      <c r="K87" s="10" t="s">
        <v>2818</v>
      </c>
      <c r="L87" s="11" t="str">
        <f t="shared" si="1"/>
        <v>2026-03-12info@gram-bio.com</v>
      </c>
    </row>
    <row r="88" spans="1:12" ht="15" customHeight="1">
      <c r="A88" s="19">
        <f>IF(tblOutreachLog[[#This Row],[Interaction Date]]&lt;&gt;0,ROW()-1,"")</f>
        <v>87</v>
      </c>
      <c r="B88" s="13">
        <v>46093</v>
      </c>
      <c r="C88" s="10" t="s">
        <v>836</v>
      </c>
      <c r="D88" s="11" t="str">
        <f>IFERROR(INDEX(Contacts!$B:$B,MATCH(C88,Contacts!$F:$F,0))&amp;" "&amp;INDEX(Contacts!$C:$C,MATCH(C88,Contacts!$F:$F,0)),"")</f>
        <v>אריל שרמ, ב.סק, מבא</v>
      </c>
      <c r="E88" s="14" t="str">
        <f>IFERROR(INDEX(Contacts!$E:$E,MATCH(C88,Contacts!$F:$F,0)),"")</f>
        <v>הדסית שרותי מחקר רפואי ופתוח בע"מ</v>
      </c>
      <c r="F88" s="9" t="s">
        <v>9</v>
      </c>
      <c r="G88" s="10" t="s">
        <v>2994</v>
      </c>
      <c r="H88" s="10" t="s">
        <v>2105</v>
      </c>
      <c r="I88" s="13"/>
      <c r="J88" s="13"/>
      <c r="K88" s="10" t="s">
        <v>2818</v>
      </c>
      <c r="L88" s="11" t="str">
        <f t="shared" si="1"/>
        <v>2026-03-12ashrem@hadassah.org.il</v>
      </c>
    </row>
    <row r="89" spans="1:12" ht="15" customHeight="1">
      <c r="A89" s="19">
        <f>IF(tblOutreachLog[[#This Row],[Interaction Date]]&lt;&gt;0,ROW()-1,"")</f>
        <v>88</v>
      </c>
      <c r="B89" s="13">
        <v>46093</v>
      </c>
      <c r="C89" s="10" t="s">
        <v>1999</v>
      </c>
      <c r="D89" s="11" t="str">
        <f>IFERROR(INDEX(Contacts!$B:$B,MATCH(C89,Contacts!$F:$F,0))&amp;" "&amp;INDEX(Contacts!$C:$C,MATCH(C89,Contacts!$F:$F,0)),"")</f>
        <v>אמיר דגן</v>
      </c>
      <c r="E89" s="14" t="str">
        <f>IFERROR(INDEX(Contacts!$E:$E,MATCH(C89,Contacts!$F:$F,0)),"")</f>
        <v>הדסית שרותי מחקר רפואי ופתוח בע"מ</v>
      </c>
      <c r="F89" s="9" t="s">
        <v>9</v>
      </c>
      <c r="G89" s="10" t="s">
        <v>2994</v>
      </c>
      <c r="H89" s="10" t="s">
        <v>2105</v>
      </c>
      <c r="I89" s="13"/>
      <c r="J89" s="13"/>
      <c r="K89" s="10" t="s">
        <v>2818</v>
      </c>
      <c r="L89" s="11" t="str">
        <f t="shared" si="1"/>
        <v>2026-03-12amir.dagan@hadassah.org.il</v>
      </c>
    </row>
    <row r="90" spans="1:12" ht="15" customHeight="1">
      <c r="A90" s="19">
        <f>IF(tblOutreachLog[[#This Row],[Interaction Date]]&lt;&gt;0,ROW()-1,"")</f>
        <v>89</v>
      </c>
      <c r="B90" s="13">
        <v>46093</v>
      </c>
      <c r="C90" s="10" t="s">
        <v>1219</v>
      </c>
      <c r="D90" s="11" t="str">
        <f>IFERROR(INDEX(Contacts!$B:$B,MATCH(C90,Contacts!$F:$F,0))&amp;" "&amp;INDEX(Contacts!$C:$C,MATCH(C90,Contacts!$F:$F,0)),"")</f>
        <v/>
      </c>
      <c r="E90" s="14" t="str">
        <f>IFERROR(INDEX(Contacts!$E:$E,MATCH(C90,Contacts!$F:$F,0)),"")</f>
        <v/>
      </c>
      <c r="F90" s="9" t="s">
        <v>9</v>
      </c>
      <c r="G90" s="10" t="s">
        <v>2994</v>
      </c>
      <c r="H90" s="10" t="s">
        <v>2105</v>
      </c>
      <c r="I90" s="13"/>
      <c r="J90" s="13"/>
      <c r="K90" s="10" t="s">
        <v>2818</v>
      </c>
      <c r="L90" s="11" t="str">
        <f t="shared" si="1"/>
        <v>2026-03-12info@hadasit.org.il</v>
      </c>
    </row>
    <row r="91" spans="1:12" ht="15" customHeight="1">
      <c r="A91" s="19">
        <f>IF(tblOutreachLog[[#This Row],[Interaction Date]]&lt;&gt;0,ROW()-1,"")</f>
        <v>90</v>
      </c>
      <c r="B91" s="13">
        <v>46093</v>
      </c>
      <c r="C91" s="10" t="s">
        <v>1448</v>
      </c>
      <c r="D91" s="11" t="str">
        <f>IFERROR(INDEX(Contacts!$B:$B,MATCH(C91,Contacts!$F:$F,0))&amp;" "&amp;INDEX(Contacts!$C:$C,MATCH(C91,Contacts!$F:$F,0)),"")</f>
        <v/>
      </c>
      <c r="E91" s="14" t="str">
        <f>IFERROR(INDEX(Contacts!$E:$E,MATCH(C91,Contacts!$F:$F,0)),"")</f>
        <v/>
      </c>
      <c r="F91" s="9" t="s">
        <v>9</v>
      </c>
      <c r="G91" s="10" t="s">
        <v>2994</v>
      </c>
      <c r="H91" s="10" t="s">
        <v>2105</v>
      </c>
      <c r="I91" s="13"/>
      <c r="J91" s="13"/>
      <c r="K91" s="10" t="s">
        <v>2818</v>
      </c>
      <c r="L91" s="11" t="str">
        <f t="shared" si="1"/>
        <v>2026-03-12michal@hadasit.org.il</v>
      </c>
    </row>
    <row r="92" spans="1:12" ht="15" customHeight="1">
      <c r="A92" s="19">
        <f>IF(tblOutreachLog[[#This Row],[Interaction Date]]&lt;&gt;0,ROW()-1,"")</f>
        <v>91</v>
      </c>
      <c r="B92" s="13">
        <v>46093</v>
      </c>
      <c r="C92" s="10" t="s">
        <v>1260</v>
      </c>
      <c r="D92" s="11" t="str">
        <f>IFERROR(INDEX(Contacts!$B:$B,MATCH(C92,Contacts!$F:$F,0))&amp;" "&amp;INDEX(Contacts!$C:$C,MATCH(C92,Contacts!$F:$F,0)),"")</f>
        <v>יהודה חדד</v>
      </c>
      <c r="E92" s="14" t="str">
        <f>IFERROR(INDEX(Contacts!$E:$E,MATCH(C92,Contacts!$F:$F,0)),"")</f>
        <v>המכללה האקדמית להנדסה סמי שמעון</v>
      </c>
      <c r="F92" s="9" t="s">
        <v>9</v>
      </c>
      <c r="G92" s="10" t="s">
        <v>2994</v>
      </c>
      <c r="H92" s="10" t="s">
        <v>2105</v>
      </c>
      <c r="I92" s="13"/>
      <c r="J92" s="13"/>
      <c r="K92" s="10" t="s">
        <v>2818</v>
      </c>
      <c r="L92" s="11" t="str">
        <f t="shared" si="1"/>
        <v>2026-03-12info@sce.ac.il</v>
      </c>
    </row>
    <row r="93" spans="1:12" ht="15" customHeight="1">
      <c r="A93" s="19">
        <f>IF(tblOutreachLog[[#This Row],[Interaction Date]]&lt;&gt;0,ROW()-1,"")</f>
        <v>92</v>
      </c>
      <c r="B93" s="13">
        <v>46093</v>
      </c>
      <c r="C93" s="10" t="s">
        <v>2001</v>
      </c>
      <c r="D93" s="11" t="str">
        <f>IFERROR(INDEX(Contacts!$B:$B,MATCH(C93,Contacts!$F:$F,0))&amp;" "&amp;INDEX(Contacts!$C:$C,MATCH(C93,Contacts!$F:$F,0)),"")</f>
        <v>זוהר וולפהרט כהן</v>
      </c>
      <c r="E93" s="14" t="str">
        <f>IFERROR(INDEX(Contacts!$E:$E,MATCH(C93,Contacts!$F:$F,0)),"")</f>
        <v>המכללה האקדמית להנדסה סמי שמעון</v>
      </c>
      <c r="F93" s="9" t="s">
        <v>9</v>
      </c>
      <c r="G93" s="10" t="s">
        <v>2994</v>
      </c>
      <c r="H93" s="10" t="s">
        <v>2105</v>
      </c>
      <c r="I93" s="13"/>
      <c r="J93" s="13"/>
      <c r="K93" s="10" t="s">
        <v>2818</v>
      </c>
      <c r="L93" s="11" t="str">
        <f t="shared" si="1"/>
        <v>2026-03-12zoharv@sce.ac.il</v>
      </c>
    </row>
    <row r="94" spans="1:12" ht="15" customHeight="1">
      <c r="A94" s="19">
        <f>IF(tblOutreachLog[[#This Row],[Interaction Date]]&lt;&gt;0,ROW()-1,"")</f>
        <v>93</v>
      </c>
      <c r="B94" s="13">
        <v>46093</v>
      </c>
      <c r="C94" s="10" t="s">
        <v>1383</v>
      </c>
      <c r="D94" s="11" t="str">
        <f>IFERROR(INDEX(Contacts!$B:$B,MATCH(C94,Contacts!$F:$F,0))&amp;" "&amp;INDEX(Contacts!$C:$C,MATCH(C94,Contacts!$F:$F,0)),"")</f>
        <v>יוסי זעירא</v>
      </c>
      <c r="E94" s="14" t="str">
        <f>IFERROR(INDEX(Contacts!$E:$E,MATCH(C94,Contacts!$F:$F,0)),"")</f>
        <v>המרכז האקדמי לב (ע"ר)</v>
      </c>
      <c r="F94" s="9" t="s">
        <v>9</v>
      </c>
      <c r="G94" s="10" t="s">
        <v>2994</v>
      </c>
      <c r="H94" s="10" t="s">
        <v>2105</v>
      </c>
      <c r="I94" s="13"/>
      <c r="J94" s="13"/>
      <c r="K94" s="10" t="s">
        <v>2818</v>
      </c>
      <c r="L94" s="11" t="str">
        <f t="shared" si="1"/>
        <v>2026-03-12mankal@jct.ac.il</v>
      </c>
    </row>
    <row r="95" spans="1:12" ht="15" customHeight="1">
      <c r="A95" s="19">
        <f>IF(tblOutreachLog[[#This Row],[Interaction Date]]&lt;&gt;0,ROW()-1,"")</f>
        <v>94</v>
      </c>
      <c r="B95" s="13">
        <v>46093</v>
      </c>
      <c r="C95" s="10" t="s">
        <v>814</v>
      </c>
      <c r="D95" s="11" t="str">
        <f>IFERROR(INDEX(Contacts!$B:$B,MATCH(C95,Contacts!$F:$F,0))&amp;" "&amp;INDEX(Contacts!$C:$C,MATCH(C95,Contacts!$F:$F,0)),"")</f>
        <v>אריאל בלומויח</v>
      </c>
      <c r="E95" s="14" t="str">
        <f>IFERROR(INDEX(Contacts!$E:$E,MATCH(C95,Contacts!$F:$F,0)),"")</f>
        <v>וואי די לאבס בע"מ</v>
      </c>
      <c r="F95" s="9" t="s">
        <v>9</v>
      </c>
      <c r="G95" s="10" t="s">
        <v>2994</v>
      </c>
      <c r="H95" s="10" t="s">
        <v>2105</v>
      </c>
      <c r="I95" s="13"/>
      <c r="J95" s="13"/>
      <c r="K95" s="10" t="s">
        <v>2818</v>
      </c>
      <c r="L95" s="11" t="str">
        <f t="shared" si="1"/>
        <v>2026-03-12ariel.blumovich@gmail.com</v>
      </c>
    </row>
    <row r="96" spans="1:12" ht="15" customHeight="1">
      <c r="A96" s="19">
        <f>IF(tblOutreachLog[[#This Row],[Interaction Date]]&lt;&gt;0,ROW()-1,"")</f>
        <v>95</v>
      </c>
      <c r="B96" s="13">
        <v>46093</v>
      </c>
      <c r="C96" s="10" t="s">
        <v>1909</v>
      </c>
      <c r="D96" s="11" t="str">
        <f>IFERROR(INDEX(Contacts!$B:$B,MATCH(C96,Contacts!$F:$F,0))&amp;" "&amp;INDEX(Contacts!$C:$C,MATCH(C96,Contacts!$F:$F,0)),"")</f>
        <v>יונתן מאנור</v>
      </c>
      <c r="E96" s="14" t="str">
        <f>IFERROR(INDEX(Contacts!$E:$E,MATCH(C96,Contacts!$F:$F,0)),"")</f>
        <v>וואי די לאבס בע"מ</v>
      </c>
      <c r="F96" s="9" t="s">
        <v>9</v>
      </c>
      <c r="G96" s="10" t="s">
        <v>2994</v>
      </c>
      <c r="H96" s="10" t="s">
        <v>2105</v>
      </c>
      <c r="I96" s="13"/>
      <c r="J96" s="13"/>
      <c r="K96" s="10" t="s">
        <v>2818</v>
      </c>
      <c r="L96" s="11" t="str">
        <f t="shared" si="1"/>
        <v>2026-03-12yonmanor@gmail.com</v>
      </c>
    </row>
    <row r="97" spans="1:12" ht="15" customHeight="1">
      <c r="A97" s="19">
        <f>IF(tblOutreachLog[[#This Row],[Interaction Date]]&lt;&gt;0,ROW()-1,"")</f>
        <v>96</v>
      </c>
      <c r="B97" s="13">
        <v>46093</v>
      </c>
      <c r="C97" s="10" t="s">
        <v>2002</v>
      </c>
      <c r="D97" s="11" t="str">
        <f>IFERROR(INDEX(Contacts!$B:$B,MATCH(C97,Contacts!$F:$F,0))&amp;" "&amp;INDEX(Contacts!$C:$C,MATCH(C97,Contacts!$F:$F,0)),"")</f>
        <v>מוטי רבהון</v>
      </c>
      <c r="E97" s="14" t="str">
        <f>IFERROR(INDEX(Contacts!$E:$E,MATCH(C97,Contacts!$F:$F,0)),"")</f>
        <v>וואי די לאבס בע"מ</v>
      </c>
      <c r="F97" s="9" t="s">
        <v>9</v>
      </c>
      <c r="G97" s="10" t="s">
        <v>2994</v>
      </c>
      <c r="H97" s="10" t="s">
        <v>2105</v>
      </c>
      <c r="I97" s="13"/>
      <c r="J97" s="13"/>
      <c r="K97" s="10" t="s">
        <v>2818</v>
      </c>
      <c r="L97" s="11" t="str">
        <f t="shared" si="1"/>
        <v>2026-03-12moti.rebhun@gmail.com</v>
      </c>
    </row>
    <row r="98" spans="1:12" ht="15" customHeight="1">
      <c r="A98" s="19">
        <f>IF(tblOutreachLog[[#This Row],[Interaction Date]]&lt;&gt;0,ROW()-1,"")</f>
        <v>97</v>
      </c>
      <c r="B98" s="13">
        <v>46093</v>
      </c>
      <c r="C98" s="10" t="s">
        <v>1586</v>
      </c>
      <c r="D98" s="11" t="str">
        <f>IFERROR(INDEX(Contacts!$B:$B,MATCH(C98,Contacts!$F:$F,0))&amp;" "&amp;INDEX(Contacts!$C:$C,MATCH(C98,Contacts!$F:$F,0)),"")</f>
        <v/>
      </c>
      <c r="E98" s="14" t="str">
        <f>IFERROR(INDEX(Contacts!$E:$E,MATCH(C98,Contacts!$F:$F,0)),"")</f>
        <v/>
      </c>
      <c r="F98" s="9" t="s">
        <v>9</v>
      </c>
      <c r="G98" s="10" t="s">
        <v>2994</v>
      </c>
      <c r="H98" s="10" t="s">
        <v>2105</v>
      </c>
      <c r="I98" s="13"/>
      <c r="J98" s="13"/>
      <c r="K98" s="10" t="s">
        <v>2818</v>
      </c>
      <c r="L98" s="11" t="str">
        <f t="shared" si="1"/>
        <v>2026-03-12office@yd-labs.com</v>
      </c>
    </row>
    <row r="99" spans="1:12" ht="15" customHeight="1">
      <c r="A99" s="19">
        <f>IF(tblOutreachLog[[#This Row],[Interaction Date]]&lt;&gt;0,ROW()-1,"")</f>
        <v>98</v>
      </c>
      <c r="B99" s="13">
        <v>46093</v>
      </c>
      <c r="C99" s="10" t="s">
        <v>1280</v>
      </c>
      <c r="D99" s="11" t="str">
        <f>IFERROR(INDEX(Contacts!$B:$B,MATCH(C99,Contacts!$F:$F,0))&amp;" "&amp;INDEX(Contacts!$C:$C,MATCH(C99,Contacts!$F:$F,0)),"")</f>
        <v>אורי חושן</v>
      </c>
      <c r="E99" s="14" t="str">
        <f>IFERROR(INDEX(Contacts!$E:$E,MATCH(C99,Contacts!$F:$F,0)),"")</f>
        <v>וי אל אקס</v>
      </c>
      <c r="F99" s="9" t="s">
        <v>9</v>
      </c>
      <c r="G99" s="10" t="s">
        <v>2994</v>
      </c>
      <c r="H99" s="10" t="s">
        <v>2105</v>
      </c>
      <c r="I99" s="13"/>
      <c r="J99" s="13"/>
      <c r="K99" s="10" t="s">
        <v>2818</v>
      </c>
      <c r="L99" s="11" t="str">
        <f t="shared" si="1"/>
        <v>2026-03-12info@vlx.co.il</v>
      </c>
    </row>
    <row r="100" spans="1:12" ht="15" customHeight="1">
      <c r="A100" s="19">
        <f>IF(tblOutreachLog[[#This Row],[Interaction Date]]&lt;&gt;0,ROW()-1,"")</f>
        <v>99</v>
      </c>
      <c r="B100" s="13">
        <v>46093</v>
      </c>
      <c r="C100" s="10" t="s">
        <v>2003</v>
      </c>
      <c r="D100" s="11" t="str">
        <f>IFERROR(INDEX(Contacts!$B:$B,MATCH(C100,Contacts!$F:$F,0))&amp;" "&amp;INDEX(Contacts!$C:$C,MATCH(C100,Contacts!$F:$F,0)),"")</f>
        <v>נדב קליין</v>
      </c>
      <c r="E100" s="14" t="str">
        <f>IFERROR(INDEX(Contacts!$E:$E,MATCH(C100,Contacts!$F:$F,0)),"")</f>
        <v>וי אל אקס</v>
      </c>
      <c r="F100" s="9" t="s">
        <v>9</v>
      </c>
      <c r="G100" s="10" t="s">
        <v>2994</v>
      </c>
      <c r="H100" s="10" t="s">
        <v>2105</v>
      </c>
      <c r="I100" s="13"/>
      <c r="J100" s="13"/>
      <c r="K100" s="10" t="s">
        <v>2818</v>
      </c>
      <c r="L100" s="11" t="str">
        <f t="shared" si="1"/>
        <v>2026-03-12nadav.klein@vlx.co.il</v>
      </c>
    </row>
    <row r="101" spans="1:12" ht="15" customHeight="1">
      <c r="A101" s="19">
        <f>IF(tblOutreachLog[[#This Row],[Interaction Date]]&lt;&gt;0,ROW()-1,"")</f>
        <v>100</v>
      </c>
      <c r="B101" s="13">
        <v>46093</v>
      </c>
      <c r="C101" s="10" t="s">
        <v>1277</v>
      </c>
      <c r="D101" s="11" t="str">
        <f>IFERROR(INDEX(Contacts!$B:$B,MATCH(C101,Contacts!$F:$F,0))&amp;" "&amp;INDEX(Contacts!$C:$C,MATCH(C101,Contacts!$F:$F,0)),"")</f>
        <v>יאיר אמסטרדאם</v>
      </c>
      <c r="E101" s="14" t="str">
        <f>IFERROR(INDEX(Contacts!$E:$E,MATCH(C101,Contacts!$F:$F,0)),"")</f>
        <v>ורביט סופטוור בע"מ</v>
      </c>
      <c r="F101" s="9" t="s">
        <v>9</v>
      </c>
      <c r="G101" s="10" t="s">
        <v>2994</v>
      </c>
      <c r="H101" s="10" t="s">
        <v>2105</v>
      </c>
      <c r="I101" s="13"/>
      <c r="J101" s="13"/>
      <c r="K101" s="10" t="s">
        <v>2818</v>
      </c>
      <c r="L101" s="11" t="str">
        <f t="shared" si="1"/>
        <v>2026-03-12info@verbit.ai</v>
      </c>
    </row>
    <row r="102" spans="1:12" ht="15" customHeight="1">
      <c r="A102" s="19">
        <f>IF(tblOutreachLog[[#This Row],[Interaction Date]]&lt;&gt;0,ROW()-1,"")</f>
        <v>101</v>
      </c>
      <c r="B102" s="13">
        <v>46093</v>
      </c>
      <c r="C102" s="10" t="s">
        <v>2005</v>
      </c>
      <c r="D102" s="11" t="str">
        <f>IFERROR(INDEX(Contacts!$B:$B,MATCH(C102,Contacts!$F:$F,0))&amp;" "&amp;INDEX(Contacts!$C:$C,MATCH(C102,Contacts!$F:$F,0)),"")</f>
        <v>ברק רוזנבלט</v>
      </c>
      <c r="E102" s="14" t="str">
        <f>IFERROR(INDEX(Contacts!$E:$E,MATCH(C102,Contacts!$F:$F,0)),"")</f>
        <v>ורביט סופטוור בע"מ</v>
      </c>
      <c r="F102" s="9" t="s">
        <v>9</v>
      </c>
      <c r="G102" s="10" t="s">
        <v>2994</v>
      </c>
      <c r="H102" s="10" t="s">
        <v>2105</v>
      </c>
      <c r="I102" s="13"/>
      <c r="J102" s="13"/>
      <c r="K102" s="10" t="s">
        <v>2818</v>
      </c>
      <c r="L102" s="11" t="str">
        <f t="shared" si="1"/>
        <v>2026-03-12barak.rozenblat@verbit.ai</v>
      </c>
    </row>
    <row r="103" spans="1:12" ht="15" customHeight="1">
      <c r="A103" s="19">
        <f>IF(tblOutreachLog[[#This Row],[Interaction Date]]&lt;&gt;0,ROW()-1,"")</f>
        <v>102</v>
      </c>
      <c r="B103" s="13">
        <v>46093</v>
      </c>
      <c r="C103" s="10" t="s">
        <v>2008</v>
      </c>
      <c r="D103" s="11" t="str">
        <f>IFERROR(INDEX(Contacts!$B:$B,MATCH(C103,Contacts!$F:$F,0))&amp;" "&amp;INDEX(Contacts!$C:$C,MATCH(C103,Contacts!$F:$F,0)),"")</f>
        <v>סיימון רפופורט</v>
      </c>
      <c r="E103" s="14" t="str">
        <f>IFERROR(INDEX(Contacts!$E:$E,MATCH(C103,Contacts!$F:$F,0)),"")</f>
        <v>ורביט סופטוור בע"מ</v>
      </c>
      <c r="F103" s="9" t="s">
        <v>9</v>
      </c>
      <c r="G103" s="10" t="s">
        <v>2994</v>
      </c>
      <c r="H103" s="10" t="s">
        <v>2105</v>
      </c>
      <c r="I103" s="13"/>
      <c r="J103" s="13"/>
      <c r="K103" s="10" t="s">
        <v>2818</v>
      </c>
      <c r="L103" s="11" t="str">
        <f t="shared" si="1"/>
        <v>2026-03-12simon.rapoport@verbit.ai</v>
      </c>
    </row>
    <row r="104" spans="1:12" ht="15" customHeight="1">
      <c r="A104" s="19">
        <f>IF(tblOutreachLog[[#This Row],[Interaction Date]]&lt;&gt;0,ROW()-1,"")</f>
        <v>103</v>
      </c>
      <c r="B104" s="13">
        <v>46093</v>
      </c>
      <c r="C104" s="10" t="s">
        <v>910</v>
      </c>
      <c r="D104" s="11" t="str">
        <f>IFERROR(INDEX(Contacts!$B:$B,MATCH(C104,Contacts!$F:$F,0))&amp;" "&amp;INDEX(Contacts!$C:$C,MATCH(C104,Contacts!$F:$F,0)),"")</f>
        <v xml:space="preserve"> </v>
      </c>
      <c r="E104" s="14" t="str">
        <f>IFERROR(INDEX(Contacts!$E:$E,MATCH(C104,Contacts!$F:$F,0)),"")</f>
        <v>זטרה אי איי בע״מ</v>
      </c>
      <c r="F104" s="9" t="s">
        <v>9</v>
      </c>
      <c r="G104" s="10" t="s">
        <v>2994</v>
      </c>
      <c r="H104" s="10" t="s">
        <v>2105</v>
      </c>
      <c r="I104" s="13"/>
      <c r="J104" s="13"/>
      <c r="K104" s="10" t="s">
        <v>2818</v>
      </c>
      <c r="L104" s="11" t="str">
        <f t="shared" si="1"/>
        <v>2026-03-12contact@zetta.ai</v>
      </c>
    </row>
    <row r="105" spans="1:12" ht="15" customHeight="1">
      <c r="A105" s="19">
        <f>IF(tblOutreachLog[[#This Row],[Interaction Date]]&lt;&gt;0,ROW()-1,"")</f>
        <v>104</v>
      </c>
      <c r="B105" s="13">
        <v>46093</v>
      </c>
      <c r="C105" s="10" t="s">
        <v>1007</v>
      </c>
      <c r="D105" s="11" t="str">
        <f>IFERROR(INDEX(Contacts!$B:$B,MATCH(C105,Contacts!$F:$F,0))&amp;" "&amp;INDEX(Contacts!$C:$C,MATCH(C105,Contacts!$F:$F,0)),"")</f>
        <v>אלעד בן-זוי</v>
      </c>
      <c r="E105" s="14" t="str">
        <f>IFERROR(INDEX(Contacts!$E:$E,MATCH(C105,Contacts!$F:$F,0)),"")</f>
        <v>טרייג'נט</v>
      </c>
      <c r="F105" s="9" t="s">
        <v>9</v>
      </c>
      <c r="G105" s="10" t="s">
        <v>2994</v>
      </c>
      <c r="H105" s="10" t="s">
        <v>2105</v>
      </c>
      <c r="I105" s="13"/>
      <c r="J105" s="13"/>
      <c r="K105" s="10" t="s">
        <v>2818</v>
      </c>
      <c r="L105" s="11" t="str">
        <f t="shared" si="1"/>
        <v>2026-03-12elad@traigent.ai</v>
      </c>
    </row>
    <row r="106" spans="1:12" ht="15" customHeight="1">
      <c r="A106" s="19">
        <f>IF(tblOutreachLog[[#This Row],[Interaction Date]]&lt;&gt;0,ROW()-1,"")</f>
        <v>105</v>
      </c>
      <c r="B106" s="13">
        <v>46093</v>
      </c>
      <c r="C106" s="10" t="s">
        <v>1197</v>
      </c>
      <c r="D106" s="11" t="str">
        <f>IFERROR(INDEX(Contacts!$B:$B,MATCH(C106,Contacts!$F:$F,0))&amp;" "&amp;INDEX(Contacts!$C:$C,MATCH(C106,Contacts!$F:$F,0)),"")</f>
        <v xml:space="preserve">שרון </v>
      </c>
      <c r="E106" s="14" t="str">
        <f>IFERROR(INDEX(Contacts!$E:$E,MATCH(C106,Contacts!$F:$F,0)),"")</f>
        <v>ידע מחקר ופיתוח</v>
      </c>
      <c r="F106" s="9" t="s">
        <v>9</v>
      </c>
      <c r="G106" s="10" t="s">
        <v>2994</v>
      </c>
      <c r="H106" s="10" t="s">
        <v>2105</v>
      </c>
      <c r="I106" s="13"/>
      <c r="J106" s="13"/>
      <c r="K106" s="10" t="s">
        <v>2818</v>
      </c>
      <c r="L106" s="11" t="str">
        <f t="shared" si="1"/>
        <v>2026-03-12info.yeda@weizmann.ac.il</v>
      </c>
    </row>
    <row r="107" spans="1:12" ht="15" customHeight="1">
      <c r="A107" s="19">
        <f>IF(tblOutreachLog[[#This Row],[Interaction Date]]&lt;&gt;0,ROW()-1,"")</f>
        <v>106</v>
      </c>
      <c r="B107" s="13">
        <v>46093</v>
      </c>
      <c r="C107" s="10" t="s">
        <v>2009</v>
      </c>
      <c r="D107" s="11" t="str">
        <f>IFERROR(INDEX(Contacts!$B:$B,MATCH(C107,Contacts!$F:$F,0))&amp;" "&amp;INDEX(Contacts!$C:$C,MATCH(C107,Contacts!$F:$F,0)),"")</f>
        <v>אליק צ'פניק</v>
      </c>
      <c r="E107" s="14" t="str">
        <f>IFERROR(INDEX(Contacts!$E:$E,MATCH(C107,Contacts!$F:$F,0)),"")</f>
        <v>ידע מחקר ופיתוח</v>
      </c>
      <c r="F107" s="9" t="s">
        <v>9</v>
      </c>
      <c r="G107" s="10" t="s">
        <v>2994</v>
      </c>
      <c r="H107" s="10" t="s">
        <v>2105</v>
      </c>
      <c r="I107" s="13"/>
      <c r="J107" s="13"/>
      <c r="K107" s="10" t="s">
        <v>2818</v>
      </c>
      <c r="L107" s="11" t="str">
        <f t="shared" si="1"/>
        <v>2026-03-12elik.chapnik@weizmann.ac.il</v>
      </c>
    </row>
    <row r="108" spans="1:12" ht="15" customHeight="1">
      <c r="A108" s="19">
        <f>IF(tblOutreachLog[[#This Row],[Interaction Date]]&lt;&gt;0,ROW()-1,"")</f>
        <v>107</v>
      </c>
      <c r="B108" s="13">
        <v>46093</v>
      </c>
      <c r="C108" s="10" t="s">
        <v>1465</v>
      </c>
      <c r="D108" s="11" t="str">
        <f>IFERROR(INDEX(Contacts!$B:$B,MATCH(C108,Contacts!$F:$F,0))&amp;" "&amp;INDEX(Contacts!$C:$C,MATCH(C108,Contacts!$F:$F,0)),"")</f>
        <v>משה רינס</v>
      </c>
      <c r="E108" s="14" t="str">
        <f>IFERROR(INDEX(Contacts!$E:$E,MATCH(C108,Contacts!$F:$F,0)),"")</f>
        <v>לאבס 02 שותפות מוגבלת</v>
      </c>
      <c r="F108" s="9" t="s">
        <v>9</v>
      </c>
      <c r="G108" s="10" t="s">
        <v>2994</v>
      </c>
      <c r="H108" s="10" t="s">
        <v>2105</v>
      </c>
      <c r="I108" s="13"/>
      <c r="J108" s="13"/>
      <c r="K108" s="10" t="s">
        <v>2818</v>
      </c>
      <c r="L108" s="11" t="str">
        <f t="shared" si="1"/>
        <v>2026-03-12moshe@labs02.com</v>
      </c>
    </row>
    <row r="109" spans="1:12" ht="15" customHeight="1">
      <c r="A109" s="19">
        <f>IF(tblOutreachLog[[#This Row],[Interaction Date]]&lt;&gt;0,ROW()-1,"")</f>
        <v>108</v>
      </c>
      <c r="B109" s="13">
        <v>46093</v>
      </c>
      <c r="C109" s="10" t="s">
        <v>2011</v>
      </c>
      <c r="D109" s="11" t="str">
        <f>IFERROR(INDEX(Contacts!$B:$B,MATCH(C109,Contacts!$F:$F,0))&amp;" "&amp;INDEX(Contacts!$C:$C,MATCH(C109,Contacts!$F:$F,0)),"")</f>
        <v>מנחם שפר</v>
      </c>
      <c r="E109" s="14" t="str">
        <f>IFERROR(INDEX(Contacts!$E:$E,MATCH(C109,Contacts!$F:$F,0)),"")</f>
        <v>לאבס 02 שותפות מוגבלת</v>
      </c>
      <c r="F109" s="9" t="s">
        <v>9</v>
      </c>
      <c r="G109" s="10" t="s">
        <v>2994</v>
      </c>
      <c r="H109" s="10" t="s">
        <v>2105</v>
      </c>
      <c r="I109" s="13"/>
      <c r="J109" s="13"/>
      <c r="K109" s="10" t="s">
        <v>2818</v>
      </c>
      <c r="L109" s="11" t="str">
        <f t="shared" si="1"/>
        <v>2026-03-12menachem.shefer@labs02.com</v>
      </c>
    </row>
    <row r="110" spans="1:12" ht="15" customHeight="1">
      <c r="A110" s="19">
        <f>IF(tblOutreachLog[[#This Row],[Interaction Date]]&lt;&gt;0,ROW()-1,"")</f>
        <v>109</v>
      </c>
      <c r="B110" s="13">
        <v>46093</v>
      </c>
      <c r="C110" s="10" t="s">
        <v>930</v>
      </c>
      <c r="D110" s="11" t="str">
        <f>IFERROR(INDEX(Contacts!$B:$B,MATCH(C110,Contacts!$F:$F,0))&amp;" "&amp;INDEX(Contacts!$C:$C,MATCH(C110,Contacts!$F:$F,0)),"")</f>
        <v>דני שוהם</v>
      </c>
      <c r="E110" s="14" t="str">
        <f>IFERROR(INDEX(Contacts!$E:$E,MATCH(C110,Contacts!$F:$F,0)),"")</f>
        <v>מ.שהם סחר בע"מ</v>
      </c>
      <c r="F110" s="9" t="s">
        <v>9</v>
      </c>
      <c r="G110" s="10" t="s">
        <v>2994</v>
      </c>
      <c r="H110" s="10" t="s">
        <v>2105</v>
      </c>
      <c r="I110" s="13"/>
      <c r="J110" s="13"/>
      <c r="K110" s="10" t="s">
        <v>2818</v>
      </c>
      <c r="L110" s="11" t="str">
        <f t="shared" si="1"/>
        <v>2026-03-12danny@mshoham.co.il</v>
      </c>
    </row>
    <row r="111" spans="1:12" ht="15" customHeight="1">
      <c r="A111" s="19">
        <f>IF(tblOutreachLog[[#This Row],[Interaction Date]]&lt;&gt;0,ROW()-1,"")</f>
        <v>110</v>
      </c>
      <c r="B111" s="13">
        <v>46093</v>
      </c>
      <c r="C111" s="10" t="s">
        <v>1435</v>
      </c>
      <c r="D111" s="11" t="str">
        <f>IFERROR(INDEX(Contacts!$B:$B,MATCH(C111,Contacts!$F:$F,0))&amp;" "&amp;INDEX(Contacts!$C:$C,MATCH(C111,Contacts!$F:$F,0)),"")</f>
        <v xml:space="preserve">מיכה </v>
      </c>
      <c r="E111" s="14" t="str">
        <f>IFERROR(INDEX(Contacts!$E:$E,MATCH(C111,Contacts!$F:$F,0)),"")</f>
        <v>מ.שהם סחר בע"מ</v>
      </c>
      <c r="F111" s="9" t="s">
        <v>9</v>
      </c>
      <c r="G111" s="10" t="s">
        <v>2994</v>
      </c>
      <c r="H111" s="10" t="s">
        <v>2105</v>
      </c>
      <c r="I111" s="13"/>
      <c r="J111" s="13"/>
      <c r="K111" s="10" t="s">
        <v>2818</v>
      </c>
      <c r="L111" s="11" t="str">
        <f t="shared" si="1"/>
        <v>2026-03-12micha@mshoham.co.il</v>
      </c>
    </row>
    <row r="112" spans="1:12" ht="15" customHeight="1">
      <c r="A112" s="19">
        <f>IF(tblOutreachLog[[#This Row],[Interaction Date]]&lt;&gt;0,ROW()-1,"")</f>
        <v>111</v>
      </c>
      <c r="B112" s="13">
        <v>46093</v>
      </c>
      <c r="C112" s="10" t="s">
        <v>2013</v>
      </c>
      <c r="D112" s="11" t="str">
        <f>IFERROR(INDEX(Contacts!$B:$B,MATCH(C112,Contacts!$F:$F,0))&amp;" "&amp;INDEX(Contacts!$C:$C,MATCH(C112,Contacts!$F:$F,0)),"")</f>
        <v>איציק נוסם</v>
      </c>
      <c r="E112" s="14" t="str">
        <f>IFERROR(INDEX(Contacts!$E:$E,MATCH(C112,Contacts!$F:$F,0)),"")</f>
        <v>מ.שהם סחר בע"מ</v>
      </c>
      <c r="F112" s="9" t="s">
        <v>9</v>
      </c>
      <c r="G112" s="10" t="s">
        <v>2994</v>
      </c>
      <c r="H112" s="10" t="s">
        <v>2105</v>
      </c>
      <c r="I112" s="13"/>
      <c r="J112" s="13"/>
      <c r="K112" s="10" t="s">
        <v>2818</v>
      </c>
      <c r="L112" s="11" t="str">
        <f t="shared" si="1"/>
        <v>2026-03-12itzik@mshoham.co.il</v>
      </c>
    </row>
    <row r="113" spans="1:12" ht="15" customHeight="1">
      <c r="A113" s="19">
        <f>IF(tblOutreachLog[[#This Row],[Interaction Date]]&lt;&gt;0,ROW()-1,"")</f>
        <v>112</v>
      </c>
      <c r="B113" s="13">
        <v>46093</v>
      </c>
      <c r="C113" s="10" t="s">
        <v>1748</v>
      </c>
      <c r="D113" s="11" t="str">
        <f>IFERROR(INDEX(Contacts!$B:$B,MATCH(C113,Contacts!$F:$F,0))&amp;" "&amp;INDEX(Contacts!$C:$C,MATCH(C113,Contacts!$F:$F,0)),"")</f>
        <v/>
      </c>
      <c r="E113" s="14" t="str">
        <f>IFERROR(INDEX(Contacts!$E:$E,MATCH(C113,Contacts!$F:$F,0)),"")</f>
        <v/>
      </c>
      <c r="F113" s="9" t="s">
        <v>9</v>
      </c>
      <c r="G113" s="10" t="s">
        <v>2994</v>
      </c>
      <c r="H113" s="10" t="s">
        <v>2105</v>
      </c>
      <c r="I113" s="13"/>
      <c r="J113" s="13"/>
      <c r="K113" s="10" t="s">
        <v>2818</v>
      </c>
      <c r="L113" s="11" t="str">
        <f t="shared" si="1"/>
        <v>2026-03-12shai@medx.co.il</v>
      </c>
    </row>
    <row r="114" spans="1:12" ht="15" customHeight="1">
      <c r="A114" s="19">
        <f>IF(tblOutreachLog[[#This Row],[Interaction Date]]&lt;&gt;0,ROW()-1,"")</f>
        <v>113</v>
      </c>
      <c r="B114" s="13">
        <v>46093</v>
      </c>
      <c r="C114" s="10" t="s">
        <v>2014</v>
      </c>
      <c r="D114" s="11" t="str">
        <f>IFERROR(INDEX(Contacts!$B:$B,MATCH(C114,Contacts!$F:$F,0))&amp;" "&amp;INDEX(Contacts!$C:$C,MATCH(C114,Contacts!$F:$F,0)),"")</f>
        <v/>
      </c>
      <c r="E114" s="14" t="str">
        <f>IFERROR(INDEX(Contacts!$E:$E,MATCH(C114,Contacts!$F:$F,0)),"")</f>
        <v/>
      </c>
      <c r="F114" s="9" t="s">
        <v>9</v>
      </c>
      <c r="G114" s="10" t="s">
        <v>2994</v>
      </c>
      <c r="H114" s="10" t="s">
        <v>2105</v>
      </c>
      <c r="I114" s="13"/>
      <c r="J114" s="13"/>
      <c r="K114" s="10" t="s">
        <v>2818</v>
      </c>
      <c r="L114" s="11" t="str">
        <f t="shared" si="1"/>
        <v>2026-03-12gal.atarot@medx.co.il</v>
      </c>
    </row>
    <row r="115" spans="1:12" ht="15" customHeight="1">
      <c r="A115" s="19">
        <f>IF(tblOutreachLog[[#This Row],[Interaction Date]]&lt;&gt;0,ROW()-1,"")</f>
        <v>114</v>
      </c>
      <c r="B115" s="13">
        <v>46093</v>
      </c>
      <c r="C115" s="10" t="s">
        <v>1684</v>
      </c>
      <c r="D115" s="11" t="str">
        <f>IFERROR(INDEX(Contacts!$B:$B,MATCH(C115,Contacts!$F:$F,0))&amp;" "&amp;INDEX(Contacts!$C:$C,MATCH(C115,Contacts!$F:$F,0)),"")</f>
        <v xml:space="preserve">רננה </v>
      </c>
      <c r="E115" s="14" t="str">
        <f>IFERROR(INDEX(Contacts!$E:$E,MATCH(C115,Contacts!$F:$F,0)),"")</f>
        <v>מדעית שערי צדק בע"מ</v>
      </c>
      <c r="F115" s="9" t="s">
        <v>9</v>
      </c>
      <c r="G115" s="10" t="s">
        <v>2994</v>
      </c>
      <c r="H115" s="10" t="s">
        <v>2105</v>
      </c>
      <c r="I115" s="13"/>
      <c r="J115" s="13"/>
      <c r="K115" s="10" t="s">
        <v>2818</v>
      </c>
      <c r="L115" s="11" t="str">
        <f t="shared" si="1"/>
        <v>2026-03-12renanao@szmc.org.il</v>
      </c>
    </row>
    <row r="116" spans="1:12" ht="15" customHeight="1">
      <c r="A116" s="19">
        <f>IF(tblOutreachLog[[#This Row],[Interaction Date]]&lt;&gt;0,ROW()-1,"")</f>
        <v>115</v>
      </c>
      <c r="B116" s="13">
        <v>46093</v>
      </c>
      <c r="C116" s="10" t="s">
        <v>1700</v>
      </c>
      <c r="D116" s="11" t="str">
        <f>IFERROR(INDEX(Contacts!$B:$B,MATCH(C116,Contacts!$F:$F,0))&amp;" "&amp;INDEX(Contacts!$C:$C,MATCH(C116,Contacts!$F:$F,0)),"")</f>
        <v/>
      </c>
      <c r="E116" s="14" t="str">
        <f>IFERROR(INDEX(Contacts!$E:$E,MATCH(C116,Contacts!$F:$F,0)),"")</f>
        <v/>
      </c>
      <c r="F116" s="9" t="s">
        <v>9</v>
      </c>
      <c r="G116" s="10" t="s">
        <v>2994</v>
      </c>
      <c r="H116" s="10" t="s">
        <v>2105</v>
      </c>
      <c r="I116" s="13"/>
      <c r="J116" s="13"/>
      <c r="K116" s="10" t="s">
        <v>2818</v>
      </c>
      <c r="L116" s="11" t="str">
        <f t="shared" si="1"/>
        <v>2026-03-12rona.s@t3.technion.ac.il</v>
      </c>
    </row>
    <row r="117" spans="1:12" ht="15" customHeight="1">
      <c r="A117" s="19">
        <f>IF(tblOutreachLog[[#This Row],[Interaction Date]]&lt;&gt;0,ROW()-1,"")</f>
        <v>116</v>
      </c>
      <c r="B117" s="13">
        <v>46093</v>
      </c>
      <c r="C117" s="10" t="s">
        <v>2016</v>
      </c>
      <c r="D117" s="11" t="str">
        <f>IFERROR(INDEX(Contacts!$B:$B,MATCH(C117,Contacts!$F:$F,0))&amp;" "&amp;INDEX(Contacts!$C:$C,MATCH(C117,Contacts!$F:$F,0)),"")</f>
        <v>נועם אדיר</v>
      </c>
      <c r="E117" s="14" t="str">
        <f>IFERROR(INDEX(Contacts!$E:$E,MATCH(C117,Contacts!$F:$F,0)),"")</f>
        <v>מוסד הטכניון למחקר ופיתוח בע"מ</v>
      </c>
      <c r="F117" s="9" t="s">
        <v>9</v>
      </c>
      <c r="G117" s="10" t="s">
        <v>2994</v>
      </c>
      <c r="H117" s="10" t="s">
        <v>2105</v>
      </c>
      <c r="I117" s="13"/>
      <c r="J117" s="13"/>
      <c r="K117" s="10" t="s">
        <v>2818</v>
      </c>
      <c r="L117" s="11" t="str">
        <f t="shared" si="1"/>
        <v>2026-03-12evpr@technion.ac.il</v>
      </c>
    </row>
    <row r="118" spans="1:12" ht="15" customHeight="1">
      <c r="A118" s="19">
        <f>IF(tblOutreachLog[[#This Row],[Interaction Date]]&lt;&gt;0,ROW()-1,"")</f>
        <v>117</v>
      </c>
      <c r="B118" s="13">
        <v>46093</v>
      </c>
      <c r="C118" s="10" t="s">
        <v>1497</v>
      </c>
      <c r="D118" s="11" t="str">
        <f>IFERROR(INDEX(Contacts!$B:$B,MATCH(C118,Contacts!$F:$F,0))&amp;" "&amp;INDEX(Contacts!$C:$C,MATCH(C118,Contacts!$F:$F,0)),"")</f>
        <v xml:space="preserve">ניקי </v>
      </c>
      <c r="E118" s="14" t="str">
        <f>IFERROR(INDEX(Contacts!$E:$E,MATCH(C118,Contacts!$F:$F,0)),"")</f>
        <v>מור - מנכל מכון מור</v>
      </c>
      <c r="F118" s="9" t="s">
        <v>9</v>
      </c>
      <c r="G118" s="10" t="s">
        <v>2994</v>
      </c>
      <c r="H118" s="10" t="s">
        <v>2105</v>
      </c>
      <c r="I118" s="13"/>
      <c r="J118" s="13"/>
      <c r="K118" s="10" t="s">
        <v>2818</v>
      </c>
      <c r="L118" s="11" t="str">
        <f t="shared" si="1"/>
        <v>2026-03-12nickyl@mor.org.il</v>
      </c>
    </row>
    <row r="119" spans="1:12" ht="15" customHeight="1">
      <c r="A119" s="19">
        <f>IF(tblOutreachLog[[#This Row],[Interaction Date]]&lt;&gt;0,ROW()-1,"")</f>
        <v>118</v>
      </c>
      <c r="B119" s="13">
        <v>46093</v>
      </c>
      <c r="C119" s="10" t="s">
        <v>1646</v>
      </c>
      <c r="D119" s="11" t="str">
        <f>IFERROR(INDEX(Contacts!$B:$B,MATCH(C119,Contacts!$F:$F,0))&amp;" "&amp;INDEX(Contacts!$C:$C,MATCH(C119,Contacts!$F:$F,0)),"")</f>
        <v>פיני בן לזר</v>
      </c>
      <c r="E119" s="14" t="str">
        <f>IFERROR(INDEX(Contacts!$E:$E,MATCH(C119,Contacts!$F:$F,0)),"")</f>
        <v>מור יישום מחקרים בע"מ</v>
      </c>
      <c r="F119" s="9" t="s">
        <v>9</v>
      </c>
      <c r="G119" s="10" t="s">
        <v>2994</v>
      </c>
      <c r="H119" s="10" t="s">
        <v>2105</v>
      </c>
      <c r="I119" s="13"/>
      <c r="J119" s="13"/>
      <c r="K119" s="10" t="s">
        <v>2818</v>
      </c>
      <c r="L119" s="11" t="str">
        <f t="shared" si="1"/>
        <v>2026-03-12pini@mor-research.com</v>
      </c>
    </row>
    <row r="120" spans="1:12" ht="15" customHeight="1">
      <c r="A120" s="19">
        <f>IF(tblOutreachLog[[#This Row],[Interaction Date]]&lt;&gt;0,ROW()-1,"")</f>
        <v>119</v>
      </c>
      <c r="B120" s="13">
        <v>46093</v>
      </c>
      <c r="C120" s="10" t="s">
        <v>2018</v>
      </c>
      <c r="D120" s="11" t="str">
        <f>IFERROR(INDEX(Contacts!$B:$B,MATCH(C120,Contacts!$F:$F,0))&amp;" "&amp;INDEX(Contacts!$C:$C,MATCH(C120,Contacts!$F:$F,0)),"")</f>
        <v>שי מרכוס</v>
      </c>
      <c r="E120" s="14" t="str">
        <f>IFERROR(INDEX(Contacts!$E:$E,MATCH(C120,Contacts!$F:$F,0)),"")</f>
        <v>מור יישום מחקרים בע"מ</v>
      </c>
      <c r="F120" s="9" t="s">
        <v>9</v>
      </c>
      <c r="G120" s="10" t="s">
        <v>2994</v>
      </c>
      <c r="H120" s="10" t="s">
        <v>2105</v>
      </c>
      <c r="I120" s="13"/>
      <c r="J120" s="13"/>
      <c r="K120" s="10" t="s">
        <v>2818</v>
      </c>
      <c r="L120" s="11" t="str">
        <f t="shared" si="1"/>
        <v>2026-03-12shay.marcus@mor-research.com</v>
      </c>
    </row>
    <row r="121" spans="1:12" ht="15" customHeight="1">
      <c r="A121" s="19">
        <f>IF(tblOutreachLog[[#This Row],[Interaction Date]]&lt;&gt;0,ROW()-1,"")</f>
        <v>120</v>
      </c>
      <c r="B121" s="13">
        <v>46093</v>
      </c>
      <c r="C121" s="10" t="s">
        <v>1229</v>
      </c>
      <c r="D121" s="11" t="str">
        <f>IFERROR(INDEX(Contacts!$B:$B,MATCH(C121,Contacts!$F:$F,0))&amp;" "&amp;INDEX(Contacts!$C:$C,MATCH(C121,Contacts!$F:$F,0)),"")</f>
        <v xml:space="preserve"> </v>
      </c>
      <c r="E121" s="14" t="str">
        <f>IFERROR(INDEX(Contacts!$E:$E,MATCH(C121,Contacts!$F:$F,0)),"")</f>
        <v>מימד דיאגנוסטיקס בע"מ</v>
      </c>
      <c r="F121" s="9" t="s">
        <v>9</v>
      </c>
      <c r="G121" s="10" t="s">
        <v>2994</v>
      </c>
      <c r="H121" s="10" t="s">
        <v>2105</v>
      </c>
      <c r="I121" s="13"/>
      <c r="J121" s="13"/>
      <c r="K121" s="10" t="s">
        <v>2818</v>
      </c>
      <c r="L121" s="11" t="str">
        <f t="shared" si="1"/>
        <v>2026-03-12info@me-med.com</v>
      </c>
    </row>
    <row r="122" spans="1:12" ht="15" customHeight="1">
      <c r="A122" s="19">
        <f>IF(tblOutreachLog[[#This Row],[Interaction Date]]&lt;&gt;0,ROW()-1,"")</f>
        <v>121</v>
      </c>
      <c r="B122" s="13">
        <v>46093</v>
      </c>
      <c r="C122" s="10" t="s">
        <v>2020</v>
      </c>
      <c r="D122" s="11" t="str">
        <f>IFERROR(INDEX(Contacts!$B:$B,MATCH(C122,Contacts!$F:$F,0))&amp;" "&amp;INDEX(Contacts!$C:$C,MATCH(C122,Contacts!$F:$F,0)),"")</f>
        <v>ערן עדן</v>
      </c>
      <c r="E122" s="14" t="str">
        <f>IFERROR(INDEX(Contacts!$E:$E,MATCH(C122,Contacts!$F:$F,0)),"")</f>
        <v>מימד דיאגנוסטיקס בע"מ</v>
      </c>
      <c r="F122" s="9" t="s">
        <v>9</v>
      </c>
      <c r="G122" s="10" t="s">
        <v>2994</v>
      </c>
      <c r="H122" s="10" t="s">
        <v>2105</v>
      </c>
      <c r="I122" s="13"/>
      <c r="J122" s="13"/>
      <c r="K122" s="10" t="s">
        <v>2818</v>
      </c>
      <c r="L122" s="11" t="str">
        <f t="shared" si="1"/>
        <v>2026-03-12eran.eden@me-med.com</v>
      </c>
    </row>
    <row r="123" spans="1:12" ht="15" customHeight="1">
      <c r="A123" s="19">
        <f>IF(tblOutreachLog[[#This Row],[Interaction Date]]&lt;&gt;0,ROW()-1,"")</f>
        <v>122</v>
      </c>
      <c r="B123" s="13">
        <v>46093</v>
      </c>
      <c r="C123" s="10" t="s">
        <v>1328</v>
      </c>
      <c r="D123" s="11" t="str">
        <f>IFERROR(INDEX(Contacts!$B:$B,MATCH(C123,Contacts!$F:$F,0))&amp;" "&amp;INDEX(Contacts!$C:$C,MATCH(C123,Contacts!$F:$F,0)),"")</f>
        <v>כפיר עובד</v>
      </c>
      <c r="E123" s="14" t="str">
        <f>IFERROR(INDEX(Contacts!$E:$E,MATCH(C123,Contacts!$F:$F,0)),"")</f>
        <v>מימד דיאגנוסטיקס בע"מ</v>
      </c>
      <c r="F123" s="9" t="s">
        <v>9</v>
      </c>
      <c r="G123" s="10" t="s">
        <v>2994</v>
      </c>
      <c r="H123" s="10" t="s">
        <v>2105</v>
      </c>
      <c r="I123" s="13"/>
      <c r="J123" s="13"/>
      <c r="K123" s="10" t="s">
        <v>2818</v>
      </c>
      <c r="L123" s="11" t="str">
        <f t="shared" si="1"/>
        <v>2026-03-12kfir.oved@me-med.com</v>
      </c>
    </row>
    <row r="124" spans="1:12" ht="15" customHeight="1">
      <c r="A124" s="19">
        <f>IF(tblOutreachLog[[#This Row],[Interaction Date]]&lt;&gt;0,ROW()-1,"")</f>
        <v>123</v>
      </c>
      <c r="B124" s="13">
        <v>46093</v>
      </c>
      <c r="C124" s="10" t="s">
        <v>1333</v>
      </c>
      <c r="D124" s="11" t="str">
        <f>IFERROR(INDEX(Contacts!$B:$B,MATCH(C124,Contacts!$F:$F,0))&amp;" "&amp;INDEX(Contacts!$C:$C,MATCH(C124,Contacts!$F:$F,0)),"")</f>
        <v>שמואל אסאולין</v>
      </c>
      <c r="E124" s="14" t="str">
        <f>IFERROR(INDEX(Contacts!$E:$E,MATCH(C124,Contacts!$F:$F,0)),"")</f>
        <v>מינהל המחקר החקלאי מכון וולקני</v>
      </c>
      <c r="F124" s="9" t="s">
        <v>9</v>
      </c>
      <c r="G124" s="10" t="s">
        <v>2994</v>
      </c>
      <c r="H124" s="10" t="s">
        <v>2105</v>
      </c>
      <c r="I124" s="13"/>
      <c r="J124" s="13"/>
      <c r="K124" s="10" t="s">
        <v>2818</v>
      </c>
      <c r="L124" s="11" t="str">
        <f t="shared" si="1"/>
        <v>2026-03-12kidum@volcani.agri.gov.il</v>
      </c>
    </row>
    <row r="125" spans="1:12" ht="15" customHeight="1">
      <c r="A125" s="19">
        <f>IF(tblOutreachLog[[#This Row],[Interaction Date]]&lt;&gt;0,ROW()-1,"")</f>
        <v>124</v>
      </c>
      <c r="B125" s="13">
        <v>46093</v>
      </c>
      <c r="C125" s="10" t="s">
        <v>2022</v>
      </c>
      <c r="D125" s="11" t="str">
        <f>IFERROR(INDEX(Contacts!$B:$B,MATCH(C125,Contacts!$F:$F,0))&amp;" "&amp;INDEX(Contacts!$C:$C,MATCH(C125,Contacts!$F:$F,0)),"")</f>
        <v>בני חפץ</v>
      </c>
      <c r="E125" s="14" t="str">
        <f>IFERROR(INDEX(Contacts!$E:$E,MATCH(C125,Contacts!$F:$F,0)),"")</f>
        <v>מינהל המחקר החקלאי מכון וולקני</v>
      </c>
      <c r="F125" s="9" t="s">
        <v>9</v>
      </c>
      <c r="G125" s="10" t="s">
        <v>2994</v>
      </c>
      <c r="H125" s="10" t="s">
        <v>2105</v>
      </c>
      <c r="I125" s="13"/>
      <c r="J125" s="13"/>
      <c r="K125" s="10" t="s">
        <v>2818</v>
      </c>
      <c r="L125" s="11" t="str">
        <f t="shared" si="1"/>
        <v>2026-03-12benny.chefetz@volcani.agri.gov.il</v>
      </c>
    </row>
    <row r="126" spans="1:12" ht="15" customHeight="1">
      <c r="A126" s="19">
        <f>IF(tblOutreachLog[[#This Row],[Interaction Date]]&lt;&gt;0,ROW()-1,"")</f>
        <v>125</v>
      </c>
      <c r="B126" s="13">
        <v>46093</v>
      </c>
      <c r="C126" s="10" t="s">
        <v>1230</v>
      </c>
      <c r="D126" s="11" t="str">
        <f>IFERROR(INDEX(Contacts!$B:$B,MATCH(C126,Contacts!$F:$F,0))&amp;" "&amp;INDEX(Contacts!$C:$C,MATCH(C126,Contacts!$F:$F,0)),"")</f>
        <v xml:space="preserve"> </v>
      </c>
      <c r="E126" s="14" t="str">
        <f>IFERROR(INDEX(Contacts!$E:$E,MATCH(C126,Contacts!$F:$F,0)),"")</f>
        <v>מיקרובוט מדיקל בע"מ</v>
      </c>
      <c r="F126" s="9" t="s">
        <v>9</v>
      </c>
      <c r="G126" s="10" t="s">
        <v>2994</v>
      </c>
      <c r="H126" s="10" t="s">
        <v>2105</v>
      </c>
      <c r="I126" s="13"/>
      <c r="J126" s="13"/>
      <c r="K126" s="10" t="s">
        <v>2818</v>
      </c>
      <c r="L126" s="11" t="str">
        <f t="shared" si="1"/>
        <v>2026-03-12info@microbotmedical.com</v>
      </c>
    </row>
    <row r="127" spans="1:12" ht="15" customHeight="1">
      <c r="A127" s="19">
        <f>IF(tblOutreachLog[[#This Row],[Interaction Date]]&lt;&gt;0,ROW()-1,"")</f>
        <v>126</v>
      </c>
      <c r="B127" s="13">
        <v>46093</v>
      </c>
      <c r="C127" s="10" t="s">
        <v>2024</v>
      </c>
      <c r="D127" s="11" t="str">
        <f>IFERROR(INDEX(Contacts!$B:$B,MATCH(C127,Contacts!$F:$F,0))&amp;" "&amp;INDEX(Contacts!$C:$C,MATCH(C127,Contacts!$F:$F,0)),"")</f>
        <v>הראל גדות</v>
      </c>
      <c r="E127" s="14" t="str">
        <f>IFERROR(INDEX(Contacts!$E:$E,MATCH(C127,Contacts!$F:$F,0)),"")</f>
        <v>מיקרובוט מדיקל בע"מ</v>
      </c>
      <c r="F127" s="9" t="s">
        <v>9</v>
      </c>
      <c r="G127" s="10" t="s">
        <v>2994</v>
      </c>
      <c r="H127" s="10" t="s">
        <v>2105</v>
      </c>
      <c r="I127" s="13"/>
      <c r="J127" s="13"/>
      <c r="K127" s="10" t="s">
        <v>2818</v>
      </c>
      <c r="L127" s="11" t="str">
        <f t="shared" si="1"/>
        <v>2026-03-12harel.gadot@microbotmedical.com</v>
      </c>
    </row>
    <row r="128" spans="1:12" ht="15" customHeight="1">
      <c r="A128" s="19">
        <f>IF(tblOutreachLog[[#This Row],[Interaction Date]]&lt;&gt;0,ROW()-1,"")</f>
        <v>127</v>
      </c>
      <c r="B128" s="13">
        <v>46093</v>
      </c>
      <c r="C128" s="10" t="s">
        <v>2025</v>
      </c>
      <c r="D128" s="11" t="str">
        <f>IFERROR(INDEX(Contacts!$B:$B,MATCH(C128,Contacts!$F:$F,0))&amp;" "&amp;INDEX(Contacts!$C:$C,MATCH(C128,Contacts!$F:$F,0)),"")</f>
        <v>סיימון שרון</v>
      </c>
      <c r="E128" s="14" t="str">
        <f>IFERROR(INDEX(Contacts!$E:$E,MATCH(C128,Contacts!$F:$F,0)),"")</f>
        <v>מיקרובוט מדיקל בע"מ</v>
      </c>
      <c r="F128" s="9" t="s">
        <v>9</v>
      </c>
      <c r="G128" s="10" t="s">
        <v>2994</v>
      </c>
      <c r="H128" s="10" t="s">
        <v>2105</v>
      </c>
      <c r="I128" s="13"/>
      <c r="J128" s="13"/>
      <c r="K128" s="10" t="s">
        <v>2818</v>
      </c>
      <c r="L128" s="11" t="str">
        <f t="shared" si="1"/>
        <v>2026-03-12simon.sharon@microbotmedical.com</v>
      </c>
    </row>
    <row r="129" spans="1:12" ht="15" customHeight="1">
      <c r="A129" s="19">
        <f>IF(tblOutreachLog[[#This Row],[Interaction Date]]&lt;&gt;0,ROW()-1,"")</f>
        <v>128</v>
      </c>
      <c r="B129" s="13">
        <v>46093</v>
      </c>
      <c r="C129" s="10" t="s">
        <v>868</v>
      </c>
      <c r="D129" s="11" t="str">
        <f>IFERROR(INDEX(Contacts!$B:$B,MATCH(C129,Contacts!$F:$F,0))&amp;" "&amp;INDEX(Contacts!$C:$C,MATCH(C129,Contacts!$F:$F,0)),"")</f>
        <v>אילת גורן</v>
      </c>
      <c r="E129" s="14" t="str">
        <f>IFERROR(INDEX(Contacts!$E:$E,MATCH(C129,Contacts!$F:$F,0)),"")</f>
        <v>מרכז החדשנות דרום בע"מ</v>
      </c>
      <c r="F129" s="9" t="s">
        <v>9</v>
      </c>
      <c r="G129" s="10" t="s">
        <v>2994</v>
      </c>
      <c r="H129" s="10" t="s">
        <v>2105</v>
      </c>
      <c r="I129" s="13"/>
      <c r="J129" s="13"/>
      <c r="K129" s="10" t="s">
        <v>2818</v>
      </c>
      <c r="L129" s="11" t="str">
        <f t="shared" si="1"/>
        <v>2026-03-12Ayelet@darom.life</v>
      </c>
    </row>
    <row r="130" spans="1:12" ht="15" customHeight="1">
      <c r="A130" s="19">
        <f>IF(tblOutreachLog[[#This Row],[Interaction Date]]&lt;&gt;0,ROW()-1,"")</f>
        <v>129</v>
      </c>
      <c r="B130" s="13">
        <v>46093</v>
      </c>
      <c r="C130" s="10" t="s">
        <v>2027</v>
      </c>
      <c r="D130" s="11" t="str">
        <f>IFERROR(INDEX(Contacts!$B:$B,MATCH(C130,Contacts!$F:$F,0))&amp;" "&amp;INDEX(Contacts!$C:$C,MATCH(C130,Contacts!$F:$F,0)),"")</f>
        <v>רן ששון</v>
      </c>
      <c r="E130" s="14" t="str">
        <f>IFERROR(INDEX(Contacts!$E:$E,MATCH(C130,Contacts!$F:$F,0)),"")</f>
        <v>מרכז החדשנות דרום בע"מ</v>
      </c>
      <c r="F130" s="9" t="s">
        <v>9</v>
      </c>
      <c r="G130" s="10" t="s">
        <v>2994</v>
      </c>
      <c r="H130" s="10" t="s">
        <v>2105</v>
      </c>
      <c r="I130" s="13"/>
      <c r="J130" s="13"/>
      <c r="K130" s="10" t="s">
        <v>2818</v>
      </c>
      <c r="L130" s="11" t="str">
        <f t="shared" ref="L130:L193" si="2">TEXT(B130,"YYYY-MM-DD")&amp;C130</f>
        <v>2026-03-12ran@darom.life</v>
      </c>
    </row>
    <row r="131" spans="1:12" ht="15" customHeight="1">
      <c r="A131" s="19">
        <f>IF(tblOutreachLog[[#This Row],[Interaction Date]]&lt;&gt;0,ROW()-1,"")</f>
        <v>130</v>
      </c>
      <c r="B131" s="13">
        <v>46093</v>
      </c>
      <c r="C131" s="10" t="s">
        <v>1210</v>
      </c>
      <c r="D131" s="11" t="str">
        <f>IFERROR(INDEX(Contacts!$B:$B,MATCH(C131,Contacts!$F:$F,0))&amp;" "&amp;INDEX(Contacts!$C:$C,MATCH(C131,Contacts!$F:$F,0)),"")</f>
        <v xml:space="preserve"> </v>
      </c>
      <c r="E131" s="14" t="str">
        <f>IFERROR(INDEX(Contacts!$E:$E,MATCH(C131,Contacts!$F:$F,0)),"")</f>
        <v>מרכז החדשנות דרום בע"מ</v>
      </c>
      <c r="F131" s="9" t="s">
        <v>9</v>
      </c>
      <c r="G131" s="10" t="s">
        <v>2994</v>
      </c>
      <c r="H131" s="10" t="s">
        <v>2105</v>
      </c>
      <c r="I131" s="13"/>
      <c r="J131" s="13"/>
      <c r="K131" s="10" t="s">
        <v>2818</v>
      </c>
      <c r="L131" s="11" t="str">
        <f t="shared" si="2"/>
        <v>2026-03-12info@darom.life</v>
      </c>
    </row>
    <row r="132" spans="1:12" ht="15" customHeight="1">
      <c r="A132" s="19">
        <f>IF(tblOutreachLog[[#This Row],[Interaction Date]]&lt;&gt;0,ROW()-1,"")</f>
        <v>131</v>
      </c>
      <c r="B132" s="13">
        <v>46093</v>
      </c>
      <c r="C132" s="10" t="s">
        <v>1787</v>
      </c>
      <c r="D132" s="11" t="str">
        <f>IFERROR(INDEX(Contacts!$B:$B,MATCH(C132,Contacts!$F:$F,0))&amp;" "&amp;INDEX(Contacts!$C:$C,MATCH(C132,Contacts!$F:$F,0)),"")</f>
        <v>סיני גוהאר באראק</v>
      </c>
      <c r="E132" s="14" t="str">
        <f>IFERROR(INDEX(Contacts!$E:$E,MATCH(C132,Contacts!$F:$F,0)),"")</f>
        <v>מרכז החדשנות לדזרטק ואקלים בעמ</v>
      </c>
      <c r="F132" s="9" t="s">
        <v>9</v>
      </c>
      <c r="G132" s="10" t="s">
        <v>2994</v>
      </c>
      <c r="H132" s="10" t="s">
        <v>2105</v>
      </c>
      <c r="I132" s="13"/>
      <c r="J132" s="13"/>
      <c r="K132" s="10" t="s">
        <v>2818</v>
      </c>
      <c r="L132" s="11" t="str">
        <f t="shared" si="2"/>
        <v>2026-03-12sinaig@gmail.com</v>
      </c>
    </row>
    <row r="133" spans="1:12" ht="15" customHeight="1">
      <c r="A133" s="19">
        <f>IF(tblOutreachLog[[#This Row],[Interaction Date]]&lt;&gt;0,ROW()-1,"")</f>
        <v>132</v>
      </c>
      <c r="B133" s="13">
        <v>46093</v>
      </c>
      <c r="C133" s="10" t="s">
        <v>2029</v>
      </c>
      <c r="D133" s="11" t="str">
        <f>IFERROR(INDEX(Contacts!$B:$B,MATCH(C133,Contacts!$F:$F,0))&amp;" "&amp;INDEX(Contacts!$C:$C,MATCH(C133,Contacts!$F:$F,0)),"")</f>
        <v>סיוון כהן שחרי</v>
      </c>
      <c r="E133" s="14" t="str">
        <f>IFERROR(INDEX(Contacts!$E:$E,MATCH(C133,Contacts!$F:$F,0)),"")</f>
        <v>מרכז החדשנות לדזרטק ואקלים בעמ</v>
      </c>
      <c r="F133" s="9" t="s">
        <v>9</v>
      </c>
      <c r="G133" s="10" t="s">
        <v>2994</v>
      </c>
      <c r="H133" s="10" t="s">
        <v>2105</v>
      </c>
      <c r="I133" s="13"/>
      <c r="J133" s="13"/>
      <c r="K133" s="10" t="s">
        <v>2818</v>
      </c>
      <c r="L133" s="11" t="str">
        <f t="shared" si="2"/>
        <v>2026-03-12sivan.cohen shachari@gmail.com</v>
      </c>
    </row>
    <row r="134" spans="1:12" ht="15" customHeight="1">
      <c r="A134" s="19">
        <f>IF(tblOutreachLog[[#This Row],[Interaction Date]]&lt;&gt;0,ROW()-1,"")</f>
        <v>133</v>
      </c>
      <c r="B134" s="13">
        <v>46093</v>
      </c>
      <c r="C134" s="10" t="s">
        <v>1234</v>
      </c>
      <c r="D134" s="11" t="str">
        <f>IFERROR(INDEX(Contacts!$B:$B,MATCH(C134,Contacts!$F:$F,0))&amp;" "&amp;INDEX(Contacts!$C:$C,MATCH(C134,Contacts!$F:$F,0)),"")</f>
        <v>סופיה מעודה-קוניק</v>
      </c>
      <c r="E134" s="14" t="str">
        <f>IFERROR(INDEX(Contacts!$E:$E,MATCH(C134,Contacts!$F:$F,0)),"")</f>
        <v>מרכז החדשנות נורת' מד בע"מ</v>
      </c>
      <c r="F134" s="9" t="s">
        <v>9</v>
      </c>
      <c r="G134" s="10" t="s">
        <v>2994</v>
      </c>
      <c r="H134" s="10" t="s">
        <v>2105</v>
      </c>
      <c r="I134" s="13"/>
      <c r="J134" s="13"/>
      <c r="K134" s="10" t="s">
        <v>2818</v>
      </c>
      <c r="L134" s="11" t="str">
        <f t="shared" si="2"/>
        <v>2026-03-12info@northmed.tech</v>
      </c>
    </row>
    <row r="135" spans="1:12" ht="15" customHeight="1">
      <c r="A135" s="19">
        <f>IF(tblOutreachLog[[#This Row],[Interaction Date]]&lt;&gt;0,ROW()-1,"")</f>
        <v>134</v>
      </c>
      <c r="B135" s="13">
        <v>46093</v>
      </c>
      <c r="C135" s="10" t="s">
        <v>2031</v>
      </c>
      <c r="D135" s="11" t="str">
        <f>IFERROR(INDEX(Contacts!$B:$B,MATCH(C135,Contacts!$F:$F,0))&amp;" "&amp;INDEX(Contacts!$C:$C,MATCH(C135,Contacts!$F:$F,0)),"")</f>
        <v>אני קאופמן</v>
      </c>
      <c r="E135" s="14" t="str">
        <f>IFERROR(INDEX(Contacts!$E:$E,MATCH(C135,Contacts!$F:$F,0)),"")</f>
        <v>מרכז החדשנות נורת' מד בע"מ</v>
      </c>
      <c r="F135" s="9" t="s">
        <v>9</v>
      </c>
      <c r="G135" s="10" t="s">
        <v>2994</v>
      </c>
      <c r="H135" s="10" t="s">
        <v>2105</v>
      </c>
      <c r="I135" s="13"/>
      <c r="J135" s="13"/>
      <c r="K135" s="10" t="s">
        <v>2818</v>
      </c>
      <c r="L135" s="11" t="str">
        <f t="shared" si="2"/>
        <v>2026-03-12annie@northmed.tech</v>
      </c>
    </row>
    <row r="136" spans="1:12" ht="15" customHeight="1">
      <c r="A136" s="19">
        <f>IF(tblOutreachLog[[#This Row],[Interaction Date]]&lt;&gt;0,ROW()-1,"")</f>
        <v>135</v>
      </c>
      <c r="B136" s="13">
        <v>46093</v>
      </c>
      <c r="C136" s="10" t="s">
        <v>2033</v>
      </c>
      <c r="D136" s="11" t="str">
        <f>IFERROR(INDEX(Contacts!$B:$B,MATCH(C136,Contacts!$F:$F,0))&amp;" "&amp;INDEX(Contacts!$C:$C,MATCH(C136,Contacts!$F:$F,0)),"")</f>
        <v>רמי שינאווי</v>
      </c>
      <c r="E136" s="14" t="str">
        <f>IFERROR(INDEX(Contacts!$E:$E,MATCH(C136,Contacts!$F:$F,0)),"")</f>
        <v>מרכז החדשנות נורת' מד בע"מ</v>
      </c>
      <c r="F136" s="9" t="s">
        <v>9</v>
      </c>
      <c r="G136" s="10" t="s">
        <v>2994</v>
      </c>
      <c r="H136" s="10" t="s">
        <v>2105</v>
      </c>
      <c r="I136" s="13"/>
      <c r="J136" s="13"/>
      <c r="K136" s="10" t="s">
        <v>2818</v>
      </c>
      <c r="L136" s="11" t="str">
        <f t="shared" si="2"/>
        <v>2026-03-12rami.shinnawi@northmed.tech</v>
      </c>
    </row>
    <row r="137" spans="1:12" ht="15" customHeight="1">
      <c r="A137" s="19">
        <f>IF(tblOutreachLog[[#This Row],[Interaction Date]]&lt;&gt;0,ROW()-1,"")</f>
        <v>136</v>
      </c>
      <c r="B137" s="13">
        <v>46093</v>
      </c>
      <c r="C137" s="10" t="s">
        <v>1220</v>
      </c>
      <c r="D137" s="11" t="str">
        <f>IFERROR(INDEX(Contacts!$B:$B,MATCH(C137,Contacts!$F:$F,0))&amp;" "&amp;INDEX(Contacts!$C:$C,MATCH(C137,Contacts!$F:$F,0)),"")</f>
        <v xml:space="preserve"> </v>
      </c>
      <c r="E137" s="14" t="str">
        <f>IFERROR(INDEX(Contacts!$E:$E,MATCH(C137,Contacts!$F:$F,0)),"")</f>
        <v>מרכז לביטחון וחוסן - נגב מערבי בע"מ</v>
      </c>
      <c r="F137" s="9" t="s">
        <v>9</v>
      </c>
      <c r="G137" s="10" t="s">
        <v>2994</v>
      </c>
      <c r="H137" s="10" t="s">
        <v>2105</v>
      </c>
      <c r="I137" s="13"/>
      <c r="J137" s="13"/>
      <c r="K137" s="10" t="s">
        <v>2818</v>
      </c>
      <c r="L137" s="11" t="str">
        <f t="shared" si="2"/>
        <v>2026-03-12info@hamitbah.com</v>
      </c>
    </row>
    <row r="138" spans="1:12" ht="15" customHeight="1">
      <c r="A138" s="19">
        <f>IF(tblOutreachLog[[#This Row],[Interaction Date]]&lt;&gt;0,ROW()-1,"")</f>
        <v>137</v>
      </c>
      <c r="B138" s="13">
        <v>46093</v>
      </c>
      <c r="C138" s="10" t="s">
        <v>1133</v>
      </c>
      <c r="D138" s="11" t="str">
        <f>IFERROR(INDEX(Contacts!$B:$B,MATCH(C138,Contacts!$F:$F,0))&amp;" "&amp;INDEX(Contacts!$C:$C,MATCH(C138,Contacts!$F:$F,0)),"")</f>
        <v>גוי מנחיק</v>
      </c>
      <c r="E138" s="14" t="str">
        <f>IFERROR(INDEX(Contacts!$E:$E,MATCH(C138,Contacts!$F:$F,0)),"")</f>
        <v>סטרטסיס בע"מ</v>
      </c>
      <c r="F138" s="9" t="s">
        <v>9</v>
      </c>
      <c r="G138" s="10" t="s">
        <v>2994</v>
      </c>
      <c r="H138" s="10" t="s">
        <v>2105</v>
      </c>
      <c r="I138" s="13"/>
      <c r="J138" s="13"/>
      <c r="K138" s="10" t="s">
        <v>2818</v>
      </c>
      <c r="L138" s="11" t="str">
        <f t="shared" si="2"/>
        <v>2026-03-12guy.menchik@stratasys.com</v>
      </c>
    </row>
    <row r="139" spans="1:12" ht="15" customHeight="1">
      <c r="A139" s="19">
        <f>IF(tblOutreachLog[[#This Row],[Interaction Date]]&lt;&gt;0,ROW()-1,"")</f>
        <v>138</v>
      </c>
      <c r="B139" s="13">
        <v>46093</v>
      </c>
      <c r="C139" s="10" t="s">
        <v>1895</v>
      </c>
      <c r="D139" s="11" t="str">
        <f>IFERROR(INDEX(Contacts!$B:$B,MATCH(C139,Contacts!$F:$F,0))&amp;" "&amp;INDEX(Contacts!$C:$C,MATCH(C139,Contacts!$F:$F,0)),"")</f>
        <v>יואב זיף</v>
      </c>
      <c r="E139" s="14" t="str">
        <f>IFERROR(INDEX(Contacts!$E:$E,MATCH(C139,Contacts!$F:$F,0)),"")</f>
        <v>סטרטסיס בע"מ</v>
      </c>
      <c r="F139" s="9" t="s">
        <v>9</v>
      </c>
      <c r="G139" s="10" t="s">
        <v>2994</v>
      </c>
      <c r="H139" s="10" t="s">
        <v>2105</v>
      </c>
      <c r="I139" s="13"/>
      <c r="J139" s="13"/>
      <c r="K139" s="10" t="s">
        <v>2818</v>
      </c>
      <c r="L139" s="11" t="str">
        <f t="shared" si="2"/>
        <v>2026-03-12yoav.zeif@stratasys.com</v>
      </c>
    </row>
    <row r="140" spans="1:12" ht="15" customHeight="1">
      <c r="A140" s="19">
        <f>IF(tblOutreachLog[[#This Row],[Interaction Date]]&lt;&gt;0,ROW()-1,"")</f>
        <v>139</v>
      </c>
      <c r="B140" s="13">
        <v>46093</v>
      </c>
      <c r="C140" s="10" t="s">
        <v>2035</v>
      </c>
      <c r="D140" s="11" t="str">
        <f>IFERROR(INDEX(Contacts!$B:$B,MATCH(C140,Contacts!$F:$F,0))&amp;" "&amp;INDEX(Contacts!$C:$C,MATCH(C140,Contacts!$F:$F,0)),"")</f>
        <v>אמיר קליינר</v>
      </c>
      <c r="E140" s="14" t="str">
        <f>IFERROR(INDEX(Contacts!$E:$E,MATCH(C140,Contacts!$F:$F,0)),"")</f>
        <v>סטרטסיס בע"מ</v>
      </c>
      <c r="F140" s="9" t="s">
        <v>9</v>
      </c>
      <c r="G140" s="10" t="s">
        <v>2994</v>
      </c>
      <c r="H140" s="10" t="s">
        <v>2105</v>
      </c>
      <c r="I140" s="13"/>
      <c r="J140" s="13"/>
      <c r="K140" s="10" t="s">
        <v>2818</v>
      </c>
      <c r="L140" s="11" t="str">
        <f t="shared" si="2"/>
        <v>2026-03-12amir.kleiner@stratasys.com</v>
      </c>
    </row>
    <row r="141" spans="1:12" ht="15" customHeight="1">
      <c r="A141" s="19">
        <f>IF(tblOutreachLog[[#This Row],[Interaction Date]]&lt;&gt;0,ROW()-1,"")</f>
        <v>140</v>
      </c>
      <c r="B141" s="13">
        <v>46093</v>
      </c>
      <c r="C141" s="10" t="s">
        <v>1184</v>
      </c>
      <c r="D141" s="11" t="str">
        <f>IFERROR(INDEX(Contacts!$B:$B,MATCH(C141,Contacts!$F:$F,0))&amp;" "&amp;INDEX(Contacts!$C:$C,MATCH(C141,Contacts!$F:$F,0)),"")</f>
        <v>אילן גנדלמן</v>
      </c>
      <c r="E141" s="14" t="str">
        <f>IFERROR(INDEX(Contacts!$E:$E,MATCH(C141,Contacts!$F:$F,0)),"")</f>
        <v>סי-גה אבטחת מידע (2014) בע"מ</v>
      </c>
      <c r="F141" s="9" t="s">
        <v>9</v>
      </c>
      <c r="G141" s="10" t="s">
        <v>2994</v>
      </c>
      <c r="H141" s="10" t="s">
        <v>2105</v>
      </c>
      <c r="I141" s="13"/>
      <c r="J141" s="13"/>
      <c r="K141" s="10" t="s">
        <v>2818</v>
      </c>
      <c r="L141" s="11" t="str">
        <f t="shared" si="2"/>
        <v>2026-03-12ilan@sigasec.com</v>
      </c>
    </row>
    <row r="142" spans="1:12" ht="15" customHeight="1">
      <c r="A142" s="19">
        <f>IF(tblOutreachLog[[#This Row],[Interaction Date]]&lt;&gt;0,ROW()-1,"")</f>
        <v>141</v>
      </c>
      <c r="B142" s="13">
        <v>46093</v>
      </c>
      <c r="C142" s="10" t="s">
        <v>2036</v>
      </c>
      <c r="D142" s="11" t="str">
        <f>IFERROR(INDEX(Contacts!$B:$B,MATCH(C142,Contacts!$F:$F,0))&amp;" "&amp;INDEX(Contacts!$C:$C,MATCH(C142,Contacts!$F:$F,0)),"")</f>
        <v>אמיר סמואילוף</v>
      </c>
      <c r="E142" s="14" t="str">
        <f>IFERROR(INDEX(Contacts!$E:$E,MATCH(C142,Contacts!$F:$F,0)),"")</f>
        <v>סי-גה אבטחת מידע (2014) בע"מ</v>
      </c>
      <c r="F142" s="9" t="s">
        <v>9</v>
      </c>
      <c r="G142" s="10" t="s">
        <v>2994</v>
      </c>
      <c r="H142" s="10" t="s">
        <v>2105</v>
      </c>
      <c r="I142" s="13"/>
      <c r="J142" s="13"/>
      <c r="K142" s="10" t="s">
        <v>2818</v>
      </c>
      <c r="L142" s="11" t="str">
        <f t="shared" si="2"/>
        <v>2026-03-12amir.samoiloff@sigasec.com</v>
      </c>
    </row>
    <row r="143" spans="1:12" ht="15" customHeight="1">
      <c r="A143" s="19">
        <f>IF(tblOutreachLog[[#This Row],[Interaction Date]]&lt;&gt;0,ROW()-1,"")</f>
        <v>142</v>
      </c>
      <c r="B143" s="13">
        <v>46093</v>
      </c>
      <c r="C143" s="10" t="s">
        <v>786</v>
      </c>
      <c r="D143" s="11" t="str">
        <f>IFERROR(INDEX(Contacts!$B:$B,MATCH(C143,Contacts!$F:$F,0))&amp;" "&amp;INDEX(Contacts!$C:$C,MATCH(C143,Contacts!$F:$F,0)),"")</f>
        <v>מיכאל בוקאיה</v>
      </c>
      <c r="E143" s="14" t="str">
        <f>IFERROR(INDEX(Contacts!$E:$E,MATCH(C143,Contacts!$F:$F,0)),"")</f>
        <v>סיוה טכנולוגיות, בע"מ</v>
      </c>
      <c r="F143" s="9" t="s">
        <v>9</v>
      </c>
      <c r="G143" s="10" t="s">
        <v>2994</v>
      </c>
      <c r="H143" s="10" t="s">
        <v>2105</v>
      </c>
      <c r="I143" s="13"/>
      <c r="J143" s="13"/>
      <c r="K143" s="10" t="s">
        <v>2818</v>
      </c>
      <c r="L143" s="11" t="str">
        <f t="shared" si="2"/>
        <v>2026-03-12amir.panush@ceva-dsp.com</v>
      </c>
    </row>
    <row r="144" spans="1:12" ht="15" customHeight="1">
      <c r="A144" s="19">
        <f>IF(tblOutreachLog[[#This Row],[Interaction Date]]&lt;&gt;0,ROW()-1,"")</f>
        <v>143</v>
      </c>
      <c r="B144" s="13">
        <v>46093</v>
      </c>
      <c r="C144" s="10" t="s">
        <v>2037</v>
      </c>
      <c r="D144" s="11" t="str">
        <f>IFERROR(INDEX(Contacts!$B:$B,MATCH(C144,Contacts!$F:$F,0))&amp;" "&amp;INDEX(Contacts!$C:$C,MATCH(C144,Contacts!$F:$F,0)),"")</f>
        <v>ארז בר-ניב</v>
      </c>
      <c r="E144" s="14" t="str">
        <f>IFERROR(INDEX(Contacts!$E:$E,MATCH(C144,Contacts!$F:$F,0)),"")</f>
        <v>סיוה טכנולוגיות, בע"מ</v>
      </c>
      <c r="F144" s="9" t="s">
        <v>9</v>
      </c>
      <c r="G144" s="10" t="s">
        <v>2994</v>
      </c>
      <c r="H144" s="10" t="s">
        <v>2105</v>
      </c>
      <c r="I144" s="13"/>
      <c r="J144" s="13"/>
      <c r="K144" s="10" t="s">
        <v>2818</v>
      </c>
      <c r="L144" s="11" t="str">
        <f t="shared" si="2"/>
        <v>2026-03-12erez.bar-niv@ceva-dsp.com</v>
      </c>
    </row>
    <row r="145" spans="1:12" ht="15" customHeight="1">
      <c r="A145" s="19">
        <f>IF(tblOutreachLog[[#This Row],[Interaction Date]]&lt;&gt;0,ROW()-1,"")</f>
        <v>144</v>
      </c>
      <c r="B145" s="13">
        <v>46093</v>
      </c>
      <c r="C145" s="10" t="s">
        <v>1437</v>
      </c>
      <c r="D145" s="11" t="str">
        <f>IFERROR(INDEX(Contacts!$B:$B,MATCH(C145,Contacts!$F:$F,0))&amp;" "&amp;INDEX(Contacts!$C:$C,MATCH(C145,Contacts!$F:$F,0)),"")</f>
        <v>אמיר פאנוש</v>
      </c>
      <c r="E145" s="14" t="str">
        <f>IFERROR(INDEX(Contacts!$E:$E,MATCH(C145,Contacts!$F:$F,0)),"")</f>
        <v>סיוה טכנולוגיות, בע"מ</v>
      </c>
      <c r="F145" s="9" t="s">
        <v>9</v>
      </c>
      <c r="G145" s="10" t="s">
        <v>2994</v>
      </c>
      <c r="H145" s="10" t="s">
        <v>2105</v>
      </c>
      <c r="I145" s="13"/>
      <c r="J145" s="13"/>
      <c r="K145" s="10" t="s">
        <v>2818</v>
      </c>
      <c r="L145" s="11" t="str">
        <f t="shared" si="2"/>
        <v>2026-03-12michael.boukaya@ceva-dsp.com</v>
      </c>
    </row>
    <row r="146" spans="1:12" ht="15" customHeight="1">
      <c r="A146" s="19">
        <f>IF(tblOutreachLog[[#This Row],[Interaction Date]]&lt;&gt;0,ROW()-1,"")</f>
        <v>145</v>
      </c>
      <c r="B146" s="13">
        <v>46093</v>
      </c>
      <c r="C146" s="10" t="s">
        <v>1407</v>
      </c>
      <c r="D146" s="11" t="str">
        <f>IFERROR(INDEX(Contacts!$B:$B,MATCH(C146,Contacts!$F:$F,0))&amp;" "&amp;INDEX(Contacts!$C:$C,MATCH(C146,Contacts!$F:$F,0)),"")</f>
        <v>מט קוהן</v>
      </c>
      <c r="E146" s="14" t="str">
        <f>IFERROR(INDEX(Contacts!$E:$E,MATCH(C146,Contacts!$F:$F,0)),"")</f>
        <v>סייברארק תוכנה בע"מ</v>
      </c>
      <c r="F146" s="9" t="s">
        <v>9</v>
      </c>
      <c r="G146" s="10" t="s">
        <v>2994</v>
      </c>
      <c r="H146" s="10" t="s">
        <v>2105</v>
      </c>
      <c r="I146" s="13"/>
      <c r="J146" s="13"/>
      <c r="K146" s="10" t="s">
        <v>2818</v>
      </c>
      <c r="L146" s="11" t="str">
        <f t="shared" si="2"/>
        <v>2026-03-12matt.cohen@cyberark.com</v>
      </c>
    </row>
    <row r="147" spans="1:12" ht="15" customHeight="1">
      <c r="A147" s="19">
        <f>IF(tblOutreachLog[[#This Row],[Interaction Date]]&lt;&gt;0,ROW()-1,"")</f>
        <v>146</v>
      </c>
      <c r="B147" s="13">
        <v>46093</v>
      </c>
      <c r="C147" s="10" t="s">
        <v>2039</v>
      </c>
      <c r="D147" s="11" t="str">
        <f>IFERROR(INDEX(Contacts!$B:$B,MATCH(C147,Contacts!$F:$F,0))&amp;" "&amp;INDEX(Contacts!$C:$C,MATCH(C147,Contacts!$F:$F,0)),"")</f>
        <v>אודי מוקדי</v>
      </c>
      <c r="E147" s="14" t="str">
        <f>IFERROR(INDEX(Contacts!$E:$E,MATCH(C147,Contacts!$F:$F,0)),"")</f>
        <v>סייברארק תוכנה בע"מ</v>
      </c>
      <c r="F147" s="9" t="s">
        <v>9</v>
      </c>
      <c r="G147" s="10" t="s">
        <v>2994</v>
      </c>
      <c r="H147" s="10" t="s">
        <v>2105</v>
      </c>
      <c r="I147" s="13"/>
      <c r="J147" s="13"/>
      <c r="K147" s="10" t="s">
        <v>2818</v>
      </c>
      <c r="L147" s="11" t="str">
        <f t="shared" si="2"/>
        <v>2026-03-12udi.mokady@cyber-ark.com</v>
      </c>
    </row>
    <row r="148" spans="1:12" ht="15" customHeight="1">
      <c r="A148" s="19">
        <f>IF(tblOutreachLog[[#This Row],[Interaction Date]]&lt;&gt;0,ROW()-1,"")</f>
        <v>147</v>
      </c>
      <c r="B148" s="13">
        <v>46093</v>
      </c>
      <c r="C148" s="10" t="s">
        <v>1643</v>
      </c>
      <c r="D148" s="11" t="str">
        <f>IFERROR(INDEX(Contacts!$B:$B,MATCH(C148,Contacts!$F:$F,0))&amp;" "&amp;INDEX(Contacts!$C:$C,MATCH(C148,Contacts!$F:$F,0)),"")</f>
        <v>רגב פרץ</v>
      </c>
      <c r="E148" s="14" t="str">
        <f>IFERROR(INDEX(Contacts!$E:$E,MATCH(C148,Contacts!$F:$F,0)),"")</f>
        <v>סייברארק תוכנה בע"מ</v>
      </c>
      <c r="F148" s="9" t="s">
        <v>9</v>
      </c>
      <c r="G148" s="10" t="s">
        <v>2994</v>
      </c>
      <c r="H148" s="10" t="s">
        <v>2105</v>
      </c>
      <c r="I148" s="13"/>
      <c r="J148" s="13"/>
      <c r="K148" s="10" t="s">
        <v>2818</v>
      </c>
      <c r="L148" s="11" t="str">
        <f t="shared" si="2"/>
        <v>2026-03-12peretz.regev@cyberark.com</v>
      </c>
    </row>
    <row r="149" spans="1:12" ht="15" customHeight="1">
      <c r="A149" s="19">
        <f>IF(tblOutreachLog[[#This Row],[Interaction Date]]&lt;&gt;0,ROW()-1,"")</f>
        <v>148</v>
      </c>
      <c r="B149" s="13">
        <v>46093</v>
      </c>
      <c r="C149" s="10" t="s">
        <v>1265</v>
      </c>
      <c r="D149" s="11" t="str">
        <f>IFERROR(INDEX(Contacts!$B:$B,MATCH(C149,Contacts!$F:$F,0))&amp;" "&amp;INDEX(Contacts!$C:$C,MATCH(C149,Contacts!$F:$F,0)),"")</f>
        <v/>
      </c>
      <c r="E149" s="14" t="str">
        <f>IFERROR(INDEX(Contacts!$E:$E,MATCH(C149,Contacts!$F:$F,0)),"")</f>
        <v/>
      </c>
      <c r="F149" s="9" t="s">
        <v>9</v>
      </c>
      <c r="G149" s="10" t="s">
        <v>2994</v>
      </c>
      <c r="H149" s="10" t="s">
        <v>2105</v>
      </c>
      <c r="I149" s="13"/>
      <c r="J149" s="13"/>
      <c r="K149" s="10" t="s">
        <v>2818</v>
      </c>
      <c r="L149" s="11" t="str">
        <f t="shared" si="2"/>
        <v>2026-03-12info@synergy7.org.il</v>
      </c>
    </row>
    <row r="150" spans="1:12" ht="15" customHeight="1">
      <c r="A150" s="19">
        <f>IF(tblOutreachLog[[#This Row],[Interaction Date]]&lt;&gt;0,ROW()-1,"")</f>
        <v>149</v>
      </c>
      <c r="B150" s="13">
        <v>46093</v>
      </c>
      <c r="C150" s="10" t="s">
        <v>2042</v>
      </c>
      <c r="D150" s="11" t="str">
        <f>IFERROR(INDEX(Contacts!$B:$B,MATCH(C150,Contacts!$F:$F,0))&amp;" "&amp;INDEX(Contacts!$C:$C,MATCH(C150,Contacts!$F:$F,0)),"")</f>
        <v>אוריאל פרמן</v>
      </c>
      <c r="E150" s="14" t="str">
        <f>IFERROR(INDEX(Contacts!$E:$E,MATCH(C150,Contacts!$F:$F,0)),"")</f>
        <v>נורטרה</v>
      </c>
      <c r="F150" s="9" t="s">
        <v>9</v>
      </c>
      <c r="G150" s="10" t="s">
        <v>2994</v>
      </c>
      <c r="H150" s="10" t="s">
        <v>2105</v>
      </c>
      <c r="I150" s="13"/>
      <c r="J150" s="13"/>
      <c r="K150" s="10" t="s">
        <v>2818</v>
      </c>
      <c r="L150" s="11" t="str">
        <f t="shared" si="2"/>
        <v>2026-03-12info@norterra.co.il</v>
      </c>
    </row>
    <row r="151" spans="1:12" ht="15" customHeight="1">
      <c r="A151" s="19">
        <f>IF(tblOutreachLog[[#This Row],[Interaction Date]]&lt;&gt;0,ROW()-1,"")</f>
        <v>150</v>
      </c>
      <c r="B151" s="13">
        <v>46093</v>
      </c>
      <c r="C151" s="10" t="s">
        <v>2043</v>
      </c>
      <c r="D151" s="11" t="str">
        <f>IFERROR(INDEX(Contacts!$B:$B,MATCH(C151,Contacts!$F:$F,0))&amp;" "&amp;INDEX(Contacts!$C:$C,MATCH(C151,Contacts!$F:$F,0)),"")</f>
        <v>אוריאל פרמן</v>
      </c>
      <c r="E151" s="14" t="str">
        <f>IFERROR(INDEX(Contacts!$E:$E,MATCH(C151,Contacts!$F:$F,0)),"")</f>
        <v>נורטרה</v>
      </c>
      <c r="F151" s="9" t="s">
        <v>9</v>
      </c>
      <c r="G151" s="10" t="s">
        <v>2994</v>
      </c>
      <c r="H151" s="10" t="s">
        <v>2105</v>
      </c>
      <c r="I151" s="13"/>
      <c r="J151" s="13"/>
      <c r="K151" s="10" t="s">
        <v>2818</v>
      </c>
      <c r="L151" s="11" t="str">
        <f t="shared" si="2"/>
        <v>2026-03-12uriel@norterra.co.il</v>
      </c>
    </row>
    <row r="152" spans="1:12" ht="15" customHeight="1">
      <c r="A152" s="19">
        <f>IF(tblOutreachLog[[#This Row],[Interaction Date]]&lt;&gt;0,ROW()-1,"")</f>
        <v>151</v>
      </c>
      <c r="B152" s="13">
        <v>46093</v>
      </c>
      <c r="C152" s="10" t="s">
        <v>1880</v>
      </c>
      <c r="D152" s="11" t="str">
        <f>IFERROR(INDEX(Contacts!$B:$B,MATCH(C152,Contacts!$F:$F,0))&amp;" "&amp;INDEX(Contacts!$C:$C,MATCH(C152,Contacts!$F:$F,0)),"")</f>
        <v>יניב קוריאט</v>
      </c>
      <c r="E152" s="14" t="str">
        <f>IFERROR(INDEX(Contacts!$E:$E,MATCH(C152,Contacts!$F:$F,0)),"")</f>
        <v>סלקום ישראל בע"מ</v>
      </c>
      <c r="F152" s="9" t="s">
        <v>9</v>
      </c>
      <c r="G152" s="10" t="s">
        <v>2994</v>
      </c>
      <c r="H152" s="10" t="s">
        <v>2105</v>
      </c>
      <c r="I152" s="13"/>
      <c r="J152" s="13"/>
      <c r="K152" s="10" t="s">
        <v>2818</v>
      </c>
      <c r="L152" s="11" t="str">
        <f t="shared" si="2"/>
        <v>2026-03-12yaniv.koriat@cellcom.co.il</v>
      </c>
    </row>
    <row r="153" spans="1:12" ht="15" customHeight="1">
      <c r="A153" s="19">
        <f>IF(tblOutreachLog[[#This Row],[Interaction Date]]&lt;&gt;0,ROW()-1,"")</f>
        <v>152</v>
      </c>
      <c r="B153" s="13">
        <v>46093</v>
      </c>
      <c r="C153" s="10" t="s">
        <v>2045</v>
      </c>
      <c r="D153" s="11" t="str">
        <f>IFERROR(INDEX(Contacts!$B:$B,MATCH(C153,Contacts!$F:$F,0))&amp;" "&amp;INDEX(Contacts!$C:$C,MATCH(C153,Contacts!$F:$F,0)),"")</f>
        <v>אלי אדדי</v>
      </c>
      <c r="E153" s="14" t="str">
        <f>IFERROR(INDEX(Contacts!$E:$E,MATCH(C153,Contacts!$F:$F,0)),"")</f>
        <v>סלקום ישראל בע"מ</v>
      </c>
      <c r="F153" s="9" t="s">
        <v>9</v>
      </c>
      <c r="G153" s="10" t="s">
        <v>2994</v>
      </c>
      <c r="H153" s="10" t="s">
        <v>2105</v>
      </c>
      <c r="I153" s="13"/>
      <c r="J153" s="13"/>
      <c r="K153" s="10" t="s">
        <v>2818</v>
      </c>
      <c r="L153" s="11" t="str">
        <f t="shared" si="2"/>
        <v>2026-03-12eli.adadi@cellcom.co.il</v>
      </c>
    </row>
    <row r="154" spans="1:12" ht="15" customHeight="1">
      <c r="A154" s="19">
        <f>IF(tblOutreachLog[[#This Row],[Interaction Date]]&lt;&gt;0,ROW()-1,"")</f>
        <v>153</v>
      </c>
      <c r="B154" s="13">
        <v>46093</v>
      </c>
      <c r="C154" s="10" t="s">
        <v>2047</v>
      </c>
      <c r="D154" s="11" t="str">
        <f>IFERROR(INDEX(Contacts!$B:$B,MATCH(C154,Contacts!$F:$F,0))&amp;" "&amp;INDEX(Contacts!$C:$C,MATCH(C154,Contacts!$F:$F,0)),"")</f>
        <v>ויקטור מלכה</v>
      </c>
      <c r="E154" s="14" t="str">
        <f>IFERROR(INDEX(Contacts!$E:$E,MATCH(C154,Contacts!$F:$F,0)),"")</f>
        <v>סלקום ישראל בע"מ</v>
      </c>
      <c r="F154" s="9" t="s">
        <v>9</v>
      </c>
      <c r="G154" s="10" t="s">
        <v>2994</v>
      </c>
      <c r="H154" s="10" t="s">
        <v>2105</v>
      </c>
      <c r="I154" s="13"/>
      <c r="J154" s="13"/>
      <c r="K154" s="10" t="s">
        <v>2818</v>
      </c>
      <c r="L154" s="11" t="str">
        <f t="shared" si="2"/>
        <v>2026-03-12victor.malka@cellcom.co.il</v>
      </c>
    </row>
    <row r="155" spans="1:12" ht="15" customHeight="1">
      <c r="A155" s="19">
        <f>IF(tblOutreachLog[[#This Row],[Interaction Date]]&lt;&gt;0,ROW()-1,"")</f>
        <v>154</v>
      </c>
      <c r="B155" s="13">
        <v>46093</v>
      </c>
      <c r="C155" s="10" t="s">
        <v>1570</v>
      </c>
      <c r="D155" s="11" t="str">
        <f>IFERROR(INDEX(Contacts!$B:$B,MATCH(C155,Contacts!$F:$F,0))&amp;" "&amp;INDEX(Contacts!$C:$C,MATCH(C155,Contacts!$F:$F,0)),"")</f>
        <v>עופר דהן</v>
      </c>
      <c r="E155" s="14" t="str">
        <f>IFERROR(INDEX(Contacts!$E:$E,MATCH(C155,Contacts!$F:$F,0)),"")</f>
        <v>סנסוייל אינוביישנס בע"מ</v>
      </c>
      <c r="F155" s="9" t="s">
        <v>9</v>
      </c>
      <c r="G155" s="10" t="s">
        <v>2994</v>
      </c>
      <c r="H155" s="10" t="s">
        <v>2105</v>
      </c>
      <c r="I155" s="13"/>
      <c r="J155" s="13"/>
      <c r="K155" s="10" t="s">
        <v>2818</v>
      </c>
      <c r="L155" s="11" t="str">
        <f t="shared" si="2"/>
        <v>2026-03-12ofer@sensoils.com</v>
      </c>
    </row>
    <row r="156" spans="1:12" ht="15" customHeight="1">
      <c r="A156" s="19">
        <f>IF(tblOutreachLog[[#This Row],[Interaction Date]]&lt;&gt;0,ROW()-1,"")</f>
        <v>155</v>
      </c>
      <c r="B156" s="13">
        <v>46093</v>
      </c>
      <c r="C156" s="10" t="s">
        <v>2049</v>
      </c>
      <c r="D156" s="11" t="str">
        <f>IFERROR(INDEX(Contacts!$B:$B,MATCH(C156,Contacts!$F:$F,0))&amp;" "&amp;INDEX(Contacts!$C:$C,MATCH(C156,Contacts!$F:$F,0)),"")</f>
        <v>דוד וקסמן</v>
      </c>
      <c r="E156" s="14" t="str">
        <f>IFERROR(INDEX(Contacts!$E:$E,MATCH(C156,Contacts!$F:$F,0)),"")</f>
        <v>סנסוייל אינוביישנס בע"מ</v>
      </c>
      <c r="F156" s="9" t="s">
        <v>9</v>
      </c>
      <c r="G156" s="10" t="s">
        <v>2994</v>
      </c>
      <c r="H156" s="10" t="s">
        <v>2105</v>
      </c>
      <c r="I156" s="13"/>
      <c r="J156" s="13"/>
      <c r="K156" s="10" t="s">
        <v>2818</v>
      </c>
      <c r="L156" s="11" t="str">
        <f t="shared" si="2"/>
        <v>2026-03-12david.waxman@sensoils.com</v>
      </c>
    </row>
    <row r="157" spans="1:12" ht="15" customHeight="1">
      <c r="A157" s="19">
        <f>IF(tblOutreachLog[[#This Row],[Interaction Date]]&lt;&gt;0,ROW()-1,"")</f>
        <v>156</v>
      </c>
      <c r="B157" s="13">
        <v>46093</v>
      </c>
      <c r="C157" s="10" t="s">
        <v>1551</v>
      </c>
      <c r="D157" s="11" t="str">
        <f>IFERROR(INDEX(Contacts!$B:$B,MATCH(C157,Contacts!$F:$F,0))&amp;" "&amp;INDEX(Contacts!$C:$C,MATCH(C157,Contacts!$F:$F,0)),"")</f>
        <v>נוגה סלע שלו</v>
      </c>
      <c r="E157" s="14" t="str">
        <f>IFERROR(INDEX(Contacts!$E:$E,MATCH(C157,Contacts!$F:$F,0)),"")</f>
        <v>ספארקס פודטק טכנולוגיות מזון</v>
      </c>
      <c r="F157" s="9" t="s">
        <v>9</v>
      </c>
      <c r="G157" s="10" t="s">
        <v>2994</v>
      </c>
      <c r="H157" s="10" t="s">
        <v>2105</v>
      </c>
      <c r="I157" s="13"/>
      <c r="J157" s="13"/>
      <c r="K157" s="10" t="s">
        <v>2818</v>
      </c>
      <c r="L157" s="11" t="str">
        <f t="shared" si="2"/>
        <v>2026-03-12noga@fresh-start.co.il</v>
      </c>
    </row>
    <row r="158" spans="1:12" ht="15" customHeight="1">
      <c r="A158" s="19">
        <f>IF(tblOutreachLog[[#This Row],[Interaction Date]]&lt;&gt;0,ROW()-1,"")</f>
        <v>157</v>
      </c>
      <c r="B158" s="13">
        <v>46093</v>
      </c>
      <c r="C158" s="10" t="s">
        <v>2051</v>
      </c>
      <c r="D158" s="11" t="str">
        <f>IFERROR(INDEX(Contacts!$B:$B,MATCH(C158,Contacts!$F:$F,0))&amp;" "&amp;INDEX(Contacts!$C:$C,MATCH(C158,Contacts!$F:$F,0)),"")</f>
        <v>תמי מאירון</v>
      </c>
      <c r="E158" s="14" t="str">
        <f>IFERROR(INDEX(Contacts!$E:$E,MATCH(C158,Contacts!$F:$F,0)),"")</f>
        <v>ספארקס פודטק טכנולוגיות מזון</v>
      </c>
      <c r="F158" s="9" t="s">
        <v>9</v>
      </c>
      <c r="G158" s="10" t="s">
        <v>2994</v>
      </c>
      <c r="H158" s="10" t="s">
        <v>2105</v>
      </c>
      <c r="I158" s="13"/>
      <c r="J158" s="13"/>
      <c r="K158" s="10" t="s">
        <v>2818</v>
      </c>
      <c r="L158" s="11" t="str">
        <f t="shared" si="2"/>
        <v>2026-03-12tammy.meiron@fresh-start.co.il</v>
      </c>
    </row>
    <row r="159" spans="1:12" ht="15" customHeight="1">
      <c r="A159" s="19">
        <f>IF(tblOutreachLog[[#This Row],[Interaction Date]]&lt;&gt;0,ROW()-1,"")</f>
        <v>158</v>
      </c>
      <c r="B159" s="13">
        <v>46093</v>
      </c>
      <c r="C159" s="10" t="s">
        <v>1257</v>
      </c>
      <c r="D159" s="11" t="str">
        <f>IFERROR(INDEX(Contacts!$B:$B,MATCH(C159,Contacts!$F:$F,0))&amp;" "&amp;INDEX(Contacts!$C:$C,MATCH(C159,Contacts!$F:$F,0)),"")</f>
        <v>דני כץ</v>
      </c>
      <c r="E159" s="14" t="str">
        <f>IFERROR(INDEX(Contacts!$E:$E,MATCH(C159,Contacts!$F:$F,0)),"")</f>
        <v>סקאנמסטר סיסטמס (אי אר טי) בע"מ</v>
      </c>
      <c r="F159" s="9" t="s">
        <v>9</v>
      </c>
      <c r="G159" s="10" t="s">
        <v>2994</v>
      </c>
      <c r="H159" s="10" t="s">
        <v>2105</v>
      </c>
      <c r="I159" s="13"/>
      <c r="J159" s="13"/>
      <c r="K159" s="10" t="s">
        <v>2818</v>
      </c>
      <c r="L159" s="11" t="str">
        <f t="shared" si="2"/>
        <v>2026-03-12info@scanmaster-irt.com</v>
      </c>
    </row>
    <row r="160" spans="1:12" ht="15" customHeight="1">
      <c r="A160" s="19">
        <f>IF(tblOutreachLog[[#This Row],[Interaction Date]]&lt;&gt;0,ROW()-1,"")</f>
        <v>159</v>
      </c>
      <c r="B160" s="13">
        <v>46093</v>
      </c>
      <c r="C160" s="10" t="s">
        <v>2053</v>
      </c>
      <c r="D160" s="11" t="str">
        <f>IFERROR(INDEX(Contacts!$B:$B,MATCH(C160,Contacts!$F:$F,0))&amp;" "&amp;INDEX(Contacts!$C:$C,MATCH(C160,Contacts!$F:$F,0)),"")</f>
        <v>עופר סלע</v>
      </c>
      <c r="E160" s="14" t="str">
        <f>IFERROR(INDEX(Contacts!$E:$E,MATCH(C160,Contacts!$F:$F,0)),"")</f>
        <v>סקאנמסטר סיסטמס (אי אר טי) בע"מ</v>
      </c>
      <c r="F160" s="9" t="s">
        <v>9</v>
      </c>
      <c r="G160" s="10" t="s">
        <v>2994</v>
      </c>
      <c r="H160" s="10" t="s">
        <v>2105</v>
      </c>
      <c r="I160" s="13"/>
      <c r="J160" s="13"/>
      <c r="K160" s="10" t="s">
        <v>2818</v>
      </c>
      <c r="L160" s="11" t="str">
        <f t="shared" si="2"/>
        <v>2026-03-12ofer.sela@scanmaster-irt.com</v>
      </c>
    </row>
    <row r="161" spans="1:12" ht="15" customHeight="1">
      <c r="A161" s="19">
        <f>IF(tblOutreachLog[[#This Row],[Interaction Date]]&lt;&gt;0,ROW()-1,"")</f>
        <v>160</v>
      </c>
      <c r="B161" s="13">
        <v>46093</v>
      </c>
      <c r="C161" s="10" t="s">
        <v>2054</v>
      </c>
      <c r="D161" s="11" t="str">
        <f>IFERROR(INDEX(Contacts!$B:$B,MATCH(C161,Contacts!$F:$F,0))&amp;" "&amp;INDEX(Contacts!$C:$C,MATCH(C161,Contacts!$F:$F,0)),"")</f>
        <v>מיכאל ברון</v>
      </c>
      <c r="E161" s="14" t="str">
        <f>IFERROR(INDEX(Contacts!$E:$E,MATCH(C161,Contacts!$F:$F,0)),"")</f>
        <v>סקאנמסטר סיסטמס (אי אר טי) בע"מ</v>
      </c>
      <c r="F161" s="9" t="s">
        <v>9</v>
      </c>
      <c r="G161" s="10" t="s">
        <v>2994</v>
      </c>
      <c r="H161" s="10" t="s">
        <v>2105</v>
      </c>
      <c r="I161" s="13"/>
      <c r="J161" s="13"/>
      <c r="K161" s="10" t="s">
        <v>2818</v>
      </c>
      <c r="L161" s="11" t="str">
        <f t="shared" si="2"/>
        <v>2026-03-12michael.bron@scanmaster-irt.com</v>
      </c>
    </row>
    <row r="162" spans="1:12" ht="15" customHeight="1">
      <c r="A162" s="19">
        <f>IF(tblOutreachLog[[#This Row],[Interaction Date]]&lt;&gt;0,ROW()-1,"")</f>
        <v>161</v>
      </c>
      <c r="B162" s="13">
        <v>46093</v>
      </c>
      <c r="C162" s="10" t="s">
        <v>1434</v>
      </c>
      <c r="D162" s="11" t="str">
        <f>IFERROR(INDEX(Contacts!$B:$B,MATCH(C162,Contacts!$F:$F,0))&amp;" "&amp;INDEX(Contacts!$C:$C,MATCH(C162,Contacts!$F:$F,0)),"")</f>
        <v>מיכה קמלמן</v>
      </c>
      <c r="E162" s="14" t="str">
        <f>IFERROR(INDEX(Contacts!$E:$E,MATCH(C162,Contacts!$F:$F,0)),"")</f>
        <v>סקאנמסטר סיסטמס (אי אר טי) בע"מ</v>
      </c>
      <c r="F162" s="9" t="s">
        <v>9</v>
      </c>
      <c r="G162" s="10" t="s">
        <v>2994</v>
      </c>
      <c r="H162" s="10" t="s">
        <v>2105</v>
      </c>
      <c r="I162" s="13"/>
      <c r="J162" s="13"/>
      <c r="K162" s="10" t="s">
        <v>2818</v>
      </c>
      <c r="L162" s="11" t="str">
        <f t="shared" si="2"/>
        <v>2026-03-12micha.k@scanmaster-irt.com</v>
      </c>
    </row>
    <row r="163" spans="1:12" ht="15" customHeight="1">
      <c r="A163" s="19">
        <f>IF(tblOutreachLog[[#This Row],[Interaction Date]]&lt;&gt;0,ROW()-1,"")</f>
        <v>162</v>
      </c>
      <c r="B163" s="13">
        <v>46093</v>
      </c>
      <c r="C163" s="10" t="s">
        <v>984</v>
      </c>
      <c r="D163" s="11" t="str">
        <f>IFERROR(INDEX(Contacts!$B:$B,MATCH(C163,Contacts!$F:$F,0))&amp;" "&amp;INDEX(Contacts!$C:$C,MATCH(C163,Contacts!$F:$F,0)),"")</f>
        <v>דורון אראזי</v>
      </c>
      <c r="E163" s="14" t="str">
        <f>IFERROR(INDEX(Contacts!$E:$E,MATCH(C163,Contacts!$F:$F,0)),"")</f>
        <v>סרגון נטוורקס בע"מ</v>
      </c>
      <c r="F163" s="9" t="s">
        <v>9</v>
      </c>
      <c r="G163" s="10" t="s">
        <v>2994</v>
      </c>
      <c r="H163" s="10" t="s">
        <v>2105</v>
      </c>
      <c r="I163" s="13"/>
      <c r="J163" s="13"/>
      <c r="K163" s="10" t="s">
        <v>2818</v>
      </c>
      <c r="L163" s="11" t="str">
        <f t="shared" si="2"/>
        <v>2026-03-12dorona@ceragon.com</v>
      </c>
    </row>
    <row r="164" spans="1:12" ht="15" customHeight="1">
      <c r="A164" s="19">
        <f>IF(tblOutreachLog[[#This Row],[Interaction Date]]&lt;&gt;0,ROW()-1,"")</f>
        <v>163</v>
      </c>
      <c r="B164" s="13">
        <v>46093</v>
      </c>
      <c r="C164" s="10" t="s">
        <v>2056</v>
      </c>
      <c r="D164" s="11" t="str">
        <f>IFERROR(INDEX(Contacts!$B:$B,MATCH(C164,Contacts!$F:$F,0))&amp;" "&amp;INDEX(Contacts!$C:$C,MATCH(C164,Contacts!$F:$F,0)),"")</f>
        <v>דימה פרידמן</v>
      </c>
      <c r="E164" s="14" t="str">
        <f>IFERROR(INDEX(Contacts!$E:$E,MATCH(C164,Contacts!$F:$F,0)),"")</f>
        <v>סרגון נטוורקס בע"מ</v>
      </c>
      <c r="F164" s="9" t="s">
        <v>9</v>
      </c>
      <c r="G164" s="10" t="s">
        <v>2994</v>
      </c>
      <c r="H164" s="10" t="s">
        <v>2105</v>
      </c>
      <c r="I164" s="13"/>
      <c r="J164" s="13"/>
      <c r="K164" s="10" t="s">
        <v>2818</v>
      </c>
      <c r="L164" s="11" t="str">
        <f t="shared" si="2"/>
        <v>2026-03-12dima.friedman@ceragon.com</v>
      </c>
    </row>
    <row r="165" spans="1:12" ht="15" customHeight="1">
      <c r="A165" s="19">
        <f>IF(tblOutreachLog[[#This Row],[Interaction Date]]&lt;&gt;0,ROW()-1,"")</f>
        <v>164</v>
      </c>
      <c r="B165" s="13">
        <v>46093</v>
      </c>
      <c r="C165" s="10" t="s">
        <v>2058</v>
      </c>
      <c r="D165" s="11" t="str">
        <f>IFERROR(INDEX(Contacts!$B:$B,MATCH(C165,Contacts!$F:$F,0))&amp;" "&amp;INDEX(Contacts!$C:$C,MATCH(C165,Contacts!$F:$F,0)),"")</f>
        <v>אורי שנטל</v>
      </c>
      <c r="E165" s="14" t="str">
        <f>IFERROR(INDEX(Contacts!$E:$E,MATCH(C165,Contacts!$F:$F,0)),"")</f>
        <v>סרגון נטוורקס בע"מ</v>
      </c>
      <c r="F165" s="9" t="s">
        <v>9</v>
      </c>
      <c r="G165" s="10" t="s">
        <v>2994</v>
      </c>
      <c r="H165" s="10" t="s">
        <v>2105</v>
      </c>
      <c r="I165" s="13"/>
      <c r="J165" s="13"/>
      <c r="K165" s="10" t="s">
        <v>2818</v>
      </c>
      <c r="L165" s="11" t="str">
        <f t="shared" si="2"/>
        <v>2026-03-12ori.shental@ceragon.com</v>
      </c>
    </row>
    <row r="166" spans="1:12" ht="15" customHeight="1">
      <c r="A166" s="19">
        <f>IF(tblOutreachLog[[#This Row],[Interaction Date]]&lt;&gt;0,ROW()-1,"")</f>
        <v>165</v>
      </c>
      <c r="B166" s="13">
        <v>46093</v>
      </c>
      <c r="C166" s="10" t="s">
        <v>1226</v>
      </c>
      <c r="D166" s="11" t="str">
        <f>IFERROR(INDEX(Contacts!$B:$B,MATCH(C166,Contacts!$F:$F,0))&amp;" "&amp;INDEX(Contacts!$C:$C,MATCH(C166,Contacts!$F:$F,0)),"")</f>
        <v>שלומציון לולו</v>
      </c>
      <c r="E166" s="14" t="str">
        <f>IFERROR(INDEX(Contacts!$E:$E,MATCH(C166,Contacts!$F:$F,0)),"")</f>
        <v>עזריאלי מכללה אקדמית להנדסה ירושלים</v>
      </c>
      <c r="F166" s="9" t="s">
        <v>9</v>
      </c>
      <c r="G166" s="10" t="s">
        <v>2994</v>
      </c>
      <c r="H166" s="10" t="s">
        <v>2105</v>
      </c>
      <c r="I166" s="13"/>
      <c r="J166" s="13"/>
      <c r="K166" s="10" t="s">
        <v>2818</v>
      </c>
      <c r="L166" s="11" t="str">
        <f t="shared" si="2"/>
        <v>2026-03-12info@jce.ac.il</v>
      </c>
    </row>
    <row r="167" spans="1:12" ht="15" customHeight="1">
      <c r="A167" s="19">
        <f>IF(tblOutreachLog[[#This Row],[Interaction Date]]&lt;&gt;0,ROW()-1,"")</f>
        <v>166</v>
      </c>
      <c r="B167" s="13">
        <v>46093</v>
      </c>
      <c r="C167" s="10" t="s">
        <v>805</v>
      </c>
      <c r="D167" s="11" t="str">
        <f>IFERROR(INDEX(Contacts!$B:$B,MATCH(C167,Contacts!$F:$F,0))&amp;" "&amp;INDEX(Contacts!$C:$C,MATCH(C167,Contacts!$F:$F,0)),"")</f>
        <v>עמית חורש</v>
      </c>
      <c r="E167" s="14" t="str">
        <f>IFERROR(INDEX(Contacts!$E:$E,MATCH(C167,Contacts!$F:$F,0)),"")</f>
        <v>עמית דברי מאפה קפואים (2003) בע"מ</v>
      </c>
      <c r="F167" s="9" t="s">
        <v>9</v>
      </c>
      <c r="G167" s="10" t="s">
        <v>2994</v>
      </c>
      <c r="H167" s="10" t="s">
        <v>2105</v>
      </c>
      <c r="I167" s="13"/>
      <c r="J167" s="13"/>
      <c r="K167" s="10" t="s">
        <v>2818</v>
      </c>
      <c r="L167" s="11" t="str">
        <f t="shared" si="2"/>
        <v>2026-03-12amit@amit-pastry.com</v>
      </c>
    </row>
    <row r="168" spans="1:12" ht="15" customHeight="1">
      <c r="A168" s="19">
        <f>IF(tblOutreachLog[[#This Row],[Interaction Date]]&lt;&gt;0,ROW()-1,"")</f>
        <v>167</v>
      </c>
      <c r="B168" s="13">
        <v>46093</v>
      </c>
      <c r="C168" s="10" t="s">
        <v>2060</v>
      </c>
      <c r="D168" s="11" t="str">
        <f>IFERROR(INDEX(Contacts!$B:$B,MATCH(C168,Contacts!$F:$F,0))&amp;" "&amp;INDEX(Contacts!$C:$C,MATCH(C168,Contacts!$F:$F,0)),"")</f>
        <v>רוני מימון</v>
      </c>
      <c r="E168" s="14" t="str">
        <f>IFERROR(INDEX(Contacts!$E:$E,MATCH(C168,Contacts!$F:$F,0)),"")</f>
        <v>עמית דברי מאפה קפואים (2003) בע"מ</v>
      </c>
      <c r="F168" s="9" t="s">
        <v>9</v>
      </c>
      <c r="G168" s="10" t="s">
        <v>2994</v>
      </c>
      <c r="H168" s="10" t="s">
        <v>2105</v>
      </c>
      <c r="I168" s="13"/>
      <c r="J168" s="13"/>
      <c r="K168" s="10" t="s">
        <v>2818</v>
      </c>
      <c r="L168" s="11" t="str">
        <f t="shared" si="2"/>
        <v>2026-03-12ronnie.maimon@amit-pastry.com</v>
      </c>
    </row>
    <row r="169" spans="1:12" ht="15" customHeight="1">
      <c r="A169" s="19">
        <f>IF(tblOutreachLog[[#This Row],[Interaction Date]]&lt;&gt;0,ROW()-1,"")</f>
        <v>168</v>
      </c>
      <c r="B169" s="13">
        <v>46093</v>
      </c>
      <c r="C169" s="10" t="s">
        <v>2062</v>
      </c>
      <c r="D169" s="11" t="str">
        <f>IFERROR(INDEX(Contacts!$B:$B,MATCH(C169,Contacts!$F:$F,0))&amp;" "&amp;INDEX(Contacts!$C:$C,MATCH(C169,Contacts!$F:$F,0)),"")</f>
        <v>ברנרד מימון</v>
      </c>
      <c r="E169" s="14" t="str">
        <f>IFERROR(INDEX(Contacts!$E:$E,MATCH(C169,Contacts!$F:$F,0)),"")</f>
        <v>עמית דברי מאפה קפואים (2003) בע"מ</v>
      </c>
      <c r="F169" s="9" t="s">
        <v>9</v>
      </c>
      <c r="G169" s="10" t="s">
        <v>2994</v>
      </c>
      <c r="H169" s="10" t="s">
        <v>2105</v>
      </c>
      <c r="I169" s="13"/>
      <c r="J169" s="13"/>
      <c r="K169" s="10" t="s">
        <v>2818</v>
      </c>
      <c r="L169" s="11" t="str">
        <f t="shared" si="2"/>
        <v>2026-03-12bernard.maimon@amit-pastry.com</v>
      </c>
    </row>
    <row r="170" spans="1:12" ht="15" customHeight="1">
      <c r="A170" s="19">
        <f>IF(tblOutreachLog[[#This Row],[Interaction Date]]&lt;&gt;0,ROW()-1,"")</f>
        <v>169</v>
      </c>
      <c r="B170" s="13">
        <v>46093</v>
      </c>
      <c r="C170" s="10" t="s">
        <v>1078</v>
      </c>
      <c r="D170" s="11" t="str">
        <f>IFERROR(INDEX(Contacts!$B:$B,MATCH(C170,Contacts!$F:$F,0))&amp;" "&amp;INDEX(Contacts!$C:$C,MATCH(C170,Contacts!$F:$F,0)),"")</f>
        <v>גבי קמינסקי</v>
      </c>
      <c r="E170" s="14" t="str">
        <f>IFERROR(INDEX(Contacts!$E:$E,MATCH(C170,Contacts!$F:$F,0)),"")</f>
        <v>עתידים חברה לתעשיות עתירות מדע בע"מ (סיטיזון)</v>
      </c>
      <c r="F170" s="9" t="s">
        <v>9</v>
      </c>
      <c r="G170" s="10" t="s">
        <v>2994</v>
      </c>
      <c r="H170" s="10" t="s">
        <v>2105</v>
      </c>
      <c r="I170" s="13"/>
      <c r="J170" s="13"/>
      <c r="K170" s="10" t="s">
        <v>2818</v>
      </c>
      <c r="L170" s="11" t="str">
        <f t="shared" si="2"/>
        <v>2026-03-12gaby@city-zone.co</v>
      </c>
    </row>
    <row r="171" spans="1:12" ht="15" customHeight="1">
      <c r="A171" s="19">
        <f>IF(tblOutreachLog[[#This Row],[Interaction Date]]&lt;&gt;0,ROW()-1,"")</f>
        <v>170</v>
      </c>
      <c r="B171" s="13">
        <v>46093</v>
      </c>
      <c r="C171" s="10" t="s">
        <v>2064</v>
      </c>
      <c r="D171" s="11" t="str">
        <f>IFERROR(INDEX(Contacts!$B:$B,MATCH(C171,Contacts!$F:$F,0))&amp;" "&amp;INDEX(Contacts!$C:$C,MATCH(C171,Contacts!$F:$F,0)),"")</f>
        <v>ליאת שהם</v>
      </c>
      <c r="E171" s="14" t="str">
        <f>IFERROR(INDEX(Contacts!$E:$E,MATCH(C171,Contacts!$F:$F,0)),"")</f>
        <v>עתידים חברה לתעשיות עתירות מדע בע"מ (סיטיזון)</v>
      </c>
      <c r="F171" s="9" t="s">
        <v>9</v>
      </c>
      <c r="G171" s="10" t="s">
        <v>2994</v>
      </c>
      <c r="H171" s="10" t="s">
        <v>2105</v>
      </c>
      <c r="I171" s="13"/>
      <c r="J171" s="13"/>
      <c r="K171" s="10" t="s">
        <v>2818</v>
      </c>
      <c r="L171" s="11" t="str">
        <f t="shared" si="2"/>
        <v>2026-03-12liat.shaham@city-zone.co</v>
      </c>
    </row>
    <row r="172" spans="1:12" ht="15" customHeight="1">
      <c r="A172" s="19">
        <f>IF(tblOutreachLog[[#This Row],[Interaction Date]]&lt;&gt;0,ROW()-1,"")</f>
        <v>171</v>
      </c>
      <c r="B172" s="13">
        <v>46093</v>
      </c>
      <c r="C172" s="10" t="s">
        <v>2066</v>
      </c>
      <c r="D172" s="11" t="str">
        <f>IFERROR(INDEX(Contacts!$B:$B,MATCH(C172,Contacts!$F:$F,0))&amp;" "&amp;INDEX(Contacts!$C:$C,MATCH(C172,Contacts!$F:$F,0)),"")</f>
        <v>אודי טרבולסקי</v>
      </c>
      <c r="E172" s="14" t="str">
        <f>IFERROR(INDEX(Contacts!$E:$E,MATCH(C172,Contacts!$F:$F,0)),"")</f>
        <v>עתידים חברה לתעשיות עתירות מדע בע"מ (סיטיזון)</v>
      </c>
      <c r="F172" s="9" t="s">
        <v>9</v>
      </c>
      <c r="G172" s="10" t="s">
        <v>2994</v>
      </c>
      <c r="H172" s="10" t="s">
        <v>2105</v>
      </c>
      <c r="I172" s="13"/>
      <c r="J172" s="13"/>
      <c r="K172" s="10" t="s">
        <v>2818</v>
      </c>
      <c r="L172" s="11" t="str">
        <f t="shared" si="2"/>
        <v>2026-03-12udi.trabolsky@city-zone.co</v>
      </c>
    </row>
    <row r="173" spans="1:12" ht="15" customHeight="1">
      <c r="A173" s="19">
        <f>IF(tblOutreachLog[[#This Row],[Interaction Date]]&lt;&gt;0,ROW()-1,"")</f>
        <v>172</v>
      </c>
      <c r="B173" s="13">
        <v>46093</v>
      </c>
      <c r="C173" s="10" t="s">
        <v>1221</v>
      </c>
      <c r="D173" s="11" t="str">
        <f>IFERROR(INDEX(Contacts!$B:$B,MATCH(C173,Contacts!$F:$F,0))&amp;" "&amp;INDEX(Contacts!$C:$C,MATCH(C173,Contacts!$F:$F,0)),"")</f>
        <v xml:space="preserve"> </v>
      </c>
      <c r="E173" s="14" t="str">
        <f>IFERROR(INDEX(Contacts!$E:$E,MATCH(C173,Contacts!$F:$F,0)),"")</f>
        <v>פארק קאסם היי-טק בע"מ</v>
      </c>
      <c r="F173" s="9" t="s">
        <v>9</v>
      </c>
      <c r="G173" s="10" t="s">
        <v>2994</v>
      </c>
      <c r="H173" s="10" t="s">
        <v>2105</v>
      </c>
      <c r="I173" s="13"/>
      <c r="J173" s="13"/>
      <c r="K173" s="10" t="s">
        <v>2818</v>
      </c>
      <c r="L173" s="11" t="str">
        <f t="shared" si="2"/>
        <v>2026-03-12info@ibtikar-bc.com</v>
      </c>
    </row>
    <row r="174" spans="1:12" ht="15" customHeight="1">
      <c r="A174" s="19">
        <f>IF(tblOutreachLog[[#This Row],[Interaction Date]]&lt;&gt;0,ROW()-1,"")</f>
        <v>173</v>
      </c>
      <c r="B174" s="13">
        <v>46093</v>
      </c>
      <c r="C174" s="10" t="s">
        <v>1244</v>
      </c>
      <c r="D174" s="11" t="str">
        <f>IFERROR(INDEX(Contacts!$B:$B,MATCH(C174,Contacts!$F:$F,0))&amp;" "&amp;INDEX(Contacts!$C:$C,MATCH(C174,Contacts!$F:$F,0)),"")</f>
        <v>קובי פוליקוב</v>
      </c>
      <c r="E174" s="14" t="str">
        <f>IFERROR(INDEX(Contacts!$E:$E,MATCH(C174,Contacts!$F:$F,0)),"")</f>
        <v>פיזיקל לוגיק בע"מ</v>
      </c>
      <c r="F174" s="9" t="s">
        <v>9</v>
      </c>
      <c r="G174" s="10" t="s">
        <v>2994</v>
      </c>
      <c r="H174" s="10" t="s">
        <v>2105</v>
      </c>
      <c r="I174" s="13"/>
      <c r="J174" s="13"/>
      <c r="K174" s="10" t="s">
        <v>2818</v>
      </c>
      <c r="L174" s="11" t="str">
        <f t="shared" si="2"/>
        <v>2026-03-12info@physical-logic.com</v>
      </c>
    </row>
    <row r="175" spans="1:12" ht="15" customHeight="1">
      <c r="A175" s="19">
        <f>IF(tblOutreachLog[[#This Row],[Interaction Date]]&lt;&gt;0,ROW()-1,"")</f>
        <v>174</v>
      </c>
      <c r="B175" s="13">
        <v>46093</v>
      </c>
      <c r="C175" s="10" t="s">
        <v>1246</v>
      </c>
      <c r="D175" s="11" t="str">
        <f>IFERROR(INDEX(Contacts!$B:$B,MATCH(C175,Contacts!$F:$F,0))&amp;" "&amp;INDEX(Contacts!$C:$C,MATCH(C175,Contacts!$F:$F,0)),"")</f>
        <v>אמיר אברמוביץ</v>
      </c>
      <c r="E175" s="14" t="str">
        <f>IFERROR(INDEX(Contacts!$E:$E,MATCH(C175,Contacts!$F:$F,0)),"")</f>
        <v>פלסקולייט ישראל בע"מ</v>
      </c>
      <c r="F175" s="9" t="s">
        <v>9</v>
      </c>
      <c r="G175" s="10" t="s">
        <v>2994</v>
      </c>
      <c r="H175" s="10" t="s">
        <v>2105</v>
      </c>
      <c r="I175" s="13"/>
      <c r="J175" s="13"/>
      <c r="K175" s="10" t="s">
        <v>2818</v>
      </c>
      <c r="L175" s="11" t="str">
        <f t="shared" si="2"/>
        <v>2026-03-12info@plazit-polygal.com</v>
      </c>
    </row>
    <row r="176" spans="1:12" ht="15" customHeight="1">
      <c r="A176" s="19">
        <f>IF(tblOutreachLog[[#This Row],[Interaction Date]]&lt;&gt;0,ROW()-1,"")</f>
        <v>175</v>
      </c>
      <c r="B176" s="13">
        <v>46093</v>
      </c>
      <c r="C176" s="10" t="s">
        <v>1238</v>
      </c>
      <c r="D176" s="11" t="str">
        <f>IFERROR(INDEX(Contacts!$B:$B,MATCH(C176,Contacts!$F:$F,0))&amp;" "&amp;INDEX(Contacts!$C:$C,MATCH(C176,Contacts!$F:$F,0)),"")</f>
        <v>עמיחי דרורי</v>
      </c>
      <c r="E176" s="14" t="str">
        <f>IFERROR(INDEX(Contacts!$E:$E,MATCH(C176,Contacts!$F:$F,0)),"")</f>
        <v>פס-גון (1996) בע"מ</v>
      </c>
      <c r="F176" s="9" t="s">
        <v>9</v>
      </c>
      <c r="G176" s="10" t="s">
        <v>2994</v>
      </c>
      <c r="H176" s="10" t="s">
        <v>2105</v>
      </c>
      <c r="I176" s="13"/>
      <c r="J176" s="13"/>
      <c r="K176" s="10" t="s">
        <v>2818</v>
      </c>
      <c r="L176" s="11" t="str">
        <f t="shared" si="2"/>
        <v>2026-03-12info@pas-gon.com</v>
      </c>
    </row>
    <row r="177" spans="1:12" ht="15" customHeight="1">
      <c r="A177" s="19">
        <f>IF(tblOutreachLog[[#This Row],[Interaction Date]]&lt;&gt;0,ROW()-1,"")</f>
        <v>176</v>
      </c>
      <c r="B177" s="13">
        <v>46093</v>
      </c>
      <c r="C177" s="10" t="s">
        <v>1291</v>
      </c>
      <c r="D177" s="11" t="str">
        <f>IFERROR(INDEX(Contacts!$B:$B,MATCH(C177,Contacts!$F:$F,0))&amp;" "&amp;INDEX(Contacts!$C:$C,MATCH(C177,Contacts!$F:$F,0)),"")</f>
        <v>איתמר קוהלי</v>
      </c>
      <c r="E177" s="14" t="str">
        <f>IFERROR(INDEX(Contacts!$E:$E,MATCH(C177,Contacts!$F:$F,0)),"")</f>
        <v>פרופלור דרונס בע״מ</v>
      </c>
      <c r="F177" s="9" t="s">
        <v>9</v>
      </c>
      <c r="G177" s="10" t="s">
        <v>2994</v>
      </c>
      <c r="H177" s="10" t="s">
        <v>2105</v>
      </c>
      <c r="I177" s="13"/>
      <c r="J177" s="13"/>
      <c r="K177" s="10" t="s">
        <v>2818</v>
      </c>
      <c r="L177" s="11" t="str">
        <f t="shared" si="2"/>
        <v>2026-03-12itamar@propeller-drones.com</v>
      </c>
    </row>
    <row r="178" spans="1:12" ht="15" customHeight="1">
      <c r="A178" s="19">
        <f>IF(tblOutreachLog[[#This Row],[Interaction Date]]&lt;&gt;0,ROW()-1,"")</f>
        <v>177</v>
      </c>
      <c r="B178" s="13">
        <v>46093</v>
      </c>
      <c r="C178" s="10" t="s">
        <v>1236</v>
      </c>
      <c r="D178" s="11" t="str">
        <f>IFERROR(INDEX(Contacts!$B:$B,MATCH(C178,Contacts!$F:$F,0))&amp;" "&amp;INDEX(Contacts!$C:$C,MATCH(C178,Contacts!$F:$F,0)),"")</f>
        <v>ברק הרשקוביץ (גם יסראל)</v>
      </c>
      <c r="E178" s="14" t="str">
        <f>IFERROR(INDEX(Contacts!$E:$E,MATCH(C178,Contacts!$F:$F,0)),"")</f>
        <v>פרלאל וויירליס ישראל בע"מ</v>
      </c>
      <c r="F178" s="9" t="s">
        <v>9</v>
      </c>
      <c r="G178" s="10" t="s">
        <v>2994</v>
      </c>
      <c r="H178" s="10" t="s">
        <v>2105</v>
      </c>
      <c r="I178" s="13"/>
      <c r="J178" s="13"/>
      <c r="K178" s="10" t="s">
        <v>2818</v>
      </c>
      <c r="L178" s="11" t="str">
        <f t="shared" si="2"/>
        <v>2026-03-12info@parallelwireless.com</v>
      </c>
    </row>
    <row r="179" spans="1:12" ht="15" customHeight="1">
      <c r="A179" s="19">
        <f>IF(tblOutreachLog[[#This Row],[Interaction Date]]&lt;&gt;0,ROW()-1,"")</f>
        <v>178</v>
      </c>
      <c r="B179" s="13">
        <v>46093</v>
      </c>
      <c r="C179" s="10" t="s">
        <v>2068</v>
      </c>
      <c r="D179" s="11" t="str">
        <f>IFERROR(INDEX(Contacts!$B:$B,MATCH(C179,Contacts!$F:$F,0))&amp;" "&amp;INDEX(Contacts!$C:$C,MATCH(C179,Contacts!$F:$F,0)),"")</f>
        <v>סטיב פפה</v>
      </c>
      <c r="E179" s="14" t="str">
        <f>IFERROR(INDEX(Contacts!$E:$E,MATCH(C179,Contacts!$F:$F,0)),"")</f>
        <v>פרלאל וויירליס ישראל בע"מ</v>
      </c>
      <c r="F179" s="9" t="s">
        <v>9</v>
      </c>
      <c r="G179" s="10" t="s">
        <v>2994</v>
      </c>
      <c r="H179" s="10" t="s">
        <v>2105</v>
      </c>
      <c r="I179" s="13"/>
      <c r="J179" s="13"/>
      <c r="K179" s="10" t="s">
        <v>2818</v>
      </c>
      <c r="L179" s="11" t="str">
        <f t="shared" si="2"/>
        <v>2026-03-12steve.papa@parallelwireless.com</v>
      </c>
    </row>
    <row r="180" spans="1:12" ht="15" customHeight="1">
      <c r="A180" s="19">
        <f>IF(tblOutreachLog[[#This Row],[Interaction Date]]&lt;&gt;0,ROW()-1,"")</f>
        <v>179</v>
      </c>
      <c r="B180" s="13">
        <v>46093</v>
      </c>
      <c r="C180" s="10" t="s">
        <v>970</v>
      </c>
      <c r="D180" s="11" t="str">
        <f>IFERROR(INDEX(Contacts!$B:$B,MATCH(C180,Contacts!$F:$F,0))&amp;" "&amp;INDEX(Contacts!$C:$C,MATCH(C180,Contacts!$F:$F,0)),"")</f>
        <v>דור אבוחצירה</v>
      </c>
      <c r="E180" s="14" t="str">
        <f>IFERROR(INDEX(Contacts!$E:$E,MATCH(C180,Contacts!$F:$F,0)),"")</f>
        <v>פרספטו רובוטיקס בע"מ.</v>
      </c>
      <c r="F180" s="9" t="s">
        <v>9</v>
      </c>
      <c r="G180" s="10" t="s">
        <v>2994</v>
      </c>
      <c r="H180" s="10" t="s">
        <v>2105</v>
      </c>
      <c r="I180" s="13"/>
      <c r="J180" s="13"/>
      <c r="K180" s="10" t="s">
        <v>2818</v>
      </c>
      <c r="L180" s="11" t="str">
        <f t="shared" si="2"/>
        <v>2026-03-12dor@percepto.co</v>
      </c>
    </row>
    <row r="181" spans="1:12" ht="15" customHeight="1">
      <c r="A181" s="19">
        <f>IF(tblOutreachLog[[#This Row],[Interaction Date]]&lt;&gt;0,ROW()-1,"")</f>
        <v>180</v>
      </c>
      <c r="B181" s="13">
        <v>46093</v>
      </c>
      <c r="C181" s="10" t="s">
        <v>2070</v>
      </c>
      <c r="D181" s="11" t="str">
        <f>IFERROR(INDEX(Contacts!$B:$B,MATCH(C181,Contacts!$F:$F,0))&amp;" "&amp;INDEX(Contacts!$C:$C,MATCH(C181,Contacts!$F:$F,0)),"")</f>
        <v>שגיא בלונדר</v>
      </c>
      <c r="E181" s="14" t="str">
        <f>IFERROR(INDEX(Contacts!$E:$E,MATCH(C181,Contacts!$F:$F,0)),"")</f>
        <v>פרספטו רובוטיקס בע"מ.</v>
      </c>
      <c r="F181" s="9" t="s">
        <v>9</v>
      </c>
      <c r="G181" s="10" t="s">
        <v>2994</v>
      </c>
      <c r="H181" s="10" t="s">
        <v>2105</v>
      </c>
      <c r="I181" s="13"/>
      <c r="J181" s="13"/>
      <c r="K181" s="10" t="s">
        <v>2818</v>
      </c>
      <c r="L181" s="11" t="str">
        <f t="shared" si="2"/>
        <v>2026-03-12sagi.blonder@percepto.co</v>
      </c>
    </row>
    <row r="182" spans="1:12" ht="15" customHeight="1">
      <c r="A182" s="19">
        <f>IF(tblOutreachLog[[#This Row],[Interaction Date]]&lt;&gt;0,ROW()-1,"")</f>
        <v>181</v>
      </c>
      <c r="B182" s="13">
        <v>46093</v>
      </c>
      <c r="C182" s="10" t="s">
        <v>1241</v>
      </c>
      <c r="D182" s="11" t="str">
        <f>IFERROR(INDEX(Contacts!$B:$B,MATCH(C182,Contacts!$F:$F,0))&amp;" "&amp;INDEX(Contacts!$C:$C,MATCH(C182,Contacts!$F:$F,0)),"")</f>
        <v>רביב רז</v>
      </c>
      <c r="E182" s="14" t="str">
        <f>IFERROR(INDEX(Contacts!$E:$E,MATCH(C182,Contacts!$F:$F,0)),"")</f>
        <v>פרספטו רובוטיקס בע"מ.</v>
      </c>
      <c r="F182" s="9" t="s">
        <v>9</v>
      </c>
      <c r="G182" s="10" t="s">
        <v>2994</v>
      </c>
      <c r="H182" s="10" t="s">
        <v>2105</v>
      </c>
      <c r="I182" s="13"/>
      <c r="J182" s="13"/>
      <c r="K182" s="10" t="s">
        <v>2818</v>
      </c>
      <c r="L182" s="11" t="str">
        <f t="shared" si="2"/>
        <v>2026-03-12info@percepto.co</v>
      </c>
    </row>
    <row r="183" spans="1:12" ht="15" customHeight="1">
      <c r="A183" s="19">
        <f>IF(tblOutreachLog[[#This Row],[Interaction Date]]&lt;&gt;0,ROW()-1,"")</f>
        <v>182</v>
      </c>
      <c r="B183" s="13">
        <v>46093</v>
      </c>
      <c r="C183" s="10" t="s">
        <v>1369</v>
      </c>
      <c r="D183" s="11" t="str">
        <f>IFERROR(INDEX(Contacts!$B:$B,MATCH(C183,Contacts!$F:$F,0))&amp;" "&amp;INDEX(Contacts!$C:$C,MATCH(C183,Contacts!$F:$F,0)),"")</f>
        <v xml:space="preserve">יעל </v>
      </c>
      <c r="E183" s="14" t="str">
        <f>IFERROR(INDEX(Contacts!$E:$E,MATCH(C183,Contacts!$F:$F,0)),"")</f>
        <v>צפונטק הגליל בע"מ</v>
      </c>
      <c r="F183" s="9" t="s">
        <v>9</v>
      </c>
      <c r="G183" s="10" t="s">
        <v>2994</v>
      </c>
      <c r="H183" s="10" t="s">
        <v>2105</v>
      </c>
      <c r="I183" s="13"/>
      <c r="J183" s="13"/>
      <c r="K183" s="10" t="s">
        <v>2818</v>
      </c>
      <c r="L183" s="11" t="str">
        <f t="shared" si="2"/>
        <v>2026-03-12lovenyaal@gmail.com</v>
      </c>
    </row>
    <row r="184" spans="1:12" ht="15" customHeight="1">
      <c r="A184" s="19">
        <f>IF(tblOutreachLog[[#This Row],[Interaction Date]]&lt;&gt;0,ROW()-1,"")</f>
        <v>183</v>
      </c>
      <c r="B184" s="13">
        <v>46093</v>
      </c>
      <c r="C184" s="10" t="s">
        <v>2072</v>
      </c>
      <c r="D184" s="11" t="str">
        <f>IFERROR(INDEX(Contacts!$B:$B,MATCH(C184,Contacts!$F:$F,0))&amp;" "&amp;INDEX(Contacts!$C:$C,MATCH(C184,Contacts!$F:$F,0)),"")</f>
        <v>שרון גולדברט</v>
      </c>
      <c r="E184" s="14" t="str">
        <f>IFERROR(INDEX(Contacts!$E:$E,MATCH(C184,Contacts!$F:$F,0)),"")</f>
        <v>צפונטק הגליל בע"מ</v>
      </c>
      <c r="F184" s="9" t="s">
        <v>9</v>
      </c>
      <c r="G184" s="10" t="s">
        <v>2994</v>
      </c>
      <c r="H184" s="10" t="s">
        <v>2105</v>
      </c>
      <c r="I184" s="13"/>
      <c r="J184" s="13"/>
      <c r="K184" s="10" t="s">
        <v>2818</v>
      </c>
      <c r="L184" s="11" t="str">
        <f t="shared" si="2"/>
        <v>2026-03-12sharon.goldbart@gmail.com</v>
      </c>
    </row>
    <row r="185" spans="1:12" ht="15" customHeight="1">
      <c r="A185" s="19">
        <f>IF(tblOutreachLog[[#This Row],[Interaction Date]]&lt;&gt;0,ROW()-1,"")</f>
        <v>184</v>
      </c>
      <c r="B185" s="13">
        <v>46093</v>
      </c>
      <c r="C185" s="10" t="s">
        <v>1800</v>
      </c>
      <c r="D185" s="11" t="str">
        <f>IFERROR(INDEX(Contacts!$B:$B,MATCH(C185,Contacts!$F:$F,0))&amp;" "&amp;INDEX(Contacts!$C:$C,MATCH(C185,Contacts!$F:$F,0)),"")</f>
        <v>שרון גולדבארט</v>
      </c>
      <c r="E185" s="14" t="str">
        <f>IFERROR(INDEX(Contacts!$E:$E,MATCH(C185,Contacts!$F:$F,0)),"")</f>
        <v>צפונטק הגליל בע"מ</v>
      </c>
      <c r="F185" s="9" t="s">
        <v>9</v>
      </c>
      <c r="G185" s="10" t="s">
        <v>2994</v>
      </c>
      <c r="H185" s="10" t="s">
        <v>2105</v>
      </c>
      <c r="I185" s="13"/>
      <c r="J185" s="13"/>
      <c r="K185" s="10" t="s">
        <v>2818</v>
      </c>
      <c r="L185" s="11" t="str">
        <f t="shared" si="2"/>
        <v>2026-03-12stam.mail.for.fb@gmail.com</v>
      </c>
    </row>
    <row r="186" spans="1:12" ht="15" customHeight="1">
      <c r="A186" s="19">
        <f>IF(tblOutreachLog[[#This Row],[Interaction Date]]&lt;&gt;0,ROW()-1,"")</f>
        <v>185</v>
      </c>
      <c r="B186" s="13">
        <v>46093</v>
      </c>
      <c r="C186" s="10" t="s">
        <v>2073</v>
      </c>
      <c r="D186" s="11" t="str">
        <f>IFERROR(INDEX(Contacts!$B:$B,MATCH(C186,Contacts!$F:$F,0))&amp;" "&amp;INDEX(Contacts!$C:$C,MATCH(C186,Contacts!$F:$F,0)),"")</f>
        <v>דוד תומר</v>
      </c>
      <c r="E186" s="14" t="str">
        <f>IFERROR(INDEX(Contacts!$E:$E,MATCH(C186,Contacts!$F:$F,0)),"")</f>
        <v>קורנית דיגיטל בע"מ</v>
      </c>
      <c r="F186" s="9" t="s">
        <v>9</v>
      </c>
      <c r="G186" s="10" t="s">
        <v>2994</v>
      </c>
      <c r="H186" s="10" t="s">
        <v>2105</v>
      </c>
      <c r="I186" s="13"/>
      <c r="J186" s="13"/>
      <c r="K186" s="10" t="s">
        <v>2818</v>
      </c>
      <c r="L186" s="11" t="str">
        <f t="shared" si="2"/>
        <v>2026-03-12david.tomer@kornit.com</v>
      </c>
    </row>
    <row r="187" spans="1:12" ht="15" customHeight="1">
      <c r="A187" s="19">
        <f>IF(tblOutreachLog[[#This Row],[Interaction Date]]&lt;&gt;0,ROW()-1,"")</f>
        <v>186</v>
      </c>
      <c r="B187" s="13">
        <v>46093</v>
      </c>
      <c r="C187" s="10" t="s">
        <v>2074</v>
      </c>
      <c r="D187" s="11" t="str">
        <f>IFERROR(INDEX(Contacts!$B:$B,MATCH(C187,Contacts!$F:$F,0))&amp;" "&amp;INDEX(Contacts!$C:$C,MATCH(C187,Contacts!$F:$F,0)),"")</f>
        <v>קובי מן</v>
      </c>
      <c r="E187" s="14" t="str">
        <f>IFERROR(INDEX(Contacts!$E:$E,MATCH(C187,Contacts!$F:$F,0)),"")</f>
        <v>קורנית דיגיטל בע"מ</v>
      </c>
      <c r="F187" s="9" t="s">
        <v>9</v>
      </c>
      <c r="G187" s="10" t="s">
        <v>2994</v>
      </c>
      <c r="H187" s="10" t="s">
        <v>2105</v>
      </c>
      <c r="I187" s="13"/>
      <c r="J187" s="13"/>
      <c r="K187" s="10" t="s">
        <v>2818</v>
      </c>
      <c r="L187" s="11" t="str">
        <f t="shared" si="2"/>
        <v>2026-03-12kobi.mann@kornit.com</v>
      </c>
    </row>
    <row r="188" spans="1:12" ht="15" customHeight="1">
      <c r="A188" s="19">
        <f>IF(tblOutreachLog[[#This Row],[Interaction Date]]&lt;&gt;0,ROW()-1,"")</f>
        <v>187</v>
      </c>
      <c r="B188" s="13">
        <v>46093</v>
      </c>
      <c r="C188" s="10" t="s">
        <v>1249</v>
      </c>
      <c r="D188" s="11" t="str">
        <f>IFERROR(INDEX(Contacts!$B:$B,MATCH(C188,Contacts!$F:$F,0))&amp;" "&amp;INDEX(Contacts!$C:$C,MATCH(C188,Contacts!$F:$F,0)),"")</f>
        <v>איתמר סיוון</v>
      </c>
      <c r="E188" s="14" t="str">
        <f>IFERROR(INDEX(Contacts!$E:$E,MATCH(C188,Contacts!$F:$F,0)),"")</f>
        <v>קיו. אמ. טקנולוג'יז בע"מ</v>
      </c>
      <c r="F188" s="9" t="s">
        <v>9</v>
      </c>
      <c r="G188" s="10" t="s">
        <v>2994</v>
      </c>
      <c r="H188" s="10" t="s">
        <v>2105</v>
      </c>
      <c r="I188" s="13"/>
      <c r="J188" s="13"/>
      <c r="K188" s="10" t="s">
        <v>2818</v>
      </c>
      <c r="L188" s="11" t="str">
        <f t="shared" si="2"/>
        <v>2026-03-12info@quantum-machines.co</v>
      </c>
    </row>
    <row r="189" spans="1:12" ht="15" customHeight="1">
      <c r="A189" s="19">
        <f>IF(tblOutreachLog[[#This Row],[Interaction Date]]&lt;&gt;0,ROW()-1,"")</f>
        <v>188</v>
      </c>
      <c r="B189" s="13">
        <v>46093</v>
      </c>
      <c r="C189" s="10" t="s">
        <v>1907</v>
      </c>
      <c r="D189" s="11" t="str">
        <f>IFERROR(INDEX(Contacts!$B:$B,MATCH(C189,Contacts!$F:$F,0))&amp;" "&amp;INDEX(Contacts!$C:$C,MATCH(C189,Contacts!$F:$F,0)),"")</f>
        <v>יונתן כהן</v>
      </c>
      <c r="E189" s="14" t="str">
        <f>IFERROR(INDEX(Contacts!$E:$E,MATCH(C189,Contacts!$F:$F,0)),"")</f>
        <v>קיו. אמ. טקנולוג'יז בע"מ</v>
      </c>
      <c r="F189" s="9" t="s">
        <v>9</v>
      </c>
      <c r="G189" s="10" t="s">
        <v>2994</v>
      </c>
      <c r="H189" s="10" t="s">
        <v>2105</v>
      </c>
      <c r="I189" s="13"/>
      <c r="J189" s="13"/>
      <c r="K189" s="10" t="s">
        <v>2818</v>
      </c>
      <c r="L189" s="11" t="str">
        <f t="shared" si="2"/>
        <v>2026-03-12yonatan@quantum-machines.co</v>
      </c>
    </row>
    <row r="190" spans="1:12" ht="15" customHeight="1">
      <c r="A190" s="19">
        <f>IF(tblOutreachLog[[#This Row],[Interaction Date]]&lt;&gt;0,ROW()-1,"")</f>
        <v>189</v>
      </c>
      <c r="B190" s="13">
        <v>46093</v>
      </c>
      <c r="C190" s="10" t="s">
        <v>2076</v>
      </c>
      <c r="D190" s="11" t="str">
        <f>IFERROR(INDEX(Contacts!$B:$B,MATCH(C190,Contacts!$F:$F,0))&amp;" "&amp;INDEX(Contacts!$C:$C,MATCH(C190,Contacts!$F:$F,0)),"")</f>
        <v>שאול גלילה</v>
      </c>
      <c r="E190" s="14" t="str">
        <f>IFERROR(INDEX(Contacts!$E:$E,MATCH(C190,Contacts!$F:$F,0)),"")</f>
        <v>קיו. אמ. טקנולוג'יז בע"מ</v>
      </c>
      <c r="F190" s="9" t="s">
        <v>9</v>
      </c>
      <c r="G190" s="10" t="s">
        <v>2994</v>
      </c>
      <c r="H190" s="10" t="s">
        <v>2105</v>
      </c>
      <c r="I190" s="13"/>
      <c r="J190" s="13"/>
      <c r="K190" s="10" t="s">
        <v>2818</v>
      </c>
      <c r="L190" s="11" t="str">
        <f t="shared" si="2"/>
        <v>2026-03-12shaul@quantum-machines.co</v>
      </c>
    </row>
    <row r="191" spans="1:12" ht="15" customHeight="1">
      <c r="A191" s="19">
        <f>IF(tblOutreachLog[[#This Row],[Interaction Date]]&lt;&gt;0,ROW()-1,"")</f>
        <v>190</v>
      </c>
      <c r="B191" s="13">
        <v>46093</v>
      </c>
      <c r="C191" s="10" t="s">
        <v>1292</v>
      </c>
      <c r="D191" s="11" t="str">
        <f>IFERROR(INDEX(Contacts!$B:$B,MATCH(C191,Contacts!$F:$F,0))&amp;" "&amp;INDEX(Contacts!$C:$C,MATCH(C191,Contacts!$F:$F,0)),"")</f>
        <v/>
      </c>
      <c r="E191" s="14" t="str">
        <f>IFERROR(INDEX(Contacts!$E:$E,MATCH(C191,Contacts!$F:$F,0)),"")</f>
        <v/>
      </c>
      <c r="F191" s="9" t="s">
        <v>9</v>
      </c>
      <c r="G191" s="10" t="s">
        <v>2994</v>
      </c>
      <c r="H191" s="10" t="s">
        <v>2105</v>
      </c>
      <c r="I191" s="13"/>
      <c r="J191" s="13"/>
      <c r="K191" s="10" t="s">
        <v>2818</v>
      </c>
      <c r="L191" s="11" t="str">
        <f t="shared" si="2"/>
        <v>2026-03-12itamar@quantum-machines.co</v>
      </c>
    </row>
    <row r="192" spans="1:12" ht="15" customHeight="1">
      <c r="A192" s="19">
        <f>IF(tblOutreachLog[[#This Row],[Interaction Date]]&lt;&gt;0,ROW()-1,"")</f>
        <v>191</v>
      </c>
      <c r="B192" s="13">
        <v>46093</v>
      </c>
      <c r="C192" s="10" t="s">
        <v>1513</v>
      </c>
      <c r="D192" s="11" t="str">
        <f>IFERROR(INDEX(Contacts!$B:$B,MATCH(C192,Contacts!$F:$F,0))&amp;" "&amp;INDEX(Contacts!$C:$C,MATCH(C192,Contacts!$F:$F,0)),"")</f>
        <v>ניר מאור</v>
      </c>
      <c r="E192" s="14" t="str">
        <f>IFERROR(INDEX(Contacts!$E:$E,MATCH(C192,Contacts!$F:$F,0)),"")</f>
        <v>קלא - טנכור קורפוריישן (ישראל)</v>
      </c>
      <c r="F192" s="9" t="s">
        <v>9</v>
      </c>
      <c r="G192" s="10" t="s">
        <v>2994</v>
      </c>
      <c r="H192" s="10" t="s">
        <v>2105</v>
      </c>
      <c r="I192" s="13"/>
      <c r="J192" s="13"/>
      <c r="K192" s="10" t="s">
        <v>2818</v>
      </c>
      <c r="L192" s="11" t="str">
        <f t="shared" si="2"/>
        <v>2026-03-12nir.maor@kla.com</v>
      </c>
    </row>
    <row r="193" spans="1:12" ht="15" customHeight="1">
      <c r="A193" s="19">
        <f>IF(tblOutreachLog[[#This Row],[Interaction Date]]&lt;&gt;0,ROW()-1,"")</f>
        <v>192</v>
      </c>
      <c r="B193" s="13">
        <v>46093</v>
      </c>
      <c r="C193" s="10" t="s">
        <v>2079</v>
      </c>
      <c r="D193" s="11" t="str">
        <f>IFERROR(INDEX(Contacts!$B:$B,MATCH(C193,Contacts!$F:$F,0))&amp;" "&amp;INDEX(Contacts!$C:$C,MATCH(C193,Contacts!$F:$F,0)),"")</f>
        <v>ריק וואלאס</v>
      </c>
      <c r="E193" s="14" t="str">
        <f>IFERROR(INDEX(Contacts!$E:$E,MATCH(C193,Contacts!$F:$F,0)),"")</f>
        <v>קלא - טנכור קורפוריישן (ישראל)</v>
      </c>
      <c r="F193" s="9" t="s">
        <v>9</v>
      </c>
      <c r="G193" s="10" t="s">
        <v>2994</v>
      </c>
      <c r="H193" s="10" t="s">
        <v>2105</v>
      </c>
      <c r="I193" s="13"/>
      <c r="J193" s="13"/>
      <c r="K193" s="10" t="s">
        <v>2818</v>
      </c>
      <c r="L193" s="11" t="str">
        <f t="shared" si="2"/>
        <v>2026-03-12rick.wallace@kla-tencor.com</v>
      </c>
    </row>
    <row r="194" spans="1:12" ht="15" customHeight="1">
      <c r="A194" s="19">
        <f>IF(tblOutreachLog[[#This Row],[Interaction Date]]&lt;&gt;0,ROW()-1,"")</f>
        <v>193</v>
      </c>
      <c r="B194" s="13">
        <v>46093</v>
      </c>
      <c r="C194" s="10" t="s">
        <v>2081</v>
      </c>
      <c r="D194" s="11" t="str">
        <f>IFERROR(INDEX(Contacts!$B:$B,MATCH(C194,Contacts!$F:$F,0))&amp;" "&amp;INDEX(Contacts!$C:$C,MATCH(C194,Contacts!$F:$F,0)),"")</f>
        <v>בן צאי</v>
      </c>
      <c r="E194" s="14" t="str">
        <f>IFERROR(INDEX(Contacts!$E:$E,MATCH(C194,Contacts!$F:$F,0)),"")</f>
        <v>קלא - טנכור קורפוריישן (ישראל)</v>
      </c>
      <c r="F194" s="9" t="s">
        <v>9</v>
      </c>
      <c r="G194" s="10" t="s">
        <v>2994</v>
      </c>
      <c r="H194" s="10" t="s">
        <v>2105</v>
      </c>
      <c r="I194" s="13"/>
      <c r="J194" s="13"/>
      <c r="K194" s="10" t="s">
        <v>2818</v>
      </c>
      <c r="L194" s="11" t="str">
        <f t="shared" ref="L194:L257" si="3">TEXT(B194,"YYYY-MM-DD")&amp;C194</f>
        <v>2026-03-12ben.tsai@kla.com</v>
      </c>
    </row>
    <row r="195" spans="1:12" ht="15" customHeight="1">
      <c r="A195" s="19">
        <f>IF(tblOutreachLog[[#This Row],[Interaction Date]]&lt;&gt;0,ROW()-1,"")</f>
        <v>194</v>
      </c>
      <c r="B195" s="13">
        <v>46093</v>
      </c>
      <c r="C195" s="10" t="s">
        <v>1566</v>
      </c>
      <c r="D195" s="11" t="str">
        <f>IFERROR(INDEX(Contacts!$B:$B,MATCH(C195,Contacts!$F:$F,0))&amp;" "&amp;INDEX(Contacts!$C:$C,MATCH(C195,Contacts!$F:$F,0)),"")</f>
        <v>ופר אלון</v>
      </c>
      <c r="E195" s="14" t="str">
        <f>IFERROR(INDEX(Contacts!$E:$E,MATCH(C195,Contacts!$F:$F,0)),"")</f>
        <v>קלא - טנכור קורפוריישן (ישראל)</v>
      </c>
      <c r="F195" s="9" t="s">
        <v>9</v>
      </c>
      <c r="G195" s="10" t="s">
        <v>2994</v>
      </c>
      <c r="H195" s="10" t="s">
        <v>2105</v>
      </c>
      <c r="I195" s="13"/>
      <c r="J195" s="13"/>
      <c r="K195" s="10" t="s">
        <v>2818</v>
      </c>
      <c r="L195" s="11" t="str">
        <f t="shared" si="3"/>
        <v>2026-03-12ofer.alon@kla.com</v>
      </c>
    </row>
    <row r="196" spans="1:12" ht="15" customHeight="1">
      <c r="A196" s="19">
        <f>IF(tblOutreachLog[[#This Row],[Interaction Date]]&lt;&gt;0,ROW()-1,"")</f>
        <v>195</v>
      </c>
      <c r="B196" s="13">
        <v>46093</v>
      </c>
      <c r="C196" s="10" t="s">
        <v>1633</v>
      </c>
      <c r="D196" s="11" t="str">
        <f>IFERROR(INDEX(Contacts!$B:$B,MATCH(C196,Contacts!$F:$F,0))&amp;" "&amp;INDEX(Contacts!$C:$C,MATCH(C196,Contacts!$F:$F,0)),"")</f>
        <v>אורי טאדמור</v>
      </c>
      <c r="E196" s="14" t="str">
        <f>IFERROR(INDEX(Contacts!$E:$E,MATCH(C196,Contacts!$F:$F,0)),"")</f>
        <v>קלא - טנכור קורפוריישן (ישראל)</v>
      </c>
      <c r="F196" s="9" t="s">
        <v>9</v>
      </c>
      <c r="G196" s="10" t="s">
        <v>2994</v>
      </c>
      <c r="H196" s="10" t="s">
        <v>2105</v>
      </c>
      <c r="I196" s="13"/>
      <c r="J196" s="13"/>
      <c r="K196" s="10" t="s">
        <v>2818</v>
      </c>
      <c r="L196" s="11" t="str">
        <f t="shared" si="3"/>
        <v>2026-03-12ori.tadmor@kla.com</v>
      </c>
    </row>
    <row r="197" spans="1:12" ht="15" customHeight="1">
      <c r="A197" s="19">
        <f>IF(tblOutreachLog[[#This Row],[Interaction Date]]&lt;&gt;0,ROW()-1,"")</f>
        <v>196</v>
      </c>
      <c r="B197" s="13">
        <v>46093</v>
      </c>
      <c r="C197" s="10" t="s">
        <v>1764</v>
      </c>
      <c r="D197" s="11" t="str">
        <f>IFERROR(INDEX(Contacts!$B:$B,MATCH(C197,Contacts!$F:$F,0))&amp;" "&amp;INDEX(Contacts!$C:$C,MATCH(C197,Contacts!$F:$F,0)),"")</f>
        <v>שי יסראלי</v>
      </c>
      <c r="E197" s="14" t="str">
        <f>IFERROR(INDEX(Contacts!$E:$E,MATCH(C197,Contacts!$F:$F,0)),"")</f>
        <v>קלא - טנכור קורפוריישן (ישראל)</v>
      </c>
      <c r="F197" s="9" t="s">
        <v>9</v>
      </c>
      <c r="G197" s="10" t="s">
        <v>2994</v>
      </c>
      <c r="H197" s="10" t="s">
        <v>2105</v>
      </c>
      <c r="I197" s="13"/>
      <c r="J197" s="13"/>
      <c r="K197" s="10" t="s">
        <v>2818</v>
      </c>
      <c r="L197" s="11" t="str">
        <f t="shared" si="3"/>
        <v>2026-03-12shay.israeli@kla.com</v>
      </c>
    </row>
    <row r="198" spans="1:12" ht="15" customHeight="1">
      <c r="A198" s="19">
        <f>IF(tblOutreachLog[[#This Row],[Interaction Date]]&lt;&gt;0,ROW()-1,"")</f>
        <v>197</v>
      </c>
      <c r="B198" s="13">
        <v>46093</v>
      </c>
      <c r="C198" s="10" t="s">
        <v>1522</v>
      </c>
      <c r="D198" s="11" t="str">
        <f>IFERROR(INDEX(Contacts!$B:$B,MATCH(C198,Contacts!$F:$F,0))&amp;" "&amp;INDEX(Contacts!$C:$C,MATCH(C198,Contacts!$F:$F,0)),"")</f>
        <v>ניר מינרבי</v>
      </c>
      <c r="E198" s="14" t="str">
        <f>IFERROR(INDEX(Contacts!$E:$E,MATCH(C198,Contacts!$F:$F,0)),"")</f>
        <v>קלאסיק טכנולוגיות בע״מ</v>
      </c>
      <c r="F198" s="9" t="s">
        <v>9</v>
      </c>
      <c r="G198" s="10" t="s">
        <v>2994</v>
      </c>
      <c r="H198" s="10" t="s">
        <v>2105</v>
      </c>
      <c r="I198" s="13"/>
      <c r="J198" s="13"/>
      <c r="K198" s="10" t="s">
        <v>2818</v>
      </c>
      <c r="L198" s="11" t="str">
        <f t="shared" si="3"/>
        <v>2026-03-12nirminerbi@gmail.com</v>
      </c>
    </row>
    <row r="199" spans="1:12" ht="15" customHeight="1">
      <c r="A199" s="19">
        <f>IF(tblOutreachLog[[#This Row],[Interaction Date]]&lt;&gt;0,ROW()-1,"")</f>
        <v>198</v>
      </c>
      <c r="B199" s="13">
        <v>46093</v>
      </c>
      <c r="C199" s="10" t="s">
        <v>2082</v>
      </c>
      <c r="D199" s="11" t="str">
        <f>IFERROR(INDEX(Contacts!$B:$B,MATCH(C199,Contacts!$F:$F,0))&amp;" "&amp;INDEX(Contacts!$C:$C,MATCH(C199,Contacts!$F:$F,0)),"")</f>
        <v>יהודה נווה</v>
      </c>
      <c r="E199" s="14" t="str">
        <f>IFERROR(INDEX(Contacts!$E:$E,MATCH(C199,Contacts!$F:$F,0)),"")</f>
        <v>קלאסיק טכנולוגיות בע״מ</v>
      </c>
      <c r="F199" s="9" t="s">
        <v>9</v>
      </c>
      <c r="G199" s="10" t="s">
        <v>2994</v>
      </c>
      <c r="H199" s="10" t="s">
        <v>2105</v>
      </c>
      <c r="I199" s="13"/>
      <c r="J199" s="13"/>
      <c r="K199" s="10" t="s">
        <v>2818</v>
      </c>
      <c r="L199" s="11" t="str">
        <f t="shared" si="3"/>
        <v>2026-03-12yehuda.naveh@gmail.com</v>
      </c>
    </row>
    <row r="200" spans="1:12" ht="15" customHeight="1">
      <c r="A200" s="19">
        <f>IF(tblOutreachLog[[#This Row],[Interaction Date]]&lt;&gt;0,ROW()-1,"")</f>
        <v>199</v>
      </c>
      <c r="B200" s="13">
        <v>46093</v>
      </c>
      <c r="C200" s="10" t="s">
        <v>909</v>
      </c>
      <c r="D200" s="11" t="str">
        <f>IFERROR(INDEX(Contacts!$B:$B,MATCH(C200,Contacts!$F:$F,0))&amp;" "&amp;INDEX(Contacts!$C:$C,MATCH(C200,Contacts!$F:$F,0)),"")</f>
        <v>תמי ריקליס</v>
      </c>
      <c r="E200" s="14" t="str">
        <f>IFERROR(INDEX(Contacts!$E:$E,MATCH(C200,Contacts!$F:$F,0)),"")</f>
        <v>קרן מחקרים ושירותי בריאות-שיבא</v>
      </c>
      <c r="F200" s="9" t="s">
        <v>9</v>
      </c>
      <c r="G200" s="10" t="s">
        <v>2994</v>
      </c>
      <c r="H200" s="10" t="s">
        <v>2105</v>
      </c>
      <c r="I200" s="13"/>
      <c r="J200" s="13"/>
      <c r="K200" s="10" t="s">
        <v>2818</v>
      </c>
      <c r="L200" s="11" t="str">
        <f t="shared" si="3"/>
        <v>2026-03-12contact@sheba-global.com</v>
      </c>
    </row>
    <row r="201" spans="1:12" ht="15" customHeight="1">
      <c r="A201" s="19">
        <f>IF(tblOutreachLog[[#This Row],[Interaction Date]]&lt;&gt;0,ROW()-1,"")</f>
        <v>200</v>
      </c>
      <c r="B201" s="13">
        <v>46093</v>
      </c>
      <c r="C201" s="10" t="s">
        <v>1251</v>
      </c>
      <c r="D201" s="11" t="str">
        <f>IFERROR(INDEX(Contacts!$B:$B,MATCH(C201,Contacts!$F:$F,0))&amp;" "&amp;INDEX(Contacts!$C:$C,MATCH(C201,Contacts!$F:$F,0)),"")</f>
        <v>רמי עמית</v>
      </c>
      <c r="E201" s="14" t="str">
        <f>IFERROR(INDEX(Contacts!$E:$E,MATCH(C201,Contacts!$F:$F,0)),"")</f>
        <v>רדקום בע"מ</v>
      </c>
      <c r="F201" s="9" t="s">
        <v>9</v>
      </c>
      <c r="G201" s="10" t="s">
        <v>2994</v>
      </c>
      <c r="H201" s="10" t="s">
        <v>2105</v>
      </c>
      <c r="I201" s="13"/>
      <c r="J201" s="13"/>
      <c r="K201" s="10" t="s">
        <v>2818</v>
      </c>
      <c r="L201" s="11" t="str">
        <f t="shared" si="3"/>
        <v>2026-03-12info@radcom.com</v>
      </c>
    </row>
    <row r="202" spans="1:12" ht="15" customHeight="1">
      <c r="A202" s="19">
        <f>IF(tblOutreachLog[[#This Row],[Interaction Date]]&lt;&gt;0,ROW()-1,"")</f>
        <v>201</v>
      </c>
      <c r="B202" s="13">
        <v>46093</v>
      </c>
      <c r="C202" s="10" t="s">
        <v>2084</v>
      </c>
      <c r="D202" s="11" t="str">
        <f>IFERROR(INDEX(Contacts!$B:$B,MATCH(C202,Contacts!$F:$F,0))&amp;" "&amp;INDEX(Contacts!$C:$C,MATCH(C202,Contacts!$F:$F,0)),"")</f>
        <v>בני אפשטיין</v>
      </c>
      <c r="E202" s="14" t="str">
        <f>IFERROR(INDEX(Contacts!$E:$E,MATCH(C202,Contacts!$F:$F,0)),"")</f>
        <v>רדקום בע"מ</v>
      </c>
      <c r="F202" s="9" t="s">
        <v>9</v>
      </c>
      <c r="G202" s="10" t="s">
        <v>2994</v>
      </c>
      <c r="H202" s="10" t="s">
        <v>2105</v>
      </c>
      <c r="I202" s="13"/>
      <c r="J202" s="13"/>
      <c r="K202" s="10" t="s">
        <v>2818</v>
      </c>
      <c r="L202" s="11" t="str">
        <f t="shared" si="3"/>
        <v>2026-03-12benny.eppstein@radcom.com</v>
      </c>
    </row>
    <row r="203" spans="1:12" ht="15" customHeight="1">
      <c r="A203" s="19">
        <f>IF(tblOutreachLog[[#This Row],[Interaction Date]]&lt;&gt;0,ROW()-1,"")</f>
        <v>202</v>
      </c>
      <c r="B203" s="13">
        <v>46093</v>
      </c>
      <c r="C203" s="10" t="s">
        <v>801</v>
      </c>
      <c r="D203" s="11" t="str">
        <f>IFERROR(INDEX(Contacts!$B:$B,MATCH(C203,Contacts!$F:$F,0))&amp;" "&amp;INDEX(Contacts!$C:$C,MATCH(C203,Contacts!$F:$F,0)),"")</f>
        <v>עמית נהור</v>
      </c>
      <c r="E203" s="14" t="str">
        <f>IFERROR(INDEX(Contacts!$E:$E,MATCH(C203,Contacts!$F:$F,0)),"")</f>
        <v>רייקול גבישים בע"מ</v>
      </c>
      <c r="F203" s="9" t="s">
        <v>9</v>
      </c>
      <c r="G203" s="10" t="s">
        <v>2994</v>
      </c>
      <c r="H203" s="10" t="s">
        <v>2105</v>
      </c>
      <c r="I203" s="13"/>
      <c r="J203" s="13"/>
      <c r="K203" s="10" t="s">
        <v>2818</v>
      </c>
      <c r="L203" s="11" t="str">
        <f t="shared" si="3"/>
        <v>2026-03-12amit.nahor@raicol.com</v>
      </c>
    </row>
    <row r="204" spans="1:12" ht="15" customHeight="1">
      <c r="A204" s="19">
        <f>IF(tblOutreachLog[[#This Row],[Interaction Date]]&lt;&gt;0,ROW()-1,"")</f>
        <v>203</v>
      </c>
      <c r="B204" s="13">
        <v>46093</v>
      </c>
      <c r="C204" s="10" t="s">
        <v>2085</v>
      </c>
      <c r="D204" s="11" t="str">
        <f>IFERROR(INDEX(Contacts!$B:$B,MATCH(C204,Contacts!$F:$F,0))&amp;" "&amp;INDEX(Contacts!$C:$C,MATCH(C204,Contacts!$F:$F,0)),"")</f>
        <v>אילן עומר</v>
      </c>
      <c r="E204" s="14" t="str">
        <f>IFERROR(INDEX(Contacts!$E:$E,MATCH(C204,Contacts!$F:$F,0)),"")</f>
        <v>רייקול גבישים בע"מ</v>
      </c>
      <c r="F204" s="9" t="s">
        <v>9</v>
      </c>
      <c r="G204" s="10" t="s">
        <v>2994</v>
      </c>
      <c r="H204" s="10" t="s">
        <v>2105</v>
      </c>
      <c r="I204" s="13"/>
      <c r="J204" s="13"/>
      <c r="K204" s="10" t="s">
        <v>2818</v>
      </c>
      <c r="L204" s="11" t="str">
        <f t="shared" si="3"/>
        <v>2026-03-12ilan.omer@raicol.com</v>
      </c>
    </row>
    <row r="205" spans="1:12" ht="15" customHeight="1">
      <c r="A205" s="19">
        <f>IF(tblOutreachLog[[#This Row],[Interaction Date]]&lt;&gt;0,ROW()-1,"")</f>
        <v>204</v>
      </c>
      <c r="B205" s="13">
        <v>46093</v>
      </c>
      <c r="C205" s="10" t="s">
        <v>1252</v>
      </c>
      <c r="D205" s="11" t="str">
        <f>IFERROR(INDEX(Contacts!$B:$B,MATCH(C205,Contacts!$F:$F,0))&amp;" "&amp;INDEX(Contacts!$C:$C,MATCH(C205,Contacts!$F:$F,0)),"")</f>
        <v xml:space="preserve"> </v>
      </c>
      <c r="E205" s="14" t="str">
        <f>IFERROR(INDEX(Contacts!$E:$E,MATCH(C205,Contacts!$F:$F,0)),"")</f>
        <v>רייקול גבישים בע"מ</v>
      </c>
      <c r="F205" s="9" t="s">
        <v>9</v>
      </c>
      <c r="G205" s="10" t="s">
        <v>2994</v>
      </c>
      <c r="H205" s="10" t="s">
        <v>2105</v>
      </c>
      <c r="I205" s="13"/>
      <c r="J205" s="13"/>
      <c r="K205" s="10" t="s">
        <v>2818</v>
      </c>
      <c r="L205" s="11" t="str">
        <f t="shared" si="3"/>
        <v>2026-03-12info@raicol.com</v>
      </c>
    </row>
    <row r="206" spans="1:12" ht="15" customHeight="1">
      <c r="A206" s="19">
        <f>IF(tblOutreachLog[[#This Row],[Interaction Date]]&lt;&gt;0,ROW()-1,"")</f>
        <v>205</v>
      </c>
      <c r="B206" s="13">
        <v>46093</v>
      </c>
      <c r="C206" s="10" t="s">
        <v>1255</v>
      </c>
      <c r="D206" s="11" t="str">
        <f>IFERROR(INDEX(Contacts!$B:$B,MATCH(C206,Contacts!$F:$F,0))&amp;" "&amp;INDEX(Contacts!$C:$C,MATCH(C206,Contacts!$F:$F,0)),"")</f>
        <v>קרן פרימור כהן</v>
      </c>
      <c r="E206" s="14" t="str">
        <f>IFERROR(INDEX(Contacts!$E:$E,MATCH(C206,Contacts!$F:$F,0)),"")</f>
        <v>רמות אוניברסיטת תל אביב</v>
      </c>
      <c r="F206" s="9" t="s">
        <v>9</v>
      </c>
      <c r="G206" s="10" t="s">
        <v>2994</v>
      </c>
      <c r="H206" s="10" t="s">
        <v>2105</v>
      </c>
      <c r="I206" s="13"/>
      <c r="J206" s="13"/>
      <c r="K206" s="10" t="s">
        <v>2818</v>
      </c>
      <c r="L206" s="11" t="str">
        <f t="shared" si="3"/>
        <v>2026-03-12info@ramot.org</v>
      </c>
    </row>
    <row r="207" spans="1:12" ht="15" customHeight="1">
      <c r="A207" s="19">
        <f>IF(tblOutreachLog[[#This Row],[Interaction Date]]&lt;&gt;0,ROW()-1,"")</f>
        <v>206</v>
      </c>
      <c r="B207" s="13">
        <v>46093</v>
      </c>
      <c r="C207" s="10" t="s">
        <v>1854</v>
      </c>
      <c r="D207" s="11" t="str">
        <f>IFERROR(INDEX(Contacts!$B:$B,MATCH(C207,Contacts!$F:$F,0))&amp;" "&amp;INDEX(Contacts!$C:$C,MATCH(C207,Contacts!$F:$F,0)),"")</f>
        <v xml:space="preserve">אורי </v>
      </c>
      <c r="E207" s="14" t="str">
        <f>IFERROR(INDEX(Contacts!$E:$E,MATCH(C207,Contacts!$F:$F,0)),"")</f>
        <v>רפאל מערכות לחימה מתקדמות בע"מ</v>
      </c>
      <c r="F207" s="9" t="s">
        <v>9</v>
      </c>
      <c r="G207" s="10" t="s">
        <v>2994</v>
      </c>
      <c r="H207" s="10" t="s">
        <v>2105</v>
      </c>
      <c r="I207" s="13"/>
      <c r="J207" s="13"/>
      <c r="K207" s="10" t="s">
        <v>2818</v>
      </c>
      <c r="L207" s="11" t="str">
        <f t="shared" si="3"/>
        <v>2026-03-12urisha@rafael.co.il</v>
      </c>
    </row>
    <row r="208" spans="1:12" ht="15" customHeight="1">
      <c r="A208" s="19">
        <f>IF(tblOutreachLog[[#This Row],[Interaction Date]]&lt;&gt;0,ROW()-1,"")</f>
        <v>207</v>
      </c>
      <c r="B208" s="13">
        <v>46093</v>
      </c>
      <c r="C208" s="10" t="s">
        <v>2086</v>
      </c>
      <c r="D208" s="11" t="str">
        <f>IFERROR(INDEX(Contacts!$B:$B,MATCH(C208,Contacts!$F:$F,0))&amp;" "&amp;INDEX(Contacts!$C:$C,MATCH(C208,Contacts!$F:$F,0)),"")</f>
        <v>יואב תורג'מן</v>
      </c>
      <c r="E208" s="14" t="str">
        <f>IFERROR(INDEX(Contacts!$E:$E,MATCH(C208,Contacts!$F:$F,0)),"")</f>
        <v>רפאל מערכות לחימה מתקדמות בע"מ</v>
      </c>
      <c r="F208" s="9" t="s">
        <v>9</v>
      </c>
      <c r="G208" s="10" t="s">
        <v>2994</v>
      </c>
      <c r="H208" s="10" t="s">
        <v>2105</v>
      </c>
      <c r="I208" s="13"/>
      <c r="J208" s="13"/>
      <c r="K208" s="10" t="s">
        <v>2818</v>
      </c>
      <c r="L208" s="11" t="str">
        <f t="shared" si="3"/>
        <v>2026-03-12yoav.turgeman@rafael.co.il</v>
      </c>
    </row>
    <row r="209" spans="1:12" ht="15" customHeight="1">
      <c r="A209" s="19">
        <f>IF(tblOutreachLog[[#This Row],[Interaction Date]]&lt;&gt;0,ROW()-1,"")</f>
        <v>208</v>
      </c>
      <c r="B209" s="13">
        <v>46093</v>
      </c>
      <c r="C209" s="10" t="s">
        <v>1263</v>
      </c>
      <c r="D209" s="11" t="str">
        <f>IFERROR(INDEX(Contacts!$B:$B,MATCH(C209,Contacts!$F:$F,0))&amp;" "&amp;INDEX(Contacts!$C:$C,MATCH(C209,Contacts!$F:$F,0)),"")</f>
        <v>איציק שחר</v>
      </c>
      <c r="E209" s="14" t="str">
        <f>IFERROR(INDEX(Contacts!$E:$E,MATCH(C209,Contacts!$F:$F,0)),"")</f>
        <v>שחר תשלובות בע"מ</v>
      </c>
      <c r="F209" s="9" t="s">
        <v>9</v>
      </c>
      <c r="G209" s="10" t="s">
        <v>2994</v>
      </c>
      <c r="H209" s="10" t="s">
        <v>2105</v>
      </c>
      <c r="I209" s="13"/>
      <c r="J209" s="13"/>
      <c r="K209" s="10" t="s">
        <v>2818</v>
      </c>
      <c r="L209" s="11" t="str">
        <f t="shared" si="3"/>
        <v>2026-03-12info@shachar.biz</v>
      </c>
    </row>
    <row r="210" spans="1:12" ht="15" customHeight="1">
      <c r="A210" s="19">
        <f>IF(tblOutreachLog[[#This Row],[Interaction Date]]&lt;&gt;0,ROW()-1,"")</f>
        <v>209</v>
      </c>
      <c r="B210" s="13">
        <v>46093</v>
      </c>
      <c r="C210" s="10" t="s">
        <v>1527</v>
      </c>
      <c r="D210" s="11" t="str">
        <f>IFERROR(INDEX(Contacts!$B:$B,MATCH(C210,Contacts!$F:$F,0))&amp;" "&amp;INDEX(Contacts!$C:$C,MATCH(C210,Contacts!$F:$F,0)),"")</f>
        <v>ניצן קפל</v>
      </c>
      <c r="E210" s="14" t="str">
        <f>IFERROR(INDEX(Contacts!$E:$E,MATCH(C210,Contacts!$F:$F,0)),"")</f>
        <v>תבור אלקטרוניקס בע"מ</v>
      </c>
      <c r="F210" s="9" t="s">
        <v>9</v>
      </c>
      <c r="G210" s="10" t="s">
        <v>2994</v>
      </c>
      <c r="H210" s="10" t="s">
        <v>2105</v>
      </c>
      <c r="I210" s="13"/>
      <c r="J210" s="13"/>
      <c r="K210" s="10" t="s">
        <v>2818</v>
      </c>
      <c r="L210" s="11" t="str">
        <f t="shared" si="3"/>
        <v>2026-03-12nitzan.k@tabor.co.il</v>
      </c>
    </row>
    <row r="211" spans="1:12" ht="15" customHeight="1">
      <c r="A211" s="19">
        <f>IF(tblOutreachLog[[#This Row],[Interaction Date]]&lt;&gt;0,ROW()-1,"")</f>
        <v>210</v>
      </c>
      <c r="B211" s="13">
        <v>46093</v>
      </c>
      <c r="C211" s="10" t="s">
        <v>1699</v>
      </c>
      <c r="D211" s="11" t="str">
        <f>IFERROR(INDEX(Contacts!$B:$B,MATCH(C211,Contacts!$F:$F,0))&amp;" "&amp;INDEX(Contacts!$C:$C,MATCH(C211,Contacts!$F:$F,0)),"")</f>
        <v>רון גלזר</v>
      </c>
      <c r="E211" s="14" t="str">
        <f>IFERROR(INDEX(Contacts!$E:$E,MATCH(C211,Contacts!$F:$F,0)),"")</f>
        <v>תבור אלקטרוניקס בע"מ</v>
      </c>
      <c r="F211" s="9" t="s">
        <v>9</v>
      </c>
      <c r="G211" s="10" t="s">
        <v>2994</v>
      </c>
      <c r="H211" s="10" t="s">
        <v>2105</v>
      </c>
      <c r="I211" s="13"/>
      <c r="J211" s="13"/>
      <c r="K211" s="10" t="s">
        <v>2818</v>
      </c>
      <c r="L211" s="11" t="str">
        <f t="shared" si="3"/>
        <v>2026-03-12ron@taborelec.com</v>
      </c>
    </row>
    <row r="212" spans="1:12" ht="15" customHeight="1">
      <c r="A212" s="19">
        <f>IF(tblOutreachLog[[#This Row],[Interaction Date]]&lt;&gt;0,ROW()-1,"")</f>
        <v>211</v>
      </c>
      <c r="B212" s="13">
        <v>46093</v>
      </c>
      <c r="C212" s="10" t="s">
        <v>2089</v>
      </c>
      <c r="D212" s="11" t="str">
        <f>IFERROR(INDEX(Contacts!$B:$B,MATCH(C212,Contacts!$F:$F,0))&amp;" "&amp;INDEX(Contacts!$C:$C,MATCH(C212,Contacts!$F:$F,0)),"")</f>
        <v>בועז אגור</v>
      </c>
      <c r="E212" s="14" t="str">
        <f>IFERROR(INDEX(Contacts!$E:$E,MATCH(C212,Contacts!$F:$F,0)),"")</f>
        <v>תבור אלקטרוניקס בע"מ</v>
      </c>
      <c r="F212" s="9" t="s">
        <v>9</v>
      </c>
      <c r="G212" s="10" t="s">
        <v>2994</v>
      </c>
      <c r="H212" s="10" t="s">
        <v>2105</v>
      </c>
      <c r="I212" s="13"/>
      <c r="J212" s="13"/>
      <c r="K212" s="10" t="s">
        <v>2818</v>
      </c>
      <c r="L212" s="11" t="str">
        <f t="shared" si="3"/>
        <v>2026-03-12boaz.agur@tabor.co.il</v>
      </c>
    </row>
    <row r="213" spans="1:12" ht="15" customHeight="1">
      <c r="A213" s="19">
        <f>IF(tblOutreachLog[[#This Row],[Interaction Date]]&lt;&gt;0,ROW()-1,"")</f>
        <v>212</v>
      </c>
      <c r="B213" s="13">
        <v>46093</v>
      </c>
      <c r="C213" s="10" t="s">
        <v>1836</v>
      </c>
      <c r="D213" s="11" t="str">
        <f>IFERROR(INDEX(Contacts!$B:$B,MATCH(C213,Contacts!$F:$F,0))&amp;" "&amp;INDEX(Contacts!$C:$C,MATCH(C213,Contacts!$F:$F,0)),"")</f>
        <v>יעל ם</v>
      </c>
      <c r="E213" s="14" t="str">
        <f>IFERROR(INDEX(Contacts!$E:$E,MATCH(C213,Contacts!$F:$F,0)),"")</f>
        <v>תמה גרופ</v>
      </c>
      <c r="F213" s="9" t="s">
        <v>9</v>
      </c>
      <c r="G213" s="10" t="s">
        <v>2994</v>
      </c>
      <c r="H213" s="10" t="s">
        <v>2105</v>
      </c>
      <c r="I213" s="13"/>
      <c r="J213" s="13"/>
      <c r="K213" s="10" t="s">
        <v>2818</v>
      </c>
      <c r="L213" s="11" t="str">
        <f t="shared" si="3"/>
        <v>2026-03-12tsafrir.lior@tama.co.il</v>
      </c>
    </row>
    <row r="214" spans="1:12" ht="15" customHeight="1">
      <c r="A214" s="19">
        <f>IF(tblOutreachLog[[#This Row],[Interaction Date]]&lt;&gt;0,ROW()-1,"")</f>
        <v>213</v>
      </c>
      <c r="B214" s="13">
        <v>46093</v>
      </c>
      <c r="C214" s="10" t="s">
        <v>1266</v>
      </c>
      <c r="D214" s="11" t="str">
        <f>IFERROR(INDEX(Contacts!$B:$B,MATCH(C214,Contacts!$F:$F,0))&amp;" "&amp;INDEX(Contacts!$C:$C,MATCH(C214,Contacts!$F:$F,0)),"")</f>
        <v/>
      </c>
      <c r="E214" s="14" t="str">
        <f>IFERROR(INDEX(Contacts!$E:$E,MATCH(C214,Contacts!$F:$F,0)),"")</f>
        <v/>
      </c>
      <c r="F214" s="9" t="s">
        <v>9</v>
      </c>
      <c r="G214" s="10" t="s">
        <v>2994</v>
      </c>
      <c r="H214" s="10" t="s">
        <v>2105</v>
      </c>
      <c r="I214" s="13"/>
      <c r="J214" s="13"/>
      <c r="K214" s="10" t="s">
        <v>2818</v>
      </c>
      <c r="L214" s="11" t="str">
        <f t="shared" si="3"/>
        <v>2026-03-12info@tami-imi.com</v>
      </c>
    </row>
    <row r="215" spans="1:12" ht="15" customHeight="1">
      <c r="A215" s="19">
        <f>IF(tblOutreachLog[[#This Row],[Interaction Date]]&lt;&gt;0,ROW()-1,"")</f>
        <v>214</v>
      </c>
      <c r="B215" s="13">
        <v>46093</v>
      </c>
      <c r="C215" s="10" t="s">
        <v>2091</v>
      </c>
      <c r="D215" s="11" t="str">
        <f>IFERROR(INDEX(Contacts!$B:$B,MATCH(C215,Contacts!$F:$F,0))&amp;" "&amp;INDEX(Contacts!$C:$C,MATCH(C215,Contacts!$F:$F,0)),"")</f>
        <v>יעל חיון</v>
      </c>
      <c r="E215" s="14" t="str">
        <f>IFERROR(INDEX(Contacts!$E:$E,MATCH(C215,Contacts!$F:$F,0)),"")</f>
        <v>תמי-מכון לפיתוח בע"מ</v>
      </c>
      <c r="F215" s="9" t="s">
        <v>9</v>
      </c>
      <c r="G215" s="10" t="s">
        <v>2994</v>
      </c>
      <c r="H215" s="10" t="s">
        <v>2105</v>
      </c>
      <c r="I215" s="13"/>
      <c r="J215" s="13"/>
      <c r="K215" s="10" t="s">
        <v>2818</v>
      </c>
      <c r="L215" s="11" t="str">
        <f t="shared" si="3"/>
        <v>2026-03-12yael.hayon@tami-imi.com</v>
      </c>
    </row>
    <row r="216" spans="1:12" ht="15" customHeight="1">
      <c r="A216" s="19">
        <f>IF(tblOutreachLog[[#This Row],[Interaction Date]]&lt;&gt;0,ROW()-1,"")</f>
        <v>215</v>
      </c>
      <c r="B216" s="13">
        <v>46093</v>
      </c>
      <c r="C216" s="10" t="s">
        <v>1268</v>
      </c>
      <c r="D216" s="11" t="str">
        <f>IFERROR(INDEX(Contacts!$B:$B,MATCH(C216,Contacts!$F:$F,0))&amp;" "&amp;INDEX(Contacts!$C:$C,MATCH(C216,Contacts!$F:$F,0)),"")</f>
        <v>אהרון (אריק) כהן</v>
      </c>
      <c r="E216" s="14" t="str">
        <f>IFERROR(INDEX(Contacts!$E:$E,MATCH(C216,Contacts!$F:$F,0)),"")</f>
        <v>תריג עיקור ומעבדות בעמ</v>
      </c>
      <c r="F216" s="9" t="s">
        <v>9</v>
      </c>
      <c r="G216" s="10" t="s">
        <v>2994</v>
      </c>
      <c r="H216" s="10" t="s">
        <v>2105</v>
      </c>
      <c r="I216" s="13"/>
      <c r="J216" s="13"/>
      <c r="K216" s="10" t="s">
        <v>2818</v>
      </c>
      <c r="L216" s="11" t="str">
        <f t="shared" si="3"/>
        <v>2026-03-12info@taryag-group.com</v>
      </c>
    </row>
    <row r="217" spans="1:12" ht="15" customHeight="1">
      <c r="A217" s="19">
        <f>IF(tblOutreachLog[[#This Row],[Interaction Date]]&lt;&gt;0,ROW()-1,"")</f>
        <v>216</v>
      </c>
      <c r="B217" s="13">
        <v>46093</v>
      </c>
      <c r="C217" s="10" t="s">
        <v>1271</v>
      </c>
      <c r="D217" s="11" t="str">
        <f>IFERROR(INDEX(Contacts!$B:$B,MATCH(C217,Contacts!$F:$F,0))&amp;" "&amp;INDEX(Contacts!$C:$C,MATCH(C217,Contacts!$F:$F,0)),"")</f>
        <v>רונן ג.</v>
      </c>
      <c r="E217" s="14" t="str">
        <f>IFERROR(INDEX(Contacts!$E:$E,MATCH(C217,Contacts!$F:$F,0)),"")</f>
        <v>תרניקה ביו אלקטרוניקה</v>
      </c>
      <c r="F217" s="9" t="s">
        <v>9</v>
      </c>
      <c r="G217" s="10" t="s">
        <v>2994</v>
      </c>
      <c r="H217" s="10" t="s">
        <v>2105</v>
      </c>
      <c r="I217" s="13"/>
      <c r="J217" s="13"/>
      <c r="K217" s="10" t="s">
        <v>2818</v>
      </c>
      <c r="L217" s="11" t="str">
        <f t="shared" si="3"/>
        <v>2026-03-12info@theranica.com</v>
      </c>
    </row>
    <row r="218" spans="1:12" ht="15" customHeight="1">
      <c r="A218" s="19">
        <f>IF(tblOutreachLog[[#This Row],[Interaction Date]]&lt;&gt;0,ROW()-1,"")</f>
        <v>217</v>
      </c>
      <c r="B218" s="13">
        <v>46093</v>
      </c>
      <c r="C218" s="10" t="s">
        <v>1795</v>
      </c>
      <c r="D218" s="11" t="str">
        <f>IFERROR(INDEX(Contacts!$B:$B,MATCH(C218,Contacts!$F:$F,0))&amp;" "&amp;INDEX(Contacts!$C:$C,MATCH(C218,Contacts!$F:$F,0)),"")</f>
        <v>אלון ירוני</v>
      </c>
      <c r="E218" s="14" t="str">
        <f>IFERROR(INDEX(Contacts!$E:$E,MATCH(C218,Contacts!$F:$F,0)),"")</f>
        <v>תרניקה ביו אלקטרוניקה</v>
      </c>
      <c r="F218" s="9" t="s">
        <v>9</v>
      </c>
      <c r="G218" s="10" t="s">
        <v>2994</v>
      </c>
      <c r="H218" s="10" t="s">
        <v>2105</v>
      </c>
      <c r="I218" s="13"/>
      <c r="J218" s="13"/>
      <c r="K218" s="10" t="s">
        <v>2818</v>
      </c>
      <c r="L218" s="11" t="str">
        <f t="shared" si="3"/>
        <v>2026-03-12sokolow1930@gmail.com</v>
      </c>
    </row>
    <row r="219" spans="1:12" ht="15" customHeight="1">
      <c r="A219" s="19">
        <f>IF(tblOutreachLog[[#This Row],[Interaction Date]]&lt;&gt;0,ROW()-1,"")</f>
        <v>218</v>
      </c>
      <c r="B219" s="13">
        <v>46093</v>
      </c>
      <c r="C219" s="10" t="s">
        <v>1160</v>
      </c>
      <c r="D219" s="11" t="str">
        <f>IFERROR(INDEX(Contacts!$B:$B,MATCH(C219,Contacts!$F:$F,0))&amp;" "&amp;INDEX(Contacts!$C:$C,MATCH(C219,Contacts!$F:$F,0)),"")</f>
        <v>אילן מינץ</v>
      </c>
      <c r="E219" s="14" t="str">
        <f>IFERROR(INDEX(Contacts!$E:$E,MATCH(C219,Contacts!$F:$F,0)),"")</f>
        <v>תשתיות אנרגיה בע"מ</v>
      </c>
      <c r="F219" s="9" t="s">
        <v>9</v>
      </c>
      <c r="G219" s="10" t="s">
        <v>2994</v>
      </c>
      <c r="H219" s="10" t="s">
        <v>2105</v>
      </c>
      <c r="I219" s="13"/>
      <c r="J219" s="13"/>
      <c r="K219" s="10" t="s">
        <v>2818</v>
      </c>
      <c r="L219" s="11" t="str">
        <f t="shared" si="3"/>
        <v>2026-03-12handasa@pei.co.il</v>
      </c>
    </row>
    <row r="220" spans="1:12" ht="15" customHeight="1">
      <c r="A220" s="19">
        <f>IF(tblOutreachLog[[#This Row],[Interaction Date]]&lt;&gt;0,ROW()-1,"")</f>
        <v>219</v>
      </c>
      <c r="B220" s="13">
        <v>46093</v>
      </c>
      <c r="C220" s="10" t="s">
        <v>2092</v>
      </c>
      <c r="D220" s="11" t="str">
        <f>IFERROR(INDEX(Contacts!$B:$B,MATCH(C220,Contacts!$F:$F,0))&amp;" "&amp;INDEX(Contacts!$C:$C,MATCH(C220,Contacts!$F:$F,0)),"")</f>
        <v>עוזי לוין</v>
      </c>
      <c r="E220" s="14" t="str">
        <f>IFERROR(INDEX(Contacts!$E:$E,MATCH(C220,Contacts!$F:$F,0)),"")</f>
        <v>תשתיות אנרגיה בע"מ</v>
      </c>
      <c r="F220" s="9" t="s">
        <v>9</v>
      </c>
      <c r="G220" s="10" t="s">
        <v>2994</v>
      </c>
      <c r="H220" s="10" t="s">
        <v>2105</v>
      </c>
      <c r="I220" s="13"/>
      <c r="J220" s="13"/>
      <c r="K220" s="10" t="s">
        <v>2818</v>
      </c>
      <c r="L220" s="11" t="str">
        <f t="shared" si="3"/>
        <v>2026-03-12uzi.levin@energy.gov.il</v>
      </c>
    </row>
    <row r="221" spans="1:12" ht="15" customHeight="1">
      <c r="A221" s="19">
        <f>IF(tblOutreachLog[[#This Row],[Interaction Date]]&lt;&gt;0,ROW()-1,"")</f>
        <v>220</v>
      </c>
      <c r="B221" s="13">
        <v>46093</v>
      </c>
      <c r="C221" s="10" t="s">
        <v>1282</v>
      </c>
      <c r="D221" s="11" t="str">
        <f>IFERROR(INDEX(Contacts!$B:$B,MATCH(C221,Contacts!$F:$F,0))&amp;" "&amp;INDEX(Contacts!$C:$C,MATCH(C221,Contacts!$F:$F,0)),"")</f>
        <v>תמיר חדד</v>
      </c>
      <c r="E221" s="14" t="str">
        <f>IFERROR(INDEX(Contacts!$E:$E,MATCH(C221,Contacts!$F:$F,0)),"")</f>
        <v>תשתיות אנרגיה בע"מ</v>
      </c>
      <c r="F221" s="9" t="s">
        <v>9</v>
      </c>
      <c r="G221" s="10" t="s">
        <v>2994</v>
      </c>
      <c r="H221" s="10" t="s">
        <v>2105</v>
      </c>
      <c r="I221" s="13"/>
      <c r="J221" s="13"/>
      <c r="K221" s="10" t="s">
        <v>2818</v>
      </c>
      <c r="L221" s="11" t="str">
        <f t="shared" si="3"/>
        <v>2026-03-12innovation@pei.co.il</v>
      </c>
    </row>
    <row r="222" spans="1:12" ht="15" customHeight="1">
      <c r="A222" s="19">
        <f>IF(tblOutreachLog[[#This Row],[Interaction Date]]&lt;&gt;0,ROW()-1,"")</f>
        <v>221</v>
      </c>
      <c r="B222" s="13">
        <v>46093</v>
      </c>
      <c r="C222" s="10" t="s">
        <v>2094</v>
      </c>
      <c r="D222" s="11" t="str">
        <f>IFERROR(INDEX(Contacts!$B:$B,MATCH(C222,Contacts!$F:$F,0))&amp;" "&amp;INDEX(Contacts!$C:$C,MATCH(C222,Contacts!$F:$F,0)),"")</f>
        <v>שמעון אזולאי</v>
      </c>
      <c r="E222" s="14" t="str">
        <f>IFERROR(INDEX(Contacts!$E:$E,MATCH(C222,Contacts!$F:$F,0)),"")</f>
        <v>תשתיות אנרגיה בע"מ</v>
      </c>
      <c r="F222" s="9" t="s">
        <v>9</v>
      </c>
      <c r="G222" s="10" t="s">
        <v>2994</v>
      </c>
      <c r="H222" s="10" t="s">
        <v>2105</v>
      </c>
      <c r="I222" s="13"/>
      <c r="J222" s="13"/>
      <c r="K222" s="10" t="s">
        <v>2818</v>
      </c>
      <c r="L222" s="11" t="str">
        <f t="shared" si="3"/>
        <v>2026-03-12shimon.azulay@energy.gov.il</v>
      </c>
    </row>
    <row r="223" spans="1:12" ht="15" customHeight="1">
      <c r="A223" s="19">
        <f>IF(tblOutreachLog[[#This Row],[Interaction Date]]&lt;&gt;0,ROW()-1,"")</f>
        <v>222</v>
      </c>
      <c r="B223" s="13">
        <v>46093</v>
      </c>
      <c r="C223" s="10" t="s">
        <v>1381</v>
      </c>
      <c r="D223" s="11" t="str">
        <f>IFERROR(INDEX(Contacts!$B:$B,MATCH(C223,Contacts!$F:$F,0))&amp;" "&amp;INDEX(Contacts!$C:$C,MATCH(C223,Contacts!$F:$F,0)),"")</f>
        <v/>
      </c>
      <c r="E223" s="14" t="str">
        <f>IFERROR(INDEX(Contacts!$E:$E,MATCH(C223,Contacts!$F:$F,0)),"")</f>
        <v/>
      </c>
      <c r="F223" s="9" t="s">
        <v>9</v>
      </c>
      <c r="G223" s="10" t="s">
        <v>2994</v>
      </c>
      <c r="H223" s="10" t="s">
        <v>2105</v>
      </c>
      <c r="I223" s="13"/>
      <c r="J223" s="13"/>
      <c r="K223" s="10" t="s">
        <v>2818</v>
      </c>
      <c r="L223" s="11" t="str">
        <f t="shared" si="3"/>
        <v>2026-03-12mankal@energy.gov.il</v>
      </c>
    </row>
    <row r="224" spans="1:12" ht="15" customHeight="1">
      <c r="A224" s="20">
        <f>IF(tblOutreachLog[[#This Row],[Interaction Date]]&lt;&gt;0,ROW()-1,"")</f>
        <v>223</v>
      </c>
      <c r="B224" s="13">
        <v>46096</v>
      </c>
      <c r="C224" s="15" t="s">
        <v>2043</v>
      </c>
      <c r="D224" s="11" t="str">
        <f>IFERROR(INDEX(Contacts!$B:$B,MATCH(C224,Contacts!$F:$F,0))&amp;" "&amp;INDEX(Contacts!$C:$C,MATCH(C224,Contacts!$F:$F,0)),"")</f>
        <v>אוריאל פרמן</v>
      </c>
      <c r="E224" s="14" t="str">
        <f>IFERROR(INDEX(Contacts!$E:$E,MATCH(C224,Contacts!$F:$F,0)),"")</f>
        <v>נורטרה</v>
      </c>
      <c r="F224" s="9" t="s">
        <v>9</v>
      </c>
      <c r="G224" s="15" t="s">
        <v>2803</v>
      </c>
      <c r="H224" s="10" t="s">
        <v>2105</v>
      </c>
      <c r="I224" s="60" t="s">
        <v>2804</v>
      </c>
      <c r="J224" s="13">
        <v>46098</v>
      </c>
      <c r="K224" s="15" t="s">
        <v>2818</v>
      </c>
      <c r="L224" s="16" t="str">
        <f t="shared" si="3"/>
        <v>2026-03-15uriel@norterra.co.il</v>
      </c>
    </row>
    <row r="225" spans="1:12" ht="15" customHeight="1">
      <c r="A225" s="17">
        <f>IF(tblOutreachLog[[#This Row],[Interaction Date]]&lt;&gt;0,ROW()-1,"")</f>
        <v>224</v>
      </c>
      <c r="B225" s="13">
        <v>46104</v>
      </c>
      <c r="C225" s="15" t="s">
        <v>1939</v>
      </c>
      <c r="D225" s="11" t="str">
        <f>IFERROR(INDEX(Contacts!$B:$B,MATCH(C225,Contacts!$F:$F,0))&amp;" "&amp;INDEX(Contacts!$C:$C,MATCH(C225,Contacts!$F:$F,0)),"")</f>
        <v>זיו הלר</v>
      </c>
      <c r="E225" s="14" t="str">
        <f>IFERROR(INDEX(Contacts!$E:$E,MATCH(C225,Contacts!$F:$F,0)),"")</f>
        <v>Alvox Bio</v>
      </c>
      <c r="F225" s="9" t="s">
        <v>9</v>
      </c>
      <c r="G225" t="s">
        <v>3364</v>
      </c>
      <c r="H225" s="15" t="s">
        <v>2105</v>
      </c>
      <c r="I225" s="59" t="s">
        <v>3381</v>
      </c>
      <c r="J225" s="13">
        <v>46204</v>
      </c>
      <c r="K225" s="10" t="s">
        <v>2818</v>
      </c>
      <c r="L225" s="16" t="str">
        <f t="shared" si="3"/>
        <v>2026-03-23ziv@alvox.co.il</v>
      </c>
    </row>
    <row r="226" spans="1:12" ht="15" customHeight="1">
      <c r="A226" s="17">
        <f>IF(tblOutreachLog[[#This Row],[Interaction Date]]&lt;&gt;0,ROW()-1,"")</f>
        <v>225</v>
      </c>
      <c r="B226" s="13">
        <v>46104</v>
      </c>
      <c r="C226" s="15" t="s">
        <v>1349</v>
      </c>
      <c r="D226" s="11" t="str">
        <f>IFERROR(INDEX(Contacts!$B:$B,MATCH(C226,Contacts!$F:$F,0))&amp;" "&amp;INDEX(Contacts!$C:$C,MATCH(C226,Contacts!$F:$F,0)),"")</f>
        <v>ליאת שלומי</v>
      </c>
      <c r="E226" s="14" t="str">
        <f>IFERROR(INDEX(Contacts!$E:$E,MATCH(C226,Contacts!$F:$F,0)),"")</f>
        <v>Alvox Bio</v>
      </c>
      <c r="F226" s="9" t="s">
        <v>9</v>
      </c>
      <c r="G226" t="s">
        <v>3364</v>
      </c>
      <c r="H226" s="15" t="s">
        <v>2105</v>
      </c>
      <c r="I226" s="59" t="s">
        <v>3381</v>
      </c>
      <c r="J226" s="13">
        <v>46204</v>
      </c>
      <c r="K226" s="10" t="s">
        <v>2818</v>
      </c>
      <c r="L226" s="16" t="str">
        <f t="shared" si="3"/>
        <v>2026-03-23liat@alvox.co.il</v>
      </c>
    </row>
    <row r="227" spans="1:12" ht="15" customHeight="1">
      <c r="A227" s="17">
        <f>IF(tblOutreachLog[[#This Row],[Interaction Date]]&lt;&gt;0,ROW()-1,"")</f>
        <v>226</v>
      </c>
      <c r="B227" s="13">
        <v>46104</v>
      </c>
      <c r="C227" s="15" t="s">
        <v>1888</v>
      </c>
      <c r="D227" s="11" t="str">
        <f>IFERROR(INDEX(Contacts!$B:$B,MATCH(C227,Contacts!$F:$F,0))&amp;" "&amp;INDEX(Contacts!$C:$C,MATCH(C227,Contacts!$F:$F,0)),"")</f>
        <v>ירון סויסה</v>
      </c>
      <c r="E227" s="14" t="str">
        <f>IFERROR(INDEX(Contacts!$E:$E,MATCH(C227,Contacts!$F:$F,0)),"")</f>
        <v>בדיוק תרפויטיקה</v>
      </c>
      <c r="F227" s="9" t="s">
        <v>9</v>
      </c>
      <c r="G227" t="s">
        <v>3364</v>
      </c>
      <c r="H227" s="15" t="s">
        <v>2105</v>
      </c>
      <c r="I227" s="61" t="s">
        <v>205</v>
      </c>
      <c r="J227" s="13"/>
      <c r="K227" s="15" t="s">
        <v>2818</v>
      </c>
      <c r="L227" s="16" t="str">
        <f t="shared" si="3"/>
        <v>2026-03-23yarons@bduk-tx.com</v>
      </c>
    </row>
    <row r="228" spans="1:12" ht="15" customHeight="1">
      <c r="A228" s="17">
        <f>IF(tblOutreachLog[[#This Row],[Interaction Date]]&lt;&gt;0,ROW()-1,"")</f>
        <v>227</v>
      </c>
      <c r="B228" s="13">
        <v>46104</v>
      </c>
      <c r="C228" s="15" t="s">
        <v>739</v>
      </c>
      <c r="D228" s="11" t="str">
        <f>IFERROR(INDEX(Contacts!$B:$B,MATCH(C228,Contacts!$F:$F,0))&amp;" "&amp;INDEX(Contacts!$C:$C,MATCH(C228,Contacts!$F:$F,0)),"")</f>
        <v>עדי בן עמרם</v>
      </c>
      <c r="E228" s="14" t="str">
        <f>IFERROR(INDEX(Contacts!$E:$E,MATCH(C228,Contacts!$F:$F,0)),"")</f>
        <v>ביראד- חברה למחקר ופיתוח בע"מ</v>
      </c>
      <c r="F228" s="9" t="s">
        <v>9</v>
      </c>
      <c r="G228" t="s">
        <v>3368</v>
      </c>
      <c r="H228" s="15" t="s">
        <v>2105</v>
      </c>
      <c r="I228" s="59"/>
      <c r="J228" s="13"/>
      <c r="K228" s="15" t="s">
        <v>2818</v>
      </c>
      <c r="L228" s="38" t="str">
        <f t="shared" si="3"/>
        <v>2026-03-23adi@birad.biz</v>
      </c>
    </row>
    <row r="229" spans="1:12" ht="15" customHeight="1">
      <c r="A229" s="17">
        <f>IF(tblOutreachLog[[#This Row],[Interaction Date]]&lt;&gt;0,ROW()-1,"")</f>
        <v>228</v>
      </c>
      <c r="B229" s="13">
        <v>46104</v>
      </c>
      <c r="C229" s="15" t="s">
        <v>1714</v>
      </c>
      <c r="D229" s="11" t="str">
        <f>IFERROR(INDEX(Contacts!$B:$B,MATCH(C229,Contacts!$F:$F,0))&amp;" "&amp;INDEX(Contacts!$C:$C,MATCH(C229,Contacts!$F:$F,0)),"")</f>
        <v>רותם גולן</v>
      </c>
      <c r="E229" s="14" t="str">
        <f>IFERROR(INDEX(Contacts!$E:$E,MATCH(C229,Contacts!$F:$F,0)),"")</f>
        <v>קלארו 3 די ננו פרינתינג סולושינס</v>
      </c>
      <c r="F229" s="9" t="s">
        <v>9</v>
      </c>
      <c r="G229" t="s">
        <v>3367</v>
      </c>
      <c r="H229" s="15" t="s">
        <v>2105</v>
      </c>
      <c r="I229" s="13" t="s">
        <v>205</v>
      </c>
      <c r="J229" s="13"/>
      <c r="K229" s="15" t="s">
        <v>2818</v>
      </c>
      <c r="L229" s="38" t="str">
        <f t="shared" si="3"/>
        <v>2026-03-23rotem.golan@claro3d.com</v>
      </c>
    </row>
    <row r="230" spans="1:12" ht="15" customHeight="1">
      <c r="A230" s="17">
        <f>IF(tblOutreachLog[[#This Row],[Interaction Date]]&lt;&gt;0,ROW()-1,"")</f>
        <v>229</v>
      </c>
      <c r="B230" s="13">
        <v>46104</v>
      </c>
      <c r="C230" s="15" t="s">
        <v>3355</v>
      </c>
      <c r="D230" s="11" t="str">
        <f>IFERROR(INDEX(Contacts!$B:$B,MATCH(C230,Contacts!$F:$F,0))&amp;" "&amp;INDEX(Contacts!$C:$C,MATCH(C230,Contacts!$F:$F,0)),"")</f>
        <v>חגית אלון</v>
      </c>
      <c r="E230" s="14">
        <f>IFERROR(INDEX(Contacts!$E:$E,MATCH(C230,Contacts!$F:$F,0)),"")</f>
        <v>0</v>
      </c>
      <c r="F230" s="9" t="s">
        <v>9</v>
      </c>
      <c r="G230" t="s">
        <v>3369</v>
      </c>
      <c r="H230" s="15" t="s">
        <v>2105</v>
      </c>
      <c r="I230" s="13" t="s">
        <v>205</v>
      </c>
      <c r="J230" s="13"/>
      <c r="K230" s="15" t="s">
        <v>2818</v>
      </c>
      <c r="L230" s="38" t="str">
        <f t="shared" si="3"/>
        <v>2026-03-23hagit.alon@gmail.com</v>
      </c>
    </row>
    <row r="231" spans="1:12" ht="15" customHeight="1">
      <c r="A231" s="37">
        <f>IF(tblOutreachLog[[#This Row],[Interaction Date]]&lt;&gt;0,ROW()-1,"")</f>
        <v>230</v>
      </c>
      <c r="B231" s="13">
        <v>46099</v>
      </c>
      <c r="C231" s="15" t="s">
        <v>2809</v>
      </c>
      <c r="D231" s="11" t="str">
        <f>IFERROR(INDEX(Contacts!$B:$B,MATCH(C231,Contacts!$F:$F,0))&amp;" "&amp;INDEX(Contacts!$C:$C,MATCH(C231,Contacts!$F:$F,0)),"")</f>
        <v>דיה לטוין</v>
      </c>
      <c r="E231" s="14" t="str">
        <f>IFERROR(INDEX(Contacts!$E:$E,MATCH(C231,Contacts!$F:$F,0)),"")</f>
        <v>תריג עיקור ומעבדות בעמ</v>
      </c>
      <c r="F231" s="9" t="s">
        <v>2804</v>
      </c>
      <c r="G231" s="15" t="s">
        <v>2997</v>
      </c>
      <c r="H231" s="10" t="s">
        <v>2912</v>
      </c>
      <c r="I231" s="62" t="s">
        <v>3382</v>
      </c>
      <c r="J231" s="13">
        <v>46105</v>
      </c>
      <c r="K231" s="15" t="s">
        <v>2819</v>
      </c>
      <c r="L231" s="38" t="str">
        <f t="shared" si="3"/>
        <v>2026-03-18Daya@taryag-group.com</v>
      </c>
    </row>
    <row r="232" spans="1:12" ht="15" customHeight="1">
      <c r="A232" s="17">
        <f>IF(tblOutreachLog[[#This Row],[Interaction Date]]&lt;&gt;0,ROW()-1,"")</f>
        <v>231</v>
      </c>
      <c r="B232" s="13">
        <v>46104</v>
      </c>
      <c r="C232" s="15" t="s">
        <v>3248</v>
      </c>
      <c r="D232" s="11" t="str">
        <f>IFERROR(INDEX(Contacts!$B:$B,MATCH(C232,Contacts!$F:$F,0))&amp;" "&amp;INDEX(Contacts!$C:$C,MATCH(C232,Contacts!$F:$F,0)),"")</f>
        <v>עידו ענתבי</v>
      </c>
      <c r="E232" s="14" t="str">
        <f>IFERROR(INDEX(Contacts!$E:$E,MATCH(C232,Contacts!$F:$F,0)),"")</f>
        <v>ארדנה מעבדות</v>
      </c>
      <c r="F232" s="9" t="s">
        <v>9</v>
      </c>
      <c r="G232" t="s">
        <v>3364</v>
      </c>
      <c r="H232" s="15" t="s">
        <v>2105</v>
      </c>
      <c r="I232" s="13" t="s">
        <v>2804</v>
      </c>
      <c r="J232" s="13">
        <v>46107</v>
      </c>
      <c r="K232" s="15" t="s">
        <v>2819</v>
      </c>
      <c r="L232" s="38" t="str">
        <f t="shared" si="3"/>
        <v>2026-03-23ido.a@ardena-labs.com</v>
      </c>
    </row>
    <row r="233" spans="1:12" ht="15" customHeight="1">
      <c r="A233" s="17">
        <f>IF(tblOutreachLog[[#This Row],[Interaction Date]]&lt;&gt;0,ROW()-1,"")</f>
        <v>232</v>
      </c>
      <c r="B233" s="13">
        <v>46104</v>
      </c>
      <c r="C233" s="15" t="s">
        <v>3375</v>
      </c>
      <c r="D233" s="11" t="str">
        <f>IFERROR(INDEX(Contacts!$B:$B,MATCH(C233,Contacts!$F:$F,0))&amp;" "&amp;INDEX(Contacts!$C:$C,MATCH(C233,Contacts!$F:$F,0)),"")</f>
        <v>רונן נקש</v>
      </c>
      <c r="E233" s="14" t="str">
        <f>IFERROR(INDEX(Contacts!$E:$E,MATCH(C233,Contacts!$F:$F,0)),"")</f>
        <v>ביראד- חברה למחקר ופיתוח בע"מ</v>
      </c>
      <c r="F233" s="9" t="s">
        <v>9</v>
      </c>
      <c r="G233" s="15" t="s">
        <v>3380</v>
      </c>
      <c r="H233" s="15" t="s">
        <v>2105</v>
      </c>
      <c r="I233" s="13" t="s">
        <v>2807</v>
      </c>
      <c r="J233" s="13">
        <v>46147</v>
      </c>
      <c r="K233" s="15" t="s">
        <v>2819</v>
      </c>
      <c r="L233" s="38" t="str">
        <f t="shared" si="3"/>
        <v>2026-03-23ronen.nakash@birad.biz</v>
      </c>
    </row>
    <row r="234" spans="1:12" ht="15" customHeight="1">
      <c r="A234" s="17">
        <f>IF(tblOutreachLog[[#This Row],[Interaction Date]]&lt;&gt;0,ROW()-1,"")</f>
        <v>233</v>
      </c>
      <c r="B234" s="13">
        <v>46106</v>
      </c>
      <c r="C234" s="53" t="s">
        <v>3260</v>
      </c>
      <c r="D234" s="11" t="str">
        <f>IFERROR(INDEX(Contacts!$B:$B,MATCH(C234,Contacts!$F:$F,0))&amp;" "&amp;INDEX(Contacts!$C:$C,MATCH(C234,Contacts!$F:$F,0)),"")</f>
        <v>יגאל ליבה</v>
      </c>
      <c r="E234" s="14" t="str">
        <f>IFERROR(INDEX(Contacts!$E:$E,MATCH(C234,Contacts!$F:$F,0)),"")</f>
        <v>ג'נופור</v>
      </c>
      <c r="F234" s="9" t="s">
        <v>9</v>
      </c>
      <c r="G234" s="15" t="s">
        <v>3380</v>
      </c>
      <c r="H234" s="15" t="s">
        <v>2105</v>
      </c>
      <c r="I234" s="13" t="s">
        <v>2807</v>
      </c>
      <c r="J234" s="13">
        <v>46157</v>
      </c>
      <c r="K234" s="15" t="s">
        <v>2819</v>
      </c>
      <c r="L234" s="38" t="str">
        <f t="shared" si="3"/>
        <v>2026-03-25yigal@genopore.com</v>
      </c>
    </row>
    <row r="235" spans="1:12" ht="15" customHeight="1">
      <c r="A235" s="17">
        <f>IF(tblOutreachLog[[#This Row],[Interaction Date]]&lt;&gt;0,ROW()-1,"")</f>
        <v>234</v>
      </c>
      <c r="B235" s="13">
        <v>46096</v>
      </c>
      <c r="C235" s="15" t="s">
        <v>1412</v>
      </c>
      <c r="D235" s="11" t="str">
        <f>IFERROR(INDEX(Contacts!$B:$B,MATCH(C235,Contacts!$F:$F,0))&amp;" "&amp;INDEX(Contacts!$C:$C,MATCH(C235,Contacts!$F:$F,0)),"")</f>
        <v>מיה איל</v>
      </c>
      <c r="E235" s="14" t="str">
        <f>IFERROR(INDEX(Contacts!$E:$E,MATCH(C235,Contacts!$F:$F,0)),"")</f>
        <v>innovation Africa</v>
      </c>
      <c r="F235" s="9" t="s">
        <v>9</v>
      </c>
      <c r="G235" s="15" t="s">
        <v>2806</v>
      </c>
      <c r="H235" s="10" t="s">
        <v>2105</v>
      </c>
      <c r="I235" s="17" t="s">
        <v>2807</v>
      </c>
      <c r="J235" s="13">
        <v>46099</v>
      </c>
      <c r="K235" s="15" t="s">
        <v>2817</v>
      </c>
      <c r="L235" s="38" t="str">
        <f t="shared" si="3"/>
        <v>2026-03-15maya@innoafrica.org</v>
      </c>
    </row>
    <row r="236" spans="1:12" ht="15" customHeight="1">
      <c r="A236" s="17">
        <f>IF(tblOutreachLog[[#This Row],[Interaction Date]]&lt;&gt;0,ROW()-1,"")</f>
        <v>235</v>
      </c>
      <c r="B236" s="13">
        <v>46096</v>
      </c>
      <c r="C236" s="15" t="s">
        <v>1497</v>
      </c>
      <c r="D236" s="11" t="str">
        <f>IFERROR(INDEX(Contacts!$B:$B,MATCH(C236,Contacts!$F:$F,0))&amp;" "&amp;INDEX(Contacts!$C:$C,MATCH(C236,Contacts!$F:$F,0)),"")</f>
        <v xml:space="preserve">ניקי </v>
      </c>
      <c r="E236" s="14" t="str">
        <f>IFERROR(INDEX(Contacts!$E:$E,MATCH(C236,Contacts!$F:$F,0)),"")</f>
        <v>מור - מנכל מכון מור</v>
      </c>
      <c r="F236" s="9" t="s">
        <v>9</v>
      </c>
      <c r="G236" s="15" t="s">
        <v>2808</v>
      </c>
      <c r="H236" s="10" t="s">
        <v>2105</v>
      </c>
      <c r="I236" s="62" t="s">
        <v>2807</v>
      </c>
      <c r="J236" s="13">
        <v>46099</v>
      </c>
      <c r="K236" s="15" t="s">
        <v>2817</v>
      </c>
      <c r="L236" s="38" t="str">
        <f t="shared" si="3"/>
        <v>2026-03-15nickyl@mor.org.il</v>
      </c>
    </row>
    <row r="237" spans="1:12" ht="15" customHeight="1">
      <c r="A237" s="17">
        <f>IF(tblOutreachLog[[#This Row],[Interaction Date]]&lt;&gt;0,ROW()-1,"")</f>
        <v>236</v>
      </c>
      <c r="B237" s="13">
        <v>46096</v>
      </c>
      <c r="C237" s="15" t="s">
        <v>2809</v>
      </c>
      <c r="D237" s="11" t="str">
        <f>IFERROR(INDEX(Contacts!$B:$B,MATCH(C237,Contacts!$F:$F,0))&amp;" "&amp;INDEX(Contacts!$C:$C,MATCH(C237,Contacts!$F:$F,0)),"")</f>
        <v>דיה לטוין</v>
      </c>
      <c r="E237" s="14" t="str">
        <f>IFERROR(INDEX(Contacts!$E:$E,MATCH(C237,Contacts!$F:$F,0)),"")</f>
        <v>תריג עיקור ומעבדות בעמ</v>
      </c>
      <c r="F237" s="9" t="s">
        <v>9</v>
      </c>
      <c r="G237" s="15" t="s">
        <v>2996</v>
      </c>
      <c r="H237" s="10" t="s">
        <v>2105</v>
      </c>
      <c r="I237" s="17" t="s">
        <v>2807</v>
      </c>
      <c r="J237" s="13">
        <v>46096</v>
      </c>
      <c r="K237" s="15" t="s">
        <v>2817</v>
      </c>
      <c r="L237" s="38" t="str">
        <f t="shared" si="3"/>
        <v>2026-03-15Daya@taryag-group.com</v>
      </c>
    </row>
    <row r="238" spans="1:12" ht="15" customHeight="1">
      <c r="A238" s="37">
        <f>IF(tblOutreachLog[[#This Row],[Interaction Date]]&lt;&gt;0,ROW()-1,"")</f>
        <v>237</v>
      </c>
      <c r="B238" s="13">
        <v>46098</v>
      </c>
      <c r="C238" s="15" t="s">
        <v>2043</v>
      </c>
      <c r="D238" s="11" t="str">
        <f>IFERROR(INDEX(Contacts!$B:$B,MATCH(C238,Contacts!$F:$F,0))&amp;" "&amp;INDEX(Contacts!$C:$C,MATCH(C238,Contacts!$F:$F,0)),"")</f>
        <v>אוריאל פרמן</v>
      </c>
      <c r="E238" s="14" t="str">
        <f>IFERROR(INDEX(Contacts!$E:$E,MATCH(C238,Contacts!$F:$F,0)),"")</f>
        <v>נורטרה</v>
      </c>
      <c r="F238" s="9" t="s">
        <v>9</v>
      </c>
      <c r="G238" s="15" t="s">
        <v>2998</v>
      </c>
      <c r="H238" s="10" t="s">
        <v>2912</v>
      </c>
      <c r="I238" s="17" t="s">
        <v>2807</v>
      </c>
      <c r="J238" s="13">
        <v>46143</v>
      </c>
      <c r="K238" s="15" t="s">
        <v>2817</v>
      </c>
      <c r="L238" s="38" t="str">
        <f t="shared" si="3"/>
        <v>2026-03-17uriel@norterra.co.il</v>
      </c>
    </row>
    <row r="239" spans="1:12" ht="15" customHeight="1">
      <c r="A239" s="17">
        <f>IF(tblOutreachLog[[#This Row],[Interaction Date]]&lt;&gt;0,ROW()-1,"")</f>
        <v>238</v>
      </c>
      <c r="B239" s="13">
        <v>46104</v>
      </c>
      <c r="C239" s="15" t="s">
        <v>3196</v>
      </c>
      <c r="D239" s="11" t="str">
        <f>IFERROR(INDEX(Contacts!$B:$B,MATCH(C239,Contacts!$F:$F,0))&amp;" "&amp;INDEX(Contacts!$C:$C,MATCH(C239,Contacts!$F:$F,0)),"")</f>
        <v>פנינית גלבוע טל</v>
      </c>
      <c r="E239" s="14" t="str">
        <f>IFERROR(INDEX(Contacts!$E:$E,MATCH(C239,Contacts!$F:$F,0)),"")</f>
        <v>Biotization</v>
      </c>
      <c r="F239" s="9" t="s">
        <v>9</v>
      </c>
      <c r="G239" t="s">
        <v>3365</v>
      </c>
      <c r="H239" s="15" t="s">
        <v>2105</v>
      </c>
      <c r="I239" s="13"/>
      <c r="J239" s="13"/>
      <c r="K239" s="15" t="s">
        <v>2818</v>
      </c>
      <c r="L239" s="38" t="str">
        <f t="shared" si="3"/>
        <v>2026-03-23pninit@biotization.com</v>
      </c>
    </row>
    <row r="240" spans="1:12" ht="15" customHeight="1">
      <c r="A240" s="17">
        <f>IF(tblOutreachLog[[#This Row],[Interaction Date]]&lt;&gt;0,ROW()-1,"")</f>
        <v>239</v>
      </c>
      <c r="B240" s="13">
        <v>46104</v>
      </c>
      <c r="C240" s="15" t="s">
        <v>3203</v>
      </c>
      <c r="D240" s="11" t="str">
        <f>IFERROR(INDEX(Contacts!$B:$B,MATCH(C240,Contacts!$F:$F,0))&amp;" "&amp;INDEX(Contacts!$C:$C,MATCH(C240,Contacts!$F:$F,0)),"")</f>
        <v>גידי ליטווין</v>
      </c>
      <c r="E240" s="14" t="str">
        <f>IFERROR(INDEX(Contacts!$E:$E,MATCH(C240,Contacts!$F:$F,0)),"")</f>
        <v>HEMISPHERIC AI</v>
      </c>
      <c r="F240" s="9" t="s">
        <v>9</v>
      </c>
      <c r="G240" t="s">
        <v>3366</v>
      </c>
      <c r="H240" s="15" t="s">
        <v>2105</v>
      </c>
      <c r="I240" s="13"/>
      <c r="J240" s="13"/>
      <c r="K240" s="15" t="s">
        <v>2818</v>
      </c>
      <c r="L240" s="38" t="str">
        <f t="shared" si="3"/>
        <v>2026-03-23gidi@hemispheric.ai</v>
      </c>
    </row>
    <row r="241" spans="1:12" ht="15" customHeight="1">
      <c r="A241" s="17">
        <f>IF(tblOutreachLog[[#This Row],[Interaction Date]]&lt;&gt;0,ROW()-1,"")</f>
        <v>240</v>
      </c>
      <c r="B241" s="13">
        <v>46104</v>
      </c>
      <c r="C241" s="15" t="s">
        <v>3206</v>
      </c>
      <c r="D241" s="11" t="str">
        <f>IFERROR(INDEX(Contacts!$B:$B,MATCH(C241,Contacts!$F:$F,0))&amp;" "&amp;INDEX(Contacts!$C:$C,MATCH(C241,Contacts!$F:$F,0)),"")</f>
        <v>חגי לאלאזר</v>
      </c>
      <c r="E241" s="14" t="str">
        <f>IFERROR(INDEX(Contacts!$E:$E,MATCH(C241,Contacts!$F:$F,0)),"")</f>
        <v>HEMISPHERIC AI</v>
      </c>
      <c r="F241" s="9" t="s">
        <v>9</v>
      </c>
      <c r="G241" t="s">
        <v>3366</v>
      </c>
      <c r="H241" s="15" t="s">
        <v>2105</v>
      </c>
      <c r="I241" s="13"/>
      <c r="J241" s="13"/>
      <c r="K241" s="15" t="s">
        <v>2818</v>
      </c>
      <c r="L241" s="38" t="str">
        <f t="shared" si="3"/>
        <v>2026-03-23hagai@hemispheric.ai</v>
      </c>
    </row>
    <row r="242" spans="1:12" ht="15" customHeight="1">
      <c r="A242" s="17">
        <f>IF(tblOutreachLog[[#This Row],[Interaction Date]]&lt;&gt;0,ROW()-1,"")</f>
        <v>241</v>
      </c>
      <c r="B242" s="13">
        <v>46104</v>
      </c>
      <c r="C242" s="15" t="s">
        <v>3211</v>
      </c>
      <c r="D242" s="11" t="str">
        <f>IFERROR(INDEX(Contacts!$B:$B,MATCH(C242,Contacts!$F:$F,0))&amp;" "&amp;INDEX(Contacts!$C:$C,MATCH(C242,Contacts!$F:$F,0)),"")</f>
        <v>טל אלעזר</v>
      </c>
      <c r="E242" s="14" t="str">
        <f>IFERROR(INDEX(Contacts!$E:$E,MATCH(C242,Contacts!$F:$F,0)),"")</f>
        <v>SiOpt Systems</v>
      </c>
      <c r="F242" s="9" t="s">
        <v>9</v>
      </c>
      <c r="G242" t="s">
        <v>3366</v>
      </c>
      <c r="H242" s="15" t="s">
        <v>2105</v>
      </c>
      <c r="I242" s="13"/>
      <c r="J242" s="13"/>
      <c r="K242" s="15" t="s">
        <v>2818</v>
      </c>
      <c r="L242" s="38" t="str">
        <f t="shared" si="3"/>
        <v>2026-03-23talelazar@siopt.ai</v>
      </c>
    </row>
    <row r="243" spans="1:12" ht="15" customHeight="1">
      <c r="A243" s="17">
        <f>IF(tblOutreachLog[[#This Row],[Interaction Date]]&lt;&gt;0,ROW()-1,"")</f>
        <v>242</v>
      </c>
      <c r="B243" s="13">
        <v>46104</v>
      </c>
      <c r="C243" s="15" t="s">
        <v>3213</v>
      </c>
      <c r="D243" s="11" t="str">
        <f>IFERROR(INDEX(Contacts!$B:$B,MATCH(C243,Contacts!$F:$F,0))&amp;" "&amp;INDEX(Contacts!$C:$C,MATCH(C243,Contacts!$F:$F,0)),"")</f>
        <v>אבי שגב</v>
      </c>
      <c r="E243" s="14" t="str">
        <f>IFERROR(INDEX(Contacts!$E:$E,MATCH(C243,Contacts!$F:$F,0)),"")</f>
        <v>TIKI100</v>
      </c>
      <c r="F243" s="9" t="s">
        <v>9</v>
      </c>
      <c r="G243" t="s">
        <v>3367</v>
      </c>
      <c r="H243" s="15" t="s">
        <v>2105</v>
      </c>
      <c r="I243" s="13" t="s">
        <v>3383</v>
      </c>
      <c r="J243" s="13">
        <v>46115</v>
      </c>
      <c r="K243" s="15" t="s">
        <v>2817</v>
      </c>
      <c r="L243" s="38" t="str">
        <f t="shared" si="3"/>
        <v>2026-03-23segeva@tiki100.com</v>
      </c>
    </row>
    <row r="244" spans="1:12" ht="15" customHeight="1">
      <c r="A244" s="17">
        <f>IF(tblOutreachLog[[#This Row],[Interaction Date]]&lt;&gt;0,ROW()-1,"")</f>
        <v>243</v>
      </c>
      <c r="B244" s="13">
        <v>46104</v>
      </c>
      <c r="C244" s="15" t="s">
        <v>3215</v>
      </c>
      <c r="D244" s="11" t="str">
        <f>IFERROR(INDEX(Contacts!$B:$B,MATCH(C244,Contacts!$F:$F,0))&amp;" "&amp;INDEX(Contacts!$C:$C,MATCH(C244,Contacts!$F:$F,0)),"")</f>
        <v/>
      </c>
      <c r="E244" s="14" t="str">
        <f>IFERROR(INDEX(Contacts!$E:$E,MATCH(C244,Contacts!$F:$F,0)),"")</f>
        <v/>
      </c>
      <c r="F244" s="9" t="s">
        <v>9</v>
      </c>
      <c r="G244" t="s">
        <v>3368</v>
      </c>
      <c r="H244" s="15" t="s">
        <v>2105</v>
      </c>
      <c r="I244" s="13"/>
      <c r="J244" s="13"/>
      <c r="K244" s="15" t="s">
        <v>2818</v>
      </c>
      <c r="L244" s="38" t="str">
        <f t="shared" si="3"/>
        <v>2026-03-23bgn@in.bgu</v>
      </c>
    </row>
    <row r="245" spans="1:12" ht="15" customHeight="1">
      <c r="A245" s="17">
        <f>IF(tblOutreachLog[[#This Row],[Interaction Date]]&lt;&gt;0,ROW()-1,"")</f>
        <v>244</v>
      </c>
      <c r="B245" s="13">
        <v>46104</v>
      </c>
      <c r="C245" s="15" t="s">
        <v>3218</v>
      </c>
      <c r="D245" s="11" t="str">
        <f>IFERROR(INDEX(Contacts!$B:$B,MATCH(C245,Contacts!$F:$F,0))&amp;" "&amp;INDEX(Contacts!$C:$C,MATCH(C245,Contacts!$F:$F,0)),"")</f>
        <v>תלאור סקס</v>
      </c>
      <c r="E245" s="14" t="str">
        <f>IFERROR(INDEX(Contacts!$E:$E,MATCH(C245,Contacts!$F:$F,0)),"")</f>
        <v>אי אייץ' וי ישראל</v>
      </c>
      <c r="F245" s="9" t="s">
        <v>9</v>
      </c>
      <c r="G245" t="s">
        <v>3369</v>
      </c>
      <c r="H245" s="15" t="s">
        <v>2105</v>
      </c>
      <c r="I245" s="13"/>
      <c r="J245" s="13"/>
      <c r="K245" s="15" t="s">
        <v>2818</v>
      </c>
      <c r="L245" s="38" t="str">
        <f t="shared" si="3"/>
        <v>2026-03-23talor@ehealthventures.com</v>
      </c>
    </row>
    <row r="246" spans="1:12" ht="15" customHeight="1">
      <c r="A246" s="17">
        <f>IF(tblOutreachLog[[#This Row],[Interaction Date]]&lt;&gt;0,ROW()-1,"")</f>
        <v>245</v>
      </c>
      <c r="B246" s="13">
        <v>46104</v>
      </c>
      <c r="C246" s="15" t="s">
        <v>3221</v>
      </c>
      <c r="D246" s="11" t="str">
        <f>IFERROR(INDEX(Contacts!$B:$B,MATCH(C246,Contacts!$F:$F,0))&amp;" "&amp;INDEX(Contacts!$C:$C,MATCH(C246,Contacts!$F:$F,0)),"")</f>
        <v>אופיר שהף</v>
      </c>
      <c r="E246" s="14" t="str">
        <f>IFERROR(INDEX(Contacts!$E:$E,MATCH(C246,Contacts!$F:$F,0)),"")</f>
        <v>אי אייץ' וי ישראל</v>
      </c>
      <c r="F246" s="9" t="s">
        <v>9</v>
      </c>
      <c r="G246" t="s">
        <v>3369</v>
      </c>
      <c r="H246" s="15" t="s">
        <v>2105</v>
      </c>
      <c r="I246" s="13"/>
      <c r="J246" s="13"/>
      <c r="K246" s="15" t="s">
        <v>2818</v>
      </c>
      <c r="L246" s="38" t="str">
        <f t="shared" si="3"/>
        <v>2026-03-23ophir@ehealthventures.com</v>
      </c>
    </row>
    <row r="247" spans="1:12" ht="15" customHeight="1">
      <c r="A247" s="17">
        <f>IF(tblOutreachLog[[#This Row],[Interaction Date]]&lt;&gt;0,ROW()-1,"")</f>
        <v>246</v>
      </c>
      <c r="B247" s="13">
        <v>46104</v>
      </c>
      <c r="C247" s="15" t="s">
        <v>3223</v>
      </c>
      <c r="D247" s="11" t="str">
        <f>IFERROR(INDEX(Contacts!$B:$B,MATCH(C247,Contacts!$F:$F,0))&amp;" "&amp;INDEX(Contacts!$C:$C,MATCH(C247,Contacts!$F:$F,0)),"")</f>
        <v>איתי נוריאן</v>
      </c>
      <c r="E247" s="14" t="str">
        <f>IFERROR(INDEX(Contacts!$E:$E,MATCH(C247,Contacts!$F:$F,0)),"")</f>
        <v>אינסיגניטו פתרונות</v>
      </c>
      <c r="F247" s="9" t="s">
        <v>9</v>
      </c>
      <c r="G247" t="s">
        <v>3370</v>
      </c>
      <c r="H247" s="15" t="s">
        <v>2105</v>
      </c>
      <c r="I247" s="13"/>
      <c r="J247" s="13"/>
      <c r="K247" s="15" t="s">
        <v>2818</v>
      </c>
      <c r="L247" s="38" t="str">
        <f t="shared" si="3"/>
        <v>2026-03-23itay@insignito.co.il</v>
      </c>
    </row>
    <row r="248" spans="1:12" ht="15" customHeight="1">
      <c r="A248" s="17">
        <f>IF(tblOutreachLog[[#This Row],[Interaction Date]]&lt;&gt;0,ROW()-1,"")</f>
        <v>247</v>
      </c>
      <c r="B248" s="13">
        <v>46104</v>
      </c>
      <c r="C248" s="15" t="s">
        <v>3227</v>
      </c>
      <c r="D248" s="11" t="str">
        <f>IFERROR(INDEX(Contacts!$B:$B,MATCH(C248,Contacts!$F:$F,0))&amp;" "&amp;INDEX(Contacts!$C:$C,MATCH(C248,Contacts!$F:$F,0)),"")</f>
        <v>יחיאל פרנק</v>
      </c>
      <c r="E248" s="14" t="str">
        <f>IFERROR(INDEX(Contacts!$E:$E,MATCH(C248,Contacts!$F:$F,0)),"")</f>
        <v>אל2אקס</v>
      </c>
      <c r="F248" s="9" t="s">
        <v>9</v>
      </c>
      <c r="G248" t="s">
        <v>3366</v>
      </c>
      <c r="H248" s="15" t="s">
        <v>2105</v>
      </c>
      <c r="I248" s="13"/>
      <c r="J248" s="13"/>
      <c r="K248" s="15" t="s">
        <v>2818</v>
      </c>
      <c r="L248" s="38" t="str">
        <f t="shared" si="3"/>
        <v>2026-03-23hilik@l2xlabs.com</v>
      </c>
    </row>
    <row r="249" spans="1:12" ht="15" customHeight="1">
      <c r="A249" s="17">
        <f>IF(tblOutreachLog[[#This Row],[Interaction Date]]&lt;&gt;0,ROW()-1,"")</f>
        <v>248</v>
      </c>
      <c r="B249" s="13">
        <v>46104</v>
      </c>
      <c r="C249" s="15" t="s">
        <v>3227</v>
      </c>
      <c r="D249" s="11" t="str">
        <f>IFERROR(INDEX(Contacts!$B:$B,MATCH(C249,Contacts!$F:$F,0))&amp;" "&amp;INDEX(Contacts!$C:$C,MATCH(C249,Contacts!$F:$F,0)),"")</f>
        <v>יחיאל פרנק</v>
      </c>
      <c r="E249" s="14" t="str">
        <f>IFERROR(INDEX(Contacts!$E:$E,MATCH(C249,Contacts!$F:$F,0)),"")</f>
        <v>אל2אקס</v>
      </c>
      <c r="F249" s="9" t="s">
        <v>9</v>
      </c>
      <c r="G249" t="s">
        <v>3366</v>
      </c>
      <c r="H249" s="15" t="s">
        <v>2105</v>
      </c>
      <c r="I249" s="13"/>
      <c r="J249" s="13"/>
      <c r="K249" s="15" t="s">
        <v>2818</v>
      </c>
      <c r="L249" s="38" t="str">
        <f t="shared" si="3"/>
        <v>2026-03-23hilik@l2xlabs.com</v>
      </c>
    </row>
    <row r="250" spans="1:12" ht="15" customHeight="1">
      <c r="A250" s="17">
        <f>IF(tblOutreachLog[[#This Row],[Interaction Date]]&lt;&gt;0,ROW()-1,"")</f>
        <v>249</v>
      </c>
      <c r="B250" s="13">
        <v>46104</v>
      </c>
      <c r="C250" s="15" t="s">
        <v>3232</v>
      </c>
      <c r="D250" s="11" t="str">
        <f>IFERROR(INDEX(Contacts!$B:$B,MATCH(C250,Contacts!$F:$F,0))&amp;" "&amp;INDEX(Contacts!$C:$C,MATCH(C250,Contacts!$F:$F,0)),"")</f>
        <v>דניאלה פין</v>
      </c>
      <c r="E250" s="14" t="str">
        <f>IFERROR(INDEX(Contacts!$E:$E,MATCH(C250,Contacts!$F:$F,0)),"")</f>
        <v>אלביט מערכות</v>
      </c>
      <c r="F250" s="9" t="s">
        <v>9</v>
      </c>
      <c r="G250" t="s">
        <v>3365</v>
      </c>
      <c r="H250" s="15" t="s">
        <v>2105</v>
      </c>
      <c r="I250" s="13"/>
      <c r="J250" s="13"/>
      <c r="K250" s="15" t="s">
        <v>2818</v>
      </c>
      <c r="L250" s="38" t="str">
        <f t="shared" si="3"/>
        <v>2026-03-23daniella@elbitsystems.com</v>
      </c>
    </row>
    <row r="251" spans="1:12" ht="15" customHeight="1">
      <c r="A251" s="17">
        <f>IF(tblOutreachLog[[#This Row],[Interaction Date]]&lt;&gt;0,ROW()-1,"")</f>
        <v>250</v>
      </c>
      <c r="B251" s="13">
        <v>46104</v>
      </c>
      <c r="C251" s="15" t="s">
        <v>3233</v>
      </c>
      <c r="D251" s="11" t="str">
        <f>IFERROR(INDEX(Contacts!$B:$B,MATCH(C251,Contacts!$F:$F,0))&amp;" "&amp;INDEX(Contacts!$C:$C,MATCH(C251,Contacts!$F:$F,0)),"")</f>
        <v/>
      </c>
      <c r="E251" s="14" t="str">
        <f>IFERROR(INDEX(Contacts!$E:$E,MATCH(C251,Contacts!$F:$F,0)),"")</f>
        <v/>
      </c>
      <c r="F251" s="9" t="s">
        <v>9</v>
      </c>
      <c r="G251" t="s">
        <v>3365</v>
      </c>
      <c r="H251" s="15" t="s">
        <v>2105</v>
      </c>
      <c r="I251" s="13"/>
      <c r="J251" s="13"/>
      <c r="K251" s="15" t="s">
        <v>2818</v>
      </c>
      <c r="L251" s="38" t="str">
        <f t="shared" si="3"/>
        <v>2026-03-23jonathan@elbitsystems.com</v>
      </c>
    </row>
    <row r="252" spans="1:12" ht="15" customHeight="1">
      <c r="A252" s="17">
        <f>IF(tblOutreachLog[[#This Row],[Interaction Date]]&lt;&gt;0,ROW()-1,"")</f>
        <v>251</v>
      </c>
      <c r="B252" s="13">
        <v>46104</v>
      </c>
      <c r="C252" s="15" t="s">
        <v>3234</v>
      </c>
      <c r="D252" s="11" t="str">
        <f>IFERROR(INDEX(Contacts!$B:$B,MATCH(C252,Contacts!$F:$F,0))&amp;" "&amp;INDEX(Contacts!$C:$C,MATCH(C252,Contacts!$F:$F,0)),"")</f>
        <v/>
      </c>
      <c r="E252" s="14" t="str">
        <f>IFERROR(INDEX(Contacts!$E:$E,MATCH(C252,Contacts!$F:$F,0)),"")</f>
        <v/>
      </c>
      <c r="F252" s="9" t="s">
        <v>9</v>
      </c>
      <c r="G252" t="s">
        <v>3365</v>
      </c>
      <c r="H252" s="15" t="s">
        <v>2105</v>
      </c>
      <c r="I252" s="13"/>
      <c r="J252" s="13"/>
      <c r="K252" s="15" t="s">
        <v>2818</v>
      </c>
      <c r="L252" s="38" t="str">
        <f t="shared" si="3"/>
        <v>2026-03-23bezhalel@elbitsystems.com</v>
      </c>
    </row>
    <row r="253" spans="1:12" ht="15" customHeight="1">
      <c r="A253" s="17">
        <f>IF(tblOutreachLog[[#This Row],[Interaction Date]]&lt;&gt;0,ROW()-1,"")</f>
        <v>252</v>
      </c>
      <c r="B253" s="13">
        <v>46104</v>
      </c>
      <c r="C253" s="15" t="s">
        <v>3235</v>
      </c>
      <c r="D253" s="11" t="str">
        <f>IFERROR(INDEX(Contacts!$B:$B,MATCH(C253,Contacts!$F:$F,0))&amp;" "&amp;INDEX(Contacts!$C:$C,MATCH(C253,Contacts!$F:$F,0)),"")</f>
        <v/>
      </c>
      <c r="E253" s="14" t="str">
        <f>IFERROR(INDEX(Contacts!$E:$E,MATCH(C253,Contacts!$F:$F,0)),"")</f>
        <v/>
      </c>
      <c r="F253" s="9" t="s">
        <v>9</v>
      </c>
      <c r="G253" t="s">
        <v>3365</v>
      </c>
      <c r="H253" s="15" t="s">
        <v>2105</v>
      </c>
      <c r="I253" s="13"/>
      <c r="J253" s="13"/>
      <c r="K253" s="15" t="s">
        <v>2818</v>
      </c>
      <c r="L253" s="38" t="str">
        <f t="shared" si="3"/>
        <v>2026-03-23haim@elbitsystems.com</v>
      </c>
    </row>
    <row r="254" spans="1:12" ht="15" customHeight="1">
      <c r="A254" s="17">
        <f>IF(tblOutreachLog[[#This Row],[Interaction Date]]&lt;&gt;0,ROW()-1,"")</f>
        <v>253</v>
      </c>
      <c r="B254" s="13">
        <v>46104</v>
      </c>
      <c r="C254" s="15" t="s">
        <v>3237</v>
      </c>
      <c r="D254" s="11" t="str">
        <f>IFERROR(INDEX(Contacts!$B:$B,MATCH(C254,Contacts!$F:$F,0))&amp;" "&amp;INDEX(Contacts!$C:$C,MATCH(C254,Contacts!$F:$F,0)),"")</f>
        <v/>
      </c>
      <c r="E254" s="14" t="str">
        <f>IFERROR(INDEX(Contacts!$E:$E,MATCH(C254,Contacts!$F:$F,0)),"")</f>
        <v/>
      </c>
      <c r="F254" s="9" t="s">
        <v>9</v>
      </c>
      <c r="G254" t="s">
        <v>3365</v>
      </c>
      <c r="H254" s="15" t="s">
        <v>2105</v>
      </c>
      <c r="I254" s="13"/>
      <c r="J254" s="13"/>
      <c r="K254" s="15" t="s">
        <v>2818</v>
      </c>
      <c r="L254" s="38" t="str">
        <f t="shared" si="3"/>
        <v>2026-03-23yaacov@elbitsystems.com</v>
      </c>
    </row>
    <row r="255" spans="1:12" ht="15" customHeight="1">
      <c r="A255" s="17">
        <f>IF(tblOutreachLog[[#This Row],[Interaction Date]]&lt;&gt;0,ROW()-1,"")</f>
        <v>254</v>
      </c>
      <c r="B255" s="13">
        <v>46104</v>
      </c>
      <c r="C255" s="15" t="s">
        <v>1538</v>
      </c>
      <c r="D255" s="11" t="str">
        <f>IFERROR(INDEX(Contacts!$B:$B,MATCH(C255,Contacts!$F:$F,0))&amp;" "&amp;INDEX(Contacts!$C:$C,MATCH(C255,Contacts!$F:$F,0)),"")</f>
        <v>ניזאר משאל</v>
      </c>
      <c r="E255" s="14" t="str">
        <f>IFERROR(INDEX(Contacts!$E:$E,MATCH(C255,Contacts!$F:$F,0)),"")</f>
        <v>אן.ג'י.טי. הלטקייר 2 ש.מ</v>
      </c>
      <c r="F255" s="9" t="s">
        <v>9</v>
      </c>
      <c r="G255" t="s">
        <v>3370</v>
      </c>
      <c r="H255" s="15" t="s">
        <v>2105</v>
      </c>
      <c r="I255" s="13"/>
      <c r="J255" s="13"/>
      <c r="K255" s="15" t="s">
        <v>2818</v>
      </c>
      <c r="L255" s="38" t="str">
        <f t="shared" si="3"/>
        <v>2026-03-23nizar@ngt3vc.com</v>
      </c>
    </row>
    <row r="256" spans="1:12" ht="15" customHeight="1">
      <c r="A256" s="17">
        <f>IF(tblOutreachLog[[#This Row],[Interaction Date]]&lt;&gt;0,ROW()-1,"")</f>
        <v>255</v>
      </c>
      <c r="B256" s="13">
        <v>46104</v>
      </c>
      <c r="C256" s="15" t="s">
        <v>3245</v>
      </c>
      <c r="D256" s="11" t="str">
        <f>IFERROR(INDEX(Contacts!$B:$B,MATCH(C256,Contacts!$F:$F,0))&amp;" "&amp;INDEX(Contacts!$C:$C,MATCH(C256,Contacts!$F:$F,0)),"")</f>
        <v>רין מיעארי</v>
      </c>
      <c r="E256" s="14" t="str">
        <f>IFERROR(INDEX(Contacts!$E:$E,MATCH(C256,Contacts!$F:$F,0)),"")</f>
        <v>אקסוקיור תראפאוטיקס</v>
      </c>
      <c r="F256" s="9" t="s">
        <v>9</v>
      </c>
      <c r="G256" t="s">
        <v>3364</v>
      </c>
      <c r="H256" s="15" t="s">
        <v>2105</v>
      </c>
      <c r="I256" s="13"/>
      <c r="J256" s="13"/>
      <c r="K256" s="15" t="s">
        <v>2818</v>
      </c>
      <c r="L256" s="38" t="str">
        <f t="shared" si="3"/>
        <v>2026-03-23reemmiari@yahoo.com</v>
      </c>
    </row>
    <row r="257" spans="1:12" ht="15" customHeight="1">
      <c r="A257" s="17">
        <f>IF(tblOutreachLog[[#This Row],[Interaction Date]]&lt;&gt;0,ROW()-1,"")</f>
        <v>256</v>
      </c>
      <c r="B257" s="13">
        <v>46104</v>
      </c>
      <c r="C257" s="15" t="s">
        <v>808</v>
      </c>
      <c r="D257" s="11" t="str">
        <f>IFERROR(INDEX(Contacts!$B:$B,MATCH(C257,Contacts!$F:$F,0))&amp;" "&amp;INDEX(Contacts!$C:$C,MATCH(C257,Contacts!$F:$F,0)),"")</f>
        <v>עמיתי הירשמן</v>
      </c>
      <c r="E257" s="14" t="str">
        <f>IFERROR(INDEX(Contacts!$E:$E,MATCH(C257,Contacts!$F:$F,0)),"")</f>
        <v>ברוול</v>
      </c>
      <c r="F257" s="9" t="s">
        <v>9</v>
      </c>
      <c r="G257" t="s">
        <v>3364</v>
      </c>
      <c r="H257" s="15" t="s">
        <v>2105</v>
      </c>
      <c r="I257" s="13"/>
      <c r="J257" s="13"/>
      <c r="K257" s="15" t="s">
        <v>2818</v>
      </c>
      <c r="L257" s="38" t="str">
        <f t="shared" si="3"/>
        <v>2026-03-23amitaih@brevel.co.il</v>
      </c>
    </row>
    <row r="258" spans="1:12" ht="15" customHeight="1">
      <c r="A258" s="17">
        <f>IF(tblOutreachLog[[#This Row],[Interaction Date]]&lt;&gt;0,ROW()-1,"")</f>
        <v>257</v>
      </c>
      <c r="B258" s="13">
        <v>46104</v>
      </c>
      <c r="C258" s="15" t="s">
        <v>3254</v>
      </c>
      <c r="D258" s="11" t="str">
        <f>IFERROR(INDEX(Contacts!$B:$B,MATCH(C258,Contacts!$F:$F,0))&amp;" "&amp;INDEX(Contacts!$C:$C,MATCH(C258,Contacts!$F:$F,0)),"")</f>
        <v>אורן מנצור</v>
      </c>
      <c r="E258" s="14" t="str">
        <f>IFERROR(INDEX(Contacts!$E:$E,MATCH(C258,Contacts!$F:$F,0)),"")</f>
        <v>ג'נופור</v>
      </c>
      <c r="F258" s="9" t="s">
        <v>9</v>
      </c>
      <c r="G258" t="s">
        <v>3366</v>
      </c>
      <c r="H258" s="15" t="s">
        <v>2105</v>
      </c>
      <c r="I258" s="13"/>
      <c r="J258" s="13"/>
      <c r="K258" s="15" t="s">
        <v>2818</v>
      </c>
      <c r="L258" s="38" t="str">
        <f t="shared" ref="L258:L302" si="4">TEXT(B258,"YYYY-MM-DD")&amp;C258</f>
        <v>2026-03-23orenm@genopore.com</v>
      </c>
    </row>
    <row r="259" spans="1:12" ht="15" customHeight="1">
      <c r="A259" s="17">
        <f>IF(tblOutreachLog[[#This Row],[Interaction Date]]&lt;&gt;0,ROW()-1,"")</f>
        <v>258</v>
      </c>
      <c r="B259" s="13">
        <v>46104</v>
      </c>
      <c r="C259" s="15" t="s">
        <v>3257</v>
      </c>
      <c r="D259" s="11" t="str">
        <f>IFERROR(INDEX(Contacts!$B:$B,MATCH(C259,Contacts!$F:$F,0))&amp;" "&amp;INDEX(Contacts!$C:$C,MATCH(C259,Contacts!$F:$F,0)),"")</f>
        <v/>
      </c>
      <c r="E259" s="14" t="str">
        <f>IFERROR(INDEX(Contacts!$E:$E,MATCH(C259,Contacts!$F:$F,0)),"")</f>
        <v/>
      </c>
      <c r="F259" s="9" t="s">
        <v>9</v>
      </c>
      <c r="G259" t="s">
        <v>3366</v>
      </c>
      <c r="H259" s="15" t="s">
        <v>2105</v>
      </c>
      <c r="I259" s="13"/>
      <c r="J259" s="13"/>
      <c r="K259" s="15" t="s">
        <v>2818</v>
      </c>
      <c r="L259" s="38" t="str">
        <f t="shared" si="4"/>
        <v>2026-03-23david@genopore.com</v>
      </c>
    </row>
    <row r="260" spans="1:12" ht="15" customHeight="1">
      <c r="A260" s="17">
        <f>IF(tblOutreachLog[[#This Row],[Interaction Date]]&lt;&gt;0,ROW()-1,"")</f>
        <v>259</v>
      </c>
      <c r="B260" s="13">
        <v>46104</v>
      </c>
      <c r="C260" s="15" t="s">
        <v>3260</v>
      </c>
      <c r="D260" s="11" t="str">
        <f>IFERROR(INDEX(Contacts!$B:$B,MATCH(C260,Contacts!$F:$F,0))&amp;" "&amp;INDEX(Contacts!$C:$C,MATCH(C260,Contacts!$F:$F,0)),"")</f>
        <v>יגאל ליבה</v>
      </c>
      <c r="E260" s="14" t="str">
        <f>IFERROR(INDEX(Contacts!$E:$E,MATCH(C260,Contacts!$F:$F,0)),"")</f>
        <v>ג'נופור</v>
      </c>
      <c r="F260" s="9" t="s">
        <v>9</v>
      </c>
      <c r="G260" t="s">
        <v>3366</v>
      </c>
      <c r="H260" s="15" t="s">
        <v>2105</v>
      </c>
      <c r="I260" s="13"/>
      <c r="J260" s="13"/>
      <c r="K260" s="15" t="s">
        <v>2818</v>
      </c>
      <c r="L260" s="38" t="str">
        <f t="shared" si="4"/>
        <v>2026-03-23yigal@genopore.com</v>
      </c>
    </row>
    <row r="261" spans="1:12" ht="15" customHeight="1">
      <c r="A261" s="17">
        <f>IF(tblOutreachLog[[#This Row],[Interaction Date]]&lt;&gt;0,ROW()-1,"")</f>
        <v>260</v>
      </c>
      <c r="B261" s="13">
        <v>46104</v>
      </c>
      <c r="C261" s="15" t="s">
        <v>3262</v>
      </c>
      <c r="D261" s="11" t="str">
        <f>IFERROR(INDEX(Contacts!$B:$B,MATCH(C261,Contacts!$F:$F,0))&amp;" "&amp;INDEX(Contacts!$C:$C,MATCH(C261,Contacts!$F:$F,0)),"")</f>
        <v/>
      </c>
      <c r="E261" s="14" t="str">
        <f>IFERROR(INDEX(Contacts!$E:$E,MATCH(C261,Contacts!$F:$F,0)),"")</f>
        <v/>
      </c>
      <c r="F261" s="9" t="s">
        <v>9</v>
      </c>
      <c r="G261" t="s">
        <v>3364</v>
      </c>
      <c r="H261" s="15" t="s">
        <v>2105</v>
      </c>
      <c r="I261" s="13"/>
      <c r="J261" s="13"/>
      <c r="K261" s="15" t="s">
        <v>2818</v>
      </c>
      <c r="L261" s="38" t="str">
        <f t="shared" si="4"/>
        <v>2026-03-23amit@genopore.com</v>
      </c>
    </row>
    <row r="262" spans="1:12" ht="15" customHeight="1">
      <c r="A262" s="17">
        <f>IF(tblOutreachLog[[#This Row],[Interaction Date]]&lt;&gt;0,ROW()-1,"")</f>
        <v>261</v>
      </c>
      <c r="B262" s="13">
        <v>46104</v>
      </c>
      <c r="C262" s="15" t="s">
        <v>3254</v>
      </c>
      <c r="D262" s="11" t="str">
        <f>IFERROR(INDEX(Contacts!$B:$B,MATCH(C262,Contacts!$F:$F,0))&amp;" "&amp;INDEX(Contacts!$C:$C,MATCH(C262,Contacts!$F:$F,0)),"")</f>
        <v>אורן מנצור</v>
      </c>
      <c r="E262" s="14" t="str">
        <f>IFERROR(INDEX(Contacts!$E:$E,MATCH(C262,Contacts!$F:$F,0)),"")</f>
        <v>ג'נופור</v>
      </c>
      <c r="F262" s="9" t="s">
        <v>9</v>
      </c>
      <c r="G262" t="s">
        <v>3367</v>
      </c>
      <c r="H262" s="15" t="s">
        <v>2105</v>
      </c>
      <c r="I262" s="13"/>
      <c r="J262" s="13"/>
      <c r="K262" s="15" t="s">
        <v>2818</v>
      </c>
      <c r="L262" s="38" t="str">
        <f t="shared" si="4"/>
        <v>2026-03-23orenm@genopore.com</v>
      </c>
    </row>
    <row r="263" spans="1:12" ht="15" customHeight="1">
      <c r="A263" s="17">
        <f>IF(tblOutreachLog[[#This Row],[Interaction Date]]&lt;&gt;0,ROW()-1,"")</f>
        <v>262</v>
      </c>
      <c r="B263" s="13">
        <v>46104</v>
      </c>
      <c r="C263" s="15" t="s">
        <v>3264</v>
      </c>
      <c r="D263" s="11" t="str">
        <f>IFERROR(INDEX(Contacts!$B:$B,MATCH(C263,Contacts!$F:$F,0))&amp;" "&amp;INDEX(Contacts!$C:$C,MATCH(C263,Contacts!$F:$F,0)),"")</f>
        <v/>
      </c>
      <c r="E263" s="14" t="str">
        <f>IFERROR(INDEX(Contacts!$E:$E,MATCH(C263,Contacts!$F:$F,0)),"")</f>
        <v/>
      </c>
      <c r="F263" s="9" t="s">
        <v>9</v>
      </c>
      <c r="G263" t="s">
        <v>3369</v>
      </c>
      <c r="H263" s="15" t="s">
        <v>2105</v>
      </c>
      <c r="I263" s="13"/>
      <c r="J263" s="13"/>
      <c r="K263" s="15" t="s">
        <v>2818</v>
      </c>
      <c r="L263" s="38" t="str">
        <f t="shared" si="4"/>
        <v>2026-03-23tamar@hadasit.org</v>
      </c>
    </row>
    <row r="264" spans="1:12" ht="15" customHeight="1">
      <c r="A264" s="17">
        <f>IF(tblOutreachLog[[#This Row],[Interaction Date]]&lt;&gt;0,ROW()-1,"")</f>
        <v>263</v>
      </c>
      <c r="B264" s="13">
        <v>46104</v>
      </c>
      <c r="C264" s="15" t="s">
        <v>3265</v>
      </c>
      <c r="D264" s="11" t="str">
        <f>IFERROR(INDEX(Contacts!$B:$B,MATCH(C264,Contacts!$F:$F,0))&amp;" "&amp;INDEX(Contacts!$C:$C,MATCH(C264,Contacts!$F:$F,0)),"")</f>
        <v/>
      </c>
      <c r="E264" s="14" t="str">
        <f>IFERROR(INDEX(Contacts!$E:$E,MATCH(C264,Contacts!$F:$F,0)),"")</f>
        <v/>
      </c>
      <c r="F264" s="9" t="s">
        <v>9</v>
      </c>
      <c r="G264" t="s">
        <v>3369</v>
      </c>
      <c r="H264" s="15" t="s">
        <v>2105</v>
      </c>
      <c r="I264" s="13"/>
      <c r="J264" s="13"/>
      <c r="K264" s="15" t="s">
        <v>2818</v>
      </c>
      <c r="L264" s="38" t="str">
        <f t="shared" si="4"/>
        <v>2026-03-23amir@hadasit.org</v>
      </c>
    </row>
    <row r="265" spans="1:12" ht="15" customHeight="1">
      <c r="A265" s="17">
        <f>IF(tblOutreachLog[[#This Row],[Interaction Date]]&lt;&gt;0,ROW()-1,"")</f>
        <v>264</v>
      </c>
      <c r="B265" s="13">
        <v>46104</v>
      </c>
      <c r="C265" s="15" t="s">
        <v>1316</v>
      </c>
      <c r="D265" s="11" t="str">
        <f>IFERROR(INDEX(Contacts!$B:$B,MATCH(C265,Contacts!$F:$F,0))&amp;" "&amp;INDEX(Contacts!$C:$C,MATCH(C265,Contacts!$F:$F,0)),"")</f>
        <v>קרינה ריבגין</v>
      </c>
      <c r="E265" s="14" t="str">
        <f>IFERROR(INDEX(Contacts!$E:$E,MATCH(C265,Contacts!$F:$F,0)),"")</f>
        <v>המכללה האקדמית להנדסה סמי שמעון</v>
      </c>
      <c r="F265" s="9" t="s">
        <v>9</v>
      </c>
      <c r="G265" t="s">
        <v>3368</v>
      </c>
      <c r="H265" s="15" t="s">
        <v>2105</v>
      </c>
      <c r="I265" s="13"/>
      <c r="J265" s="13"/>
      <c r="K265" s="15" t="s">
        <v>2818</v>
      </c>
      <c r="L265" s="38" t="str">
        <f t="shared" si="4"/>
        <v>2026-03-23karinael@sce.ac.il</v>
      </c>
    </row>
    <row r="266" spans="1:12" ht="15" customHeight="1">
      <c r="A266" s="17">
        <f>IF(tblOutreachLog[[#This Row],[Interaction Date]]&lt;&gt;0,ROW()-1,"")</f>
        <v>265</v>
      </c>
      <c r="B266" s="13">
        <v>46104</v>
      </c>
      <c r="C266" s="15" t="s">
        <v>3269</v>
      </c>
      <c r="D266" s="11" t="str">
        <f>IFERROR(INDEX(Contacts!$B:$B,MATCH(C266,Contacts!$F:$F,0))&amp;" "&amp;INDEX(Contacts!$C:$C,MATCH(C266,Contacts!$F:$F,0)),"")</f>
        <v>כפיר בן הרוש</v>
      </c>
      <c r="E266" s="14" t="str">
        <f>IFERROR(INDEX(Contacts!$E:$E,MATCH(C266,Contacts!$F:$F,0)),"")</f>
        <v>המכללה האקדמית להנדסה סמי שמעון</v>
      </c>
      <c r="F266" s="9" t="s">
        <v>9</v>
      </c>
      <c r="G266" t="s">
        <v>3368</v>
      </c>
      <c r="H266" s="15" t="s">
        <v>2105</v>
      </c>
      <c r="I266" s="13"/>
      <c r="J266" s="13"/>
      <c r="K266" s="15" t="s">
        <v>2818</v>
      </c>
      <c r="L266" s="38" t="str">
        <f t="shared" si="4"/>
        <v>2026-03-23kfirb@sce.ac.il</v>
      </c>
    </row>
    <row r="267" spans="1:12" ht="15" customHeight="1">
      <c r="A267" s="17">
        <f>IF(tblOutreachLog[[#This Row],[Interaction Date]]&lt;&gt;0,ROW()-1,"")</f>
        <v>266</v>
      </c>
      <c r="B267" s="13">
        <v>46104</v>
      </c>
      <c r="C267" s="15" t="s">
        <v>3272</v>
      </c>
      <c r="D267" s="11" t="str">
        <f>IFERROR(INDEX(Contacts!$B:$B,MATCH(C267,Contacts!$F:$F,0))&amp;" "&amp;INDEX(Contacts!$C:$C,MATCH(C267,Contacts!$F:$F,0)),"")</f>
        <v>ונסה בוטה</v>
      </c>
      <c r="E267" s="14" t="str">
        <f>IFERROR(INDEX(Contacts!$E:$E,MATCH(C267,Contacts!$F:$F,0)),"")</f>
        <v>הרחף 2025 פתרונות תעופה מתקדמים</v>
      </c>
      <c r="F267" s="9" t="s">
        <v>9</v>
      </c>
      <c r="G267" t="s">
        <v>3366</v>
      </c>
      <c r="H267" s="15" t="s">
        <v>2105</v>
      </c>
      <c r="I267" s="13"/>
      <c r="J267" s="13"/>
      <c r="K267" s="15" t="s">
        <v>2818</v>
      </c>
      <c r="L267" s="38" t="str">
        <f t="shared" si="4"/>
        <v>2026-03-23vanessabouta@gmail.com</v>
      </c>
    </row>
    <row r="268" spans="1:12" ht="15" customHeight="1">
      <c r="A268" s="17">
        <f>IF(tblOutreachLog[[#This Row],[Interaction Date]]&lt;&gt;0,ROW()-1,"")</f>
        <v>267</v>
      </c>
      <c r="B268" s="13">
        <v>46104</v>
      </c>
      <c r="C268" s="15" t="s">
        <v>3275</v>
      </c>
      <c r="D268" s="11" t="str">
        <f>IFERROR(INDEX(Contacts!$B:$B,MATCH(C268,Contacts!$F:$F,0))&amp;" "&amp;INDEX(Contacts!$C:$C,MATCH(C268,Contacts!$F:$F,0)),"")</f>
        <v>אבנר ארליך</v>
      </c>
      <c r="E268" s="14" t="str">
        <f>IFERROR(INDEX(Contacts!$E:$E,MATCH(C268,Contacts!$F:$F,0)),"")</f>
        <v>טישו דינאמיקס</v>
      </c>
      <c r="F268" s="9" t="s">
        <v>9</v>
      </c>
      <c r="G268" t="s">
        <v>3364</v>
      </c>
      <c r="H268" s="15" t="s">
        <v>2105</v>
      </c>
      <c r="I268" s="13"/>
      <c r="J268" s="13"/>
      <c r="K268" s="15" t="s">
        <v>2818</v>
      </c>
      <c r="L268" s="38" t="str">
        <f t="shared" si="4"/>
        <v>2026-03-23aehrlich@tissuedynamics.com</v>
      </c>
    </row>
    <row r="269" spans="1:12" ht="15" customHeight="1">
      <c r="A269" s="17">
        <f>IF(tblOutreachLog[[#This Row],[Interaction Date]]&lt;&gt;0,ROW()-1,"")</f>
        <v>268</v>
      </c>
      <c r="B269" s="13">
        <v>46104</v>
      </c>
      <c r="C269" s="15" t="s">
        <v>3278</v>
      </c>
      <c r="D269" s="11" t="str">
        <f>IFERROR(INDEX(Contacts!$B:$B,MATCH(C269,Contacts!$F:$F,0))&amp;" "&amp;INDEX(Contacts!$C:$C,MATCH(C269,Contacts!$F:$F,0)),"")</f>
        <v/>
      </c>
      <c r="E269" s="14" t="str">
        <f>IFERROR(INDEX(Contacts!$E:$E,MATCH(C269,Contacts!$F:$F,0)),"")</f>
        <v/>
      </c>
      <c r="F269" s="9" t="s">
        <v>9</v>
      </c>
      <c r="G269" t="s">
        <v>3364</v>
      </c>
      <c r="H269" s="15" t="s">
        <v>2105</v>
      </c>
      <c r="I269" s="13"/>
      <c r="J269" s="13"/>
      <c r="K269" s="15" t="s">
        <v>2818</v>
      </c>
      <c r="L269" s="38" t="str">
        <f t="shared" si="4"/>
        <v>2026-03-23yaakov@tissuedynamics.com</v>
      </c>
    </row>
    <row r="270" spans="1:12" ht="15" customHeight="1">
      <c r="A270" s="17">
        <f>IF(tblOutreachLog[[#This Row],[Interaction Date]]&lt;&gt;0,ROW()-1,"")</f>
        <v>269</v>
      </c>
      <c r="B270" s="13">
        <v>46104</v>
      </c>
      <c r="C270" s="15" t="s">
        <v>3283</v>
      </c>
      <c r="D270" s="11" t="str">
        <f>IFERROR(INDEX(Contacts!$B:$B,MATCH(C270,Contacts!$F:$F,0))&amp;" "&amp;INDEX(Contacts!$C:$C,MATCH(C270,Contacts!$F:$F,0)),"")</f>
        <v/>
      </c>
      <c r="E270" s="14" t="str">
        <f>IFERROR(INDEX(Contacts!$E:$E,MATCH(C270,Contacts!$F:$F,0)),"")</f>
        <v/>
      </c>
      <c r="F270" s="9" t="s">
        <v>9</v>
      </c>
      <c r="G270" t="s">
        <v>3364</v>
      </c>
      <c r="H270" s="15" t="s">
        <v>2105</v>
      </c>
      <c r="I270" s="13"/>
      <c r="J270" s="13"/>
      <c r="K270" s="15" t="s">
        <v>2818</v>
      </c>
      <c r="L270" s="38" t="str">
        <f t="shared" si="4"/>
        <v>2026-03-23muneef@tissuedynamics.com</v>
      </c>
    </row>
    <row r="271" spans="1:12" ht="15" customHeight="1">
      <c r="A271" s="17">
        <f>IF(tblOutreachLog[[#This Row],[Interaction Date]]&lt;&gt;0,ROW()-1,"")</f>
        <v>270</v>
      </c>
      <c r="B271" s="13">
        <v>46104</v>
      </c>
      <c r="C271" s="15" t="s">
        <v>3285</v>
      </c>
      <c r="D271" s="11" t="str">
        <f>IFERROR(INDEX(Contacts!$B:$B,MATCH(C271,Contacts!$F:$F,0))&amp;" "&amp;INDEX(Contacts!$C:$C,MATCH(C271,Contacts!$F:$F,0)),"")</f>
        <v/>
      </c>
      <c r="E271" s="14" t="str">
        <f>IFERROR(INDEX(Contacts!$E:$E,MATCH(C271,Contacts!$F:$F,0)),"")</f>
        <v/>
      </c>
      <c r="F271" s="9" t="s">
        <v>9</v>
      </c>
      <c r="G271" t="s">
        <v>3364</v>
      </c>
      <c r="H271" s="15" t="s">
        <v>2105</v>
      </c>
      <c r="I271" s="13"/>
      <c r="J271" s="13"/>
      <c r="K271" s="15" t="s">
        <v>2818</v>
      </c>
      <c r="L271" s="38" t="str">
        <f t="shared" si="4"/>
        <v>2026-03-23nir@tissuedynamics.com</v>
      </c>
    </row>
    <row r="272" spans="1:12" ht="15" customHeight="1">
      <c r="A272" s="17">
        <f>IF(tblOutreachLog[[#This Row],[Interaction Date]]&lt;&gt;0,ROW()-1,"")</f>
        <v>271</v>
      </c>
      <c r="B272" s="13">
        <v>46104</v>
      </c>
      <c r="C272" s="15" t="s">
        <v>3275</v>
      </c>
      <c r="D272" s="11" t="str">
        <f>IFERROR(INDEX(Contacts!$B:$B,MATCH(C272,Contacts!$F:$F,0))&amp;" "&amp;INDEX(Contacts!$C:$C,MATCH(C272,Contacts!$F:$F,0)),"")</f>
        <v>אבנר ארליך</v>
      </c>
      <c r="E272" s="14" t="str">
        <f>IFERROR(INDEX(Contacts!$E:$E,MATCH(C272,Contacts!$F:$F,0)),"")</f>
        <v>טישו דינאמיקס</v>
      </c>
      <c r="F272" s="9" t="s">
        <v>9</v>
      </c>
      <c r="G272" t="s">
        <v>3364</v>
      </c>
      <c r="H272" s="15" t="s">
        <v>2105</v>
      </c>
      <c r="I272" s="13"/>
      <c r="J272" s="13"/>
      <c r="K272" s="15" t="s">
        <v>2818</v>
      </c>
      <c r="L272" s="38" t="str">
        <f t="shared" si="4"/>
        <v>2026-03-23aehrlich@tissuedynamics.com</v>
      </c>
    </row>
    <row r="273" spans="1:12" ht="15" customHeight="1">
      <c r="A273" s="17">
        <f>IF(tblOutreachLog[[#This Row],[Interaction Date]]&lt;&gt;0,ROW()-1,"")</f>
        <v>272</v>
      </c>
      <c r="B273" s="13">
        <v>46104</v>
      </c>
      <c r="C273" s="15" t="s">
        <v>3287</v>
      </c>
      <c r="D273" s="11" t="str">
        <f>IFERROR(INDEX(Contacts!$B:$B,MATCH(C273,Contacts!$F:$F,0))&amp;" "&amp;INDEX(Contacts!$C:$C,MATCH(C273,Contacts!$F:$F,0)),"")</f>
        <v>קרן ריבר אברהמי</v>
      </c>
      <c r="E273" s="14" t="str">
        <f>IFERROR(INDEX(Contacts!$E:$E,MATCH(C273,Contacts!$F:$F,0)),"")</f>
        <v>כנף- כלל ניהול פיננסים</v>
      </c>
      <c r="F273" s="9" t="s">
        <v>9</v>
      </c>
      <c r="G273" t="s">
        <v>3367</v>
      </c>
      <c r="H273" s="15" t="s">
        <v>2105</v>
      </c>
      <c r="I273" s="13"/>
      <c r="J273" s="13"/>
      <c r="K273" s="15" t="s">
        <v>2818</v>
      </c>
      <c r="L273" s="38" t="str">
        <f t="shared" si="4"/>
        <v>2026-03-23kerenriabr@gmail.com</v>
      </c>
    </row>
    <row r="274" spans="1:12" ht="15" customHeight="1">
      <c r="A274" s="17">
        <f>IF(tblOutreachLog[[#This Row],[Interaction Date]]&lt;&gt;0,ROW()-1,"")</f>
        <v>273</v>
      </c>
      <c r="B274" s="13">
        <v>46104</v>
      </c>
      <c r="C274" s="15" t="s">
        <v>3289</v>
      </c>
      <c r="D274" s="11" t="str">
        <f>IFERROR(INDEX(Contacts!$B:$B,MATCH(C274,Contacts!$F:$F,0))&amp;" "&amp;INDEX(Contacts!$C:$C,MATCH(C274,Contacts!$F:$F,0)),"")</f>
        <v/>
      </c>
      <c r="E274" s="14" t="str">
        <f>IFERROR(INDEX(Contacts!$E:$E,MATCH(C274,Contacts!$F:$F,0)),"")</f>
        <v/>
      </c>
      <c r="F274" s="9" t="s">
        <v>9</v>
      </c>
      <c r="G274" t="s">
        <v>3368</v>
      </c>
      <c r="H274" s="15" t="s">
        <v>2105</v>
      </c>
      <c r="I274" s="13"/>
      <c r="J274" s="13"/>
      <c r="K274" s="15" t="s">
        <v>2818</v>
      </c>
      <c r="L274" s="38" t="str">
        <f t="shared" si="4"/>
        <v>2026-03-23yaron@yissum.co</v>
      </c>
    </row>
    <row r="275" spans="1:12" ht="15" customHeight="1">
      <c r="A275" s="17">
        <f>IF(tblOutreachLog[[#This Row],[Interaction Date]]&lt;&gt;0,ROW()-1,"")</f>
        <v>274</v>
      </c>
      <c r="B275" s="13">
        <v>46104</v>
      </c>
      <c r="C275" s="15" t="s">
        <v>981</v>
      </c>
      <c r="D275" s="11" t="str">
        <f>IFERROR(INDEX(Contacts!$B:$B,MATCH(C275,Contacts!$F:$F,0))&amp;" "&amp;INDEX(Contacts!$C:$C,MATCH(C275,Contacts!$F:$F,0)),"")</f>
        <v>דורון שלום</v>
      </c>
      <c r="E275" s="14" t="str">
        <f>IFERROR(INDEX(Contacts!$E:$E,MATCH(C275,Contacts!$F:$F,0)),"")</f>
        <v>מ.ס.טק בע"מ</v>
      </c>
      <c r="F275" s="9" t="s">
        <v>9</v>
      </c>
      <c r="G275" t="s">
        <v>3370</v>
      </c>
      <c r="H275" s="15" t="s">
        <v>2105</v>
      </c>
      <c r="I275" s="13"/>
      <c r="J275" s="13"/>
      <c r="K275" s="15" t="s">
        <v>2818</v>
      </c>
      <c r="L275" s="38" t="str">
        <f t="shared" si="4"/>
        <v>2026-03-23doron.s@ms-technologies.com</v>
      </c>
    </row>
    <row r="276" spans="1:12" ht="15" customHeight="1">
      <c r="A276" s="17">
        <f>IF(tblOutreachLog[[#This Row],[Interaction Date]]&lt;&gt;0,ROW()-1,"")</f>
        <v>275</v>
      </c>
      <c r="B276" s="13">
        <v>46104</v>
      </c>
      <c r="C276" s="15" t="s">
        <v>3297</v>
      </c>
      <c r="D276" s="11" t="str">
        <f>IFERROR(INDEX(Contacts!$B:$B,MATCH(C276,Contacts!$F:$F,0))&amp;" "&amp;INDEX(Contacts!$C:$C,MATCH(C276,Contacts!$F:$F,0)),"")</f>
        <v>רננה אופן</v>
      </c>
      <c r="E276" s="14" t="str">
        <f>IFERROR(INDEX(Contacts!$E:$E,MATCH(C276,Contacts!$F:$F,0)),"")</f>
        <v>מדעית שערי צדק</v>
      </c>
      <c r="F276" s="9" t="s">
        <v>9</v>
      </c>
      <c r="G276" t="s">
        <v>3368</v>
      </c>
      <c r="H276" s="15" t="s">
        <v>2105</v>
      </c>
      <c r="I276" s="13"/>
      <c r="J276" s="13"/>
      <c r="K276" s="15" t="s">
        <v>2818</v>
      </c>
      <c r="L276" s="38" t="str">
        <f t="shared" si="4"/>
        <v>2026-03-23renana@madait.szmc.org.il</v>
      </c>
    </row>
    <row r="277" spans="1:12" ht="15" customHeight="1">
      <c r="A277" s="17">
        <f>IF(tblOutreachLog[[#This Row],[Interaction Date]]&lt;&gt;0,ROW()-1,"")</f>
        <v>276</v>
      </c>
      <c r="B277" s="13">
        <v>46104</v>
      </c>
      <c r="C277" s="15" t="s">
        <v>1345</v>
      </c>
      <c r="D277" s="11" t="str">
        <f>IFERROR(INDEX(Contacts!$B:$B,MATCH(C277,Contacts!$F:$F,0))&amp;" "&amp;INDEX(Contacts!$C:$C,MATCH(C277,Contacts!$F:$F,0)),"")</f>
        <v>לאה רוסוף</v>
      </c>
      <c r="E277" s="14" t="str">
        <f>IFERROR(INDEX(Contacts!$E:$E,MATCH(C277,Contacts!$F:$F,0)),"")</f>
        <v>מינהל המחקר החקלאי מכון וולקני</v>
      </c>
      <c r="F277" s="9" t="s">
        <v>9</v>
      </c>
      <c r="G277" t="s">
        <v>3368</v>
      </c>
      <c r="H277" s="15" t="s">
        <v>2105</v>
      </c>
      <c r="I277" s="13"/>
      <c r="J277" s="13"/>
      <c r="K277" s="15" t="s">
        <v>2818</v>
      </c>
      <c r="L277" s="38" t="str">
        <f t="shared" si="4"/>
        <v>2026-03-23lear@agri.gov.il</v>
      </c>
    </row>
    <row r="278" spans="1:12" ht="15" customHeight="1">
      <c r="A278" s="17">
        <f>IF(tblOutreachLog[[#This Row],[Interaction Date]]&lt;&gt;0,ROW()-1,"")</f>
        <v>277</v>
      </c>
      <c r="B278" s="13">
        <v>46104</v>
      </c>
      <c r="C278" s="15" t="s">
        <v>3307</v>
      </c>
      <c r="D278" s="11" t="str">
        <f>IFERROR(INDEX(Contacts!$B:$B,MATCH(C278,Contacts!$F:$F,0))&amp;" "&amp;INDEX(Contacts!$C:$C,MATCH(C278,Contacts!$F:$F,0)),"")</f>
        <v>זיו נדיבי</v>
      </c>
      <c r="E278" s="14" t="str">
        <f>IFERROR(INDEX(Contacts!$E:$E,MATCH(C278,Contacts!$F:$F,0)),"")</f>
        <v>ננו דיימנשן טכנולוגיות</v>
      </c>
      <c r="F278" s="9" t="s">
        <v>9</v>
      </c>
      <c r="G278" t="s">
        <v>3364</v>
      </c>
      <c r="H278" s="15" t="s">
        <v>2105</v>
      </c>
      <c r="I278" s="13"/>
      <c r="J278" s="13"/>
      <c r="K278" s="15" t="s">
        <v>2818</v>
      </c>
      <c r="L278" s="38" t="str">
        <f t="shared" si="4"/>
        <v>2026-03-23zivi@nano-di.com</v>
      </c>
    </row>
    <row r="279" spans="1:12" ht="15" customHeight="1">
      <c r="A279" s="17">
        <f>IF(tblOutreachLog[[#This Row],[Interaction Date]]&lt;&gt;0,ROW()-1,"")</f>
        <v>278</v>
      </c>
      <c r="B279" s="13">
        <v>46104</v>
      </c>
      <c r="C279" s="15" t="s">
        <v>3309</v>
      </c>
      <c r="D279" s="11" t="str">
        <f>IFERROR(INDEX(Contacts!$B:$B,MATCH(C279,Contacts!$F:$F,0))&amp;" "&amp;INDEX(Contacts!$C:$C,MATCH(C279,Contacts!$F:$F,0)),"")</f>
        <v>עמית דרור</v>
      </c>
      <c r="E279" s="14" t="str">
        <f>IFERROR(INDEX(Contacts!$E:$E,MATCH(C279,Contacts!$F:$F,0)),"")</f>
        <v>ננו דיימנשן טכנולוגיות</v>
      </c>
      <c r="F279" s="9" t="s">
        <v>9</v>
      </c>
      <c r="G279" t="s">
        <v>3364</v>
      </c>
      <c r="H279" s="15" t="s">
        <v>2105</v>
      </c>
      <c r="I279" s="13"/>
      <c r="J279" s="13"/>
      <c r="K279" s="15" t="s">
        <v>2818</v>
      </c>
      <c r="L279" s="38" t="str">
        <f t="shared" si="4"/>
        <v>2026-03-23amit@nano-di.com</v>
      </c>
    </row>
    <row r="280" spans="1:12" ht="15" customHeight="1">
      <c r="A280" s="17">
        <f>IF(tblOutreachLog[[#This Row],[Interaction Date]]&lt;&gt;0,ROW()-1,"")</f>
        <v>279</v>
      </c>
      <c r="B280" s="13">
        <v>46104</v>
      </c>
      <c r="C280" s="15" t="s">
        <v>3310</v>
      </c>
      <c r="D280" s="11" t="str">
        <f>IFERROR(INDEX(Contacts!$B:$B,MATCH(C280,Contacts!$F:$F,0))&amp;" "&amp;INDEX(Contacts!$C:$C,MATCH(C280,Contacts!$F:$F,0)),"")</f>
        <v>תומר פנחס</v>
      </c>
      <c r="E280" s="14" t="str">
        <f>IFERROR(INDEX(Contacts!$E:$E,MATCH(C280,Contacts!$F:$F,0)),"")</f>
        <v>ננו דיימנשן טכנולוגיות</v>
      </c>
      <c r="F280" s="9" t="s">
        <v>9</v>
      </c>
      <c r="G280" t="s">
        <v>3364</v>
      </c>
      <c r="H280" s="15" t="s">
        <v>2105</v>
      </c>
      <c r="I280" s="13"/>
      <c r="J280" s="13"/>
      <c r="K280" s="15" t="s">
        <v>2818</v>
      </c>
      <c r="L280" s="38" t="str">
        <f t="shared" si="4"/>
        <v>2026-03-23tomer@nano-di.com</v>
      </c>
    </row>
    <row r="281" spans="1:12" ht="15" customHeight="1">
      <c r="A281" s="17">
        <f>IF(tblOutreachLog[[#This Row],[Interaction Date]]&lt;&gt;0,ROW()-1,"")</f>
        <v>280</v>
      </c>
      <c r="B281" s="13">
        <v>46104</v>
      </c>
      <c r="C281" s="15" t="s">
        <v>3312</v>
      </c>
      <c r="D281" s="11" t="str">
        <f>IFERROR(INDEX(Contacts!$B:$B,MATCH(C281,Contacts!$F:$F,0))&amp;" "&amp;INDEX(Contacts!$C:$C,MATCH(C281,Contacts!$F:$F,0)),"")</f>
        <v>יואב שטרן</v>
      </c>
      <c r="E281" s="14" t="str">
        <f>IFERROR(INDEX(Contacts!$E:$E,MATCH(C281,Contacts!$F:$F,0)),"")</f>
        <v>ננו דיימנשן טכנולוגיות</v>
      </c>
      <c r="F281" s="9" t="s">
        <v>9</v>
      </c>
      <c r="G281" t="s">
        <v>3364</v>
      </c>
      <c r="H281" s="15" t="s">
        <v>2105</v>
      </c>
      <c r="I281" s="13"/>
      <c r="J281" s="13"/>
      <c r="K281" s="15" t="s">
        <v>2818</v>
      </c>
      <c r="L281" s="38" t="str">
        <f t="shared" si="4"/>
        <v>2026-03-23yoav@nano-di.com</v>
      </c>
    </row>
    <row r="282" spans="1:12" ht="15" customHeight="1">
      <c r="A282" s="17">
        <f>IF(tblOutreachLog[[#This Row],[Interaction Date]]&lt;&gt;0,ROW()-1,"")</f>
        <v>281</v>
      </c>
      <c r="B282" s="13">
        <v>46104</v>
      </c>
      <c r="C282" s="15" t="s">
        <v>3315</v>
      </c>
      <c r="D282" s="11" t="str">
        <f>IFERROR(INDEX(Contacts!$B:$B,MATCH(C282,Contacts!$F:$F,0))&amp;" "&amp;INDEX(Contacts!$C:$C,MATCH(C282,Contacts!$F:$F,0)),"")</f>
        <v>יעל סנדלר</v>
      </c>
      <c r="E282" s="14" t="str">
        <f>IFERROR(INDEX(Contacts!$E:$E,MATCH(C282,Contacts!$F:$F,0)),"")</f>
        <v>ננו דיימנשן טכנולוגיות</v>
      </c>
      <c r="F282" s="9" t="s">
        <v>9</v>
      </c>
      <c r="G282" t="s">
        <v>3364</v>
      </c>
      <c r="H282" s="15" t="s">
        <v>2105</v>
      </c>
      <c r="I282" s="13"/>
      <c r="J282" s="13"/>
      <c r="K282" s="15" t="s">
        <v>2818</v>
      </c>
      <c r="L282" s="38" t="str">
        <f t="shared" si="4"/>
        <v>2026-03-23yael@nano-di.com</v>
      </c>
    </row>
    <row r="283" spans="1:12" ht="15" customHeight="1">
      <c r="A283" s="17">
        <f>IF(tblOutreachLog[[#This Row],[Interaction Date]]&lt;&gt;0,ROW()-1,"")</f>
        <v>282</v>
      </c>
      <c r="B283" s="13">
        <v>46104</v>
      </c>
      <c r="C283" s="15" t="s">
        <v>3316</v>
      </c>
      <c r="D283" s="11" t="str">
        <f>IFERROR(INDEX(Contacts!$B:$B,MATCH(C283,Contacts!$F:$F,0))&amp;" "&amp;INDEX(Contacts!$C:$C,MATCH(C283,Contacts!$F:$F,0)),"")</f>
        <v/>
      </c>
      <c r="E283" s="14" t="str">
        <f>IFERROR(INDEX(Contacts!$E:$E,MATCH(C283,Contacts!$F:$F,0)),"")</f>
        <v/>
      </c>
      <c r="F283" s="9" t="s">
        <v>9</v>
      </c>
      <c r="G283" t="s">
        <v>3370</v>
      </c>
      <c r="H283" s="15" t="s">
        <v>2105</v>
      </c>
      <c r="I283" s="13"/>
      <c r="J283" s="13"/>
      <c r="K283" s="15" t="s">
        <v>2818</v>
      </c>
      <c r="L283" s="38" t="str">
        <f t="shared" si="4"/>
        <v>2026-03-23guy@nectintx.com</v>
      </c>
    </row>
    <row r="284" spans="1:12" ht="15" customHeight="1">
      <c r="A284" s="17">
        <f>IF(tblOutreachLog[[#This Row],[Interaction Date]]&lt;&gt;0,ROW()-1,"")</f>
        <v>283</v>
      </c>
      <c r="B284" s="13">
        <v>46104</v>
      </c>
      <c r="C284" s="15" t="s">
        <v>3319</v>
      </c>
      <c r="D284" s="11" t="str">
        <f>IFERROR(INDEX(Contacts!$B:$B,MATCH(C284,Contacts!$F:$F,0))&amp;" "&amp;INDEX(Contacts!$C:$C,MATCH(C284,Contacts!$F:$F,0)),"")</f>
        <v>קרן פז</v>
      </c>
      <c r="E284" s="14" t="str">
        <f>IFERROR(INDEX(Contacts!$E:$E,MATCH(C284,Contacts!$F:$F,0)),"")</f>
        <v>נקטין תרפיוטיקס</v>
      </c>
      <c r="F284" s="9" t="s">
        <v>9</v>
      </c>
      <c r="G284" t="s">
        <v>3370</v>
      </c>
      <c r="H284" s="15" t="s">
        <v>2105</v>
      </c>
      <c r="I284" s="13"/>
      <c r="J284" s="13"/>
      <c r="K284" s="15" t="s">
        <v>2818</v>
      </c>
      <c r="L284" s="38" t="str">
        <f t="shared" si="4"/>
        <v>2026-03-23keren@nectintx.com</v>
      </c>
    </row>
    <row r="285" spans="1:12" ht="15" customHeight="1">
      <c r="A285" s="17">
        <f>IF(tblOutreachLog[[#This Row],[Interaction Date]]&lt;&gt;0,ROW()-1,"")</f>
        <v>284</v>
      </c>
      <c r="B285" s="13">
        <v>46104</v>
      </c>
      <c r="C285" s="15" t="s">
        <v>3322</v>
      </c>
      <c r="D285" s="11" t="str">
        <f>IFERROR(INDEX(Contacts!$B:$B,MATCH(C285,Contacts!$F:$F,0))&amp;" "&amp;INDEX(Contacts!$C:$C,MATCH(C285,Contacts!$F:$F,0)),"")</f>
        <v>פביאן טננבאום</v>
      </c>
      <c r="E285" s="14" t="str">
        <f>IFERROR(INDEX(Contacts!$E:$E,MATCH(C285,Contacts!$F:$F,0)),"")</f>
        <v>נקטין תרפיוטיקס</v>
      </c>
      <c r="F285" s="9" t="s">
        <v>9</v>
      </c>
      <c r="G285" t="s">
        <v>3370</v>
      </c>
      <c r="H285" s="15" t="s">
        <v>2105</v>
      </c>
      <c r="I285" s="13"/>
      <c r="J285" s="13"/>
      <c r="K285" s="15" t="s">
        <v>2818</v>
      </c>
      <c r="L285" s="38" t="str">
        <f t="shared" si="4"/>
        <v>2026-03-23fabian@nectintx.com</v>
      </c>
    </row>
    <row r="286" spans="1:12" ht="15" customHeight="1">
      <c r="A286" s="17">
        <f>IF(tblOutreachLog[[#This Row],[Interaction Date]]&lt;&gt;0,ROW()-1,"")</f>
        <v>285</v>
      </c>
      <c r="B286" s="13">
        <v>46104</v>
      </c>
      <c r="C286" s="15" t="s">
        <v>3323</v>
      </c>
      <c r="D286" s="11" t="str">
        <f>IFERROR(INDEX(Contacts!$B:$B,MATCH(C286,Contacts!$F:$F,0))&amp;" "&amp;INDEX(Contacts!$C:$C,MATCH(C286,Contacts!$F:$F,0)),"")</f>
        <v xml:space="preserve">פיני </v>
      </c>
      <c r="E286" s="14" t="str">
        <f>IFERROR(INDEX(Contacts!$E:$E,MATCH(C286,Contacts!$F:$F,0)),"")</f>
        <v>נקטין תרפיוטיקס</v>
      </c>
      <c r="F286" s="9" t="s">
        <v>9</v>
      </c>
      <c r="G286" t="s">
        <v>3370</v>
      </c>
      <c r="H286" s="15" t="s">
        <v>2105</v>
      </c>
      <c r="I286" s="13"/>
      <c r="J286" s="13"/>
      <c r="K286" s="15" t="s">
        <v>2818</v>
      </c>
      <c r="L286" s="38" t="str">
        <f t="shared" si="4"/>
        <v>2026-03-23pini@nectintx.com</v>
      </c>
    </row>
    <row r="287" spans="1:12" ht="15" customHeight="1">
      <c r="A287" s="17">
        <f>IF(tblOutreachLog[[#This Row],[Interaction Date]]&lt;&gt;0,ROW()-1,"")</f>
        <v>286</v>
      </c>
      <c r="B287" s="13">
        <v>46104</v>
      </c>
      <c r="C287" s="15" t="s">
        <v>3324</v>
      </c>
      <c r="D287" s="11" t="str">
        <f>IFERROR(INDEX(Contacts!$B:$B,MATCH(C287,Contacts!$F:$F,0))&amp;" "&amp;INDEX(Contacts!$C:$C,MATCH(C287,Contacts!$F:$F,0)),"")</f>
        <v/>
      </c>
      <c r="E287" s="14" t="str">
        <f>IFERROR(INDEX(Contacts!$E:$E,MATCH(C287,Contacts!$F:$F,0)),"")</f>
        <v/>
      </c>
      <c r="F287" s="9" t="s">
        <v>9</v>
      </c>
      <c r="G287" t="s">
        <v>3370</v>
      </c>
      <c r="H287" s="15" t="s">
        <v>2105</v>
      </c>
      <c r="I287" s="13"/>
      <c r="J287" s="13"/>
      <c r="K287" s="15" t="s">
        <v>2818</v>
      </c>
      <c r="L287" s="38" t="str">
        <f t="shared" si="4"/>
        <v>2026-03-23eric@nectintx.com</v>
      </c>
    </row>
    <row r="288" spans="1:12" ht="15" customHeight="1">
      <c r="A288" s="17">
        <f>IF(tblOutreachLog[[#This Row],[Interaction Date]]&lt;&gt;0,ROW()-1,"")</f>
        <v>287</v>
      </c>
      <c r="B288" s="13">
        <v>46104</v>
      </c>
      <c r="C288" s="15" t="s">
        <v>1404</v>
      </c>
      <c r="D288" s="11" t="str">
        <f>IFERROR(INDEX(Contacts!$B:$B,MATCH(C288,Contacts!$F:$F,0))&amp;" "&amp;INDEX(Contacts!$C:$C,MATCH(C288,Contacts!$F:$F,0)),"")</f>
        <v>מתי שני</v>
      </c>
      <c r="E288" s="14" t="str">
        <f>IFERROR(INDEX(Contacts!$E:$E,MATCH(C288,Contacts!$F:$F,0)),"")</f>
        <v>סיל מינרלים</v>
      </c>
      <c r="F288" s="9" t="s">
        <v>9</v>
      </c>
      <c r="G288" t="s">
        <v>3371</v>
      </c>
      <c r="H288" s="15" t="s">
        <v>2105</v>
      </c>
      <c r="I288" s="13"/>
      <c r="J288" s="13"/>
      <c r="K288" s="15" t="s">
        <v>2818</v>
      </c>
      <c r="L288" s="38" t="str">
        <f t="shared" si="4"/>
        <v>2026-03-23matis@ceal.earth</v>
      </c>
    </row>
    <row r="289" spans="1:12" ht="15" customHeight="1">
      <c r="A289" s="17">
        <f>IF(tblOutreachLog[[#This Row],[Interaction Date]]&lt;&gt;0,ROW()-1,"")</f>
        <v>288</v>
      </c>
      <c r="B289" s="13">
        <v>46104</v>
      </c>
      <c r="C289" s="15" t="s">
        <v>1516</v>
      </c>
      <c r="D289" s="11" t="str">
        <f>IFERROR(INDEX(Contacts!$B:$B,MATCH(C289,Contacts!$F:$F,0))&amp;" "&amp;INDEX(Contacts!$C:$C,MATCH(C289,Contacts!$F:$F,0)),"")</f>
        <v>ניר לוי</v>
      </c>
      <c r="E289" s="14" t="str">
        <f>IFERROR(INDEX(Contacts!$E:$E,MATCH(C289,Contacts!$F:$F,0)),"")</f>
        <v>סנטיאנט רובוטיקס</v>
      </c>
      <c r="F289" s="9" t="s">
        <v>9</v>
      </c>
      <c r="G289" t="s">
        <v>3370</v>
      </c>
      <c r="H289" s="15" t="s">
        <v>2105</v>
      </c>
      <c r="I289" s="13"/>
      <c r="J289" s="13"/>
      <c r="K289" s="15" t="s">
        <v>2818</v>
      </c>
      <c r="L289" s="38" t="str">
        <f t="shared" si="4"/>
        <v>2026-03-23nir@sentient-robotics.ai</v>
      </c>
    </row>
    <row r="290" spans="1:12" ht="15" customHeight="1">
      <c r="A290" s="17">
        <f>IF(tblOutreachLog[[#This Row],[Interaction Date]]&lt;&gt;0,ROW()-1,"")</f>
        <v>289</v>
      </c>
      <c r="B290" s="13">
        <v>46104</v>
      </c>
      <c r="C290" s="15" t="s">
        <v>1701</v>
      </c>
      <c r="D290" s="11" t="str">
        <f>IFERROR(INDEX(Contacts!$B:$B,MATCH(C290,Contacts!$F:$F,0))&amp;" "&amp;INDEX(Contacts!$C:$C,MATCH(C290,Contacts!$F:$F,0)),"")</f>
        <v>רונן שדה</v>
      </c>
      <c r="E290" s="14" t="str">
        <f>IFERROR(INDEX(Contacts!$E:$E,MATCH(C290,Contacts!$F:$F,0)),"")</f>
        <v>סנסירה</v>
      </c>
      <c r="F290" s="9" t="s">
        <v>9</v>
      </c>
      <c r="G290" t="s">
        <v>3367</v>
      </c>
      <c r="H290" s="15" t="s">
        <v>2105</v>
      </c>
      <c r="I290" s="13"/>
      <c r="J290" s="13"/>
      <c r="K290" s="15" t="s">
        <v>2818</v>
      </c>
      <c r="L290" s="38" t="str">
        <f t="shared" si="4"/>
        <v>2026-03-23ronen.sadeh@senseerahealth.com</v>
      </c>
    </row>
    <row r="291" spans="1:12" ht="15" customHeight="1">
      <c r="A291" s="17">
        <f>IF(tblOutreachLog[[#This Row],[Interaction Date]]&lt;&gt;0,ROW()-1,"")</f>
        <v>290</v>
      </c>
      <c r="B291" s="13">
        <v>46104</v>
      </c>
      <c r="C291" s="15" t="s">
        <v>3323</v>
      </c>
      <c r="D291" s="11" t="str">
        <f>IFERROR(INDEX(Contacts!$B:$B,MATCH(C291,Contacts!$F:$F,0))&amp;" "&amp;INDEX(Contacts!$C:$C,MATCH(C291,Contacts!$F:$F,0)),"")</f>
        <v xml:space="preserve">פיני </v>
      </c>
      <c r="E291" s="14" t="str">
        <f>IFERROR(INDEX(Contacts!$E:$E,MATCH(C291,Contacts!$F:$F,0)),"")</f>
        <v>נקטין תרפיוטיקס</v>
      </c>
      <c r="F291" s="9" t="s">
        <v>9</v>
      </c>
      <c r="G291" t="s">
        <v>3365</v>
      </c>
      <c r="H291" s="15" t="s">
        <v>2105</v>
      </c>
      <c r="I291" s="13"/>
      <c r="J291" s="13"/>
      <c r="K291" s="15" t="s">
        <v>2818</v>
      </c>
      <c r="L291" s="38" t="str">
        <f t="shared" si="4"/>
        <v>2026-03-23pini@nectintx.com</v>
      </c>
    </row>
    <row r="292" spans="1:12" ht="15" customHeight="1">
      <c r="A292" s="17">
        <f>IF(tblOutreachLog[[#This Row],[Interaction Date]]&lt;&gt;0,ROW()-1,"")</f>
        <v>291</v>
      </c>
      <c r="B292" s="13">
        <v>46104</v>
      </c>
      <c r="C292" s="15" t="s">
        <v>3333</v>
      </c>
      <c r="D292" s="11" t="str">
        <f>IFERROR(INDEX(Contacts!$B:$B,MATCH(C292,Contacts!$F:$F,0))&amp;" "&amp;INDEX(Contacts!$C:$C,MATCH(C292,Contacts!$F:$F,0)),"")</f>
        <v>ירין וילן</v>
      </c>
      <c r="E292" s="14" t="str">
        <f>IFERROR(INDEX(Contacts!$E:$E,MATCH(C292,Contacts!$F:$F,0)),"")</f>
        <v>פורמיק איי איי</v>
      </c>
      <c r="F292" s="9" t="s">
        <v>9</v>
      </c>
      <c r="G292" t="s">
        <v>3366</v>
      </c>
      <c r="H292" s="15" t="s">
        <v>2105</v>
      </c>
      <c r="I292" s="13"/>
      <c r="J292" s="13"/>
      <c r="K292" s="15" t="s">
        <v>2818</v>
      </c>
      <c r="L292" s="38" t="str">
        <f t="shared" si="4"/>
        <v>2026-03-23yaron@formicrobotics.com</v>
      </c>
    </row>
    <row r="293" spans="1:12" ht="15" customHeight="1">
      <c r="A293" s="17">
        <f>IF(tblOutreachLog[[#This Row],[Interaction Date]]&lt;&gt;0,ROW()-1,"")</f>
        <v>292</v>
      </c>
      <c r="B293" s="13">
        <v>46104</v>
      </c>
      <c r="C293" s="15" t="s">
        <v>3337</v>
      </c>
      <c r="D293" s="11" t="str">
        <f>IFERROR(INDEX(Contacts!$B:$B,MATCH(C293,Contacts!$F:$F,0))&amp;" "&amp;INDEX(Contacts!$C:$C,MATCH(C293,Contacts!$F:$F,0)),"")</f>
        <v>אנואר ריאן</v>
      </c>
      <c r="E293" s="14" t="str">
        <f>IFERROR(INDEX(Contacts!$E:$E,MATCH(C293,Contacts!$F:$F,0)),"")</f>
        <v>פיטוגארד סיסטים</v>
      </c>
      <c r="F293" s="9" t="s">
        <v>9</v>
      </c>
      <c r="G293" t="s">
        <v>3367</v>
      </c>
      <c r="H293" s="15" t="s">
        <v>2105</v>
      </c>
      <c r="I293" s="13"/>
      <c r="J293" s="13"/>
      <c r="K293" s="15" t="s">
        <v>2818</v>
      </c>
      <c r="L293" s="38" t="str">
        <f t="shared" si="4"/>
        <v>2026-03-23anwarrayan67@gmail.com</v>
      </c>
    </row>
    <row r="294" spans="1:12" ht="15" customHeight="1">
      <c r="A294" s="17">
        <f>IF(tblOutreachLog[[#This Row],[Interaction Date]]&lt;&gt;0,ROW()-1,"")</f>
        <v>293</v>
      </c>
      <c r="B294" s="13">
        <v>46104</v>
      </c>
      <c r="C294" s="15" t="s">
        <v>3339</v>
      </c>
      <c r="D294" s="11" t="str">
        <f>IFERROR(INDEX(Contacts!$B:$B,MATCH(C294,Contacts!$F:$F,0))&amp;" "&amp;INDEX(Contacts!$C:$C,MATCH(C294,Contacts!$F:$F,0)),"")</f>
        <v/>
      </c>
      <c r="E294" s="14" t="str">
        <f>IFERROR(INDEX(Contacts!$E:$E,MATCH(C294,Contacts!$F:$F,0)),"")</f>
        <v/>
      </c>
      <c r="F294" s="9" t="s">
        <v>9</v>
      </c>
      <c r="G294" t="s">
        <v>3364</v>
      </c>
      <c r="H294" s="15" t="s">
        <v>2105</v>
      </c>
      <c r="I294" s="13"/>
      <c r="J294" s="13"/>
      <c r="K294" s="15" t="s">
        <v>2818</v>
      </c>
      <c r="L294" s="38" t="str">
        <f t="shared" si="4"/>
        <v>2026-03-23erez@pluristem.com</v>
      </c>
    </row>
    <row r="295" spans="1:12" ht="15" customHeight="1">
      <c r="A295" s="17">
        <f>IF(tblOutreachLog[[#This Row],[Interaction Date]]&lt;&gt;0,ROW()-1,"")</f>
        <v>294</v>
      </c>
      <c r="B295" s="13">
        <v>46104</v>
      </c>
      <c r="C295" s="15" t="s">
        <v>3343</v>
      </c>
      <c r="D295" s="11" t="str">
        <f>IFERROR(INDEX(Contacts!$B:$B,MATCH(C295,Contacts!$F:$F,0))&amp;" "&amp;INDEX(Contacts!$C:$C,MATCH(C295,Contacts!$F:$F,0)),"")</f>
        <v>יקי ינאי</v>
      </c>
      <c r="E295" s="14" t="str">
        <f>IFERROR(INDEX(Contacts!$E:$E,MATCH(C295,Contacts!$F:$F,0)),"")</f>
        <v>פלורי ביוטק</v>
      </c>
      <c r="F295" s="9" t="s">
        <v>9</v>
      </c>
      <c r="G295" t="s">
        <v>3364</v>
      </c>
      <c r="H295" s="15" t="s">
        <v>2105</v>
      </c>
      <c r="I295" s="13"/>
      <c r="J295" s="13"/>
      <c r="K295" s="15" t="s">
        <v>2818</v>
      </c>
      <c r="L295" s="38" t="str">
        <f t="shared" si="4"/>
        <v>2026-03-23yaky@pluristem.com</v>
      </c>
    </row>
    <row r="296" spans="1:12" ht="15" customHeight="1">
      <c r="A296" s="17">
        <f>IF(tblOutreachLog[[#This Row],[Interaction Date]]&lt;&gt;0,ROW()-1,"")</f>
        <v>295</v>
      </c>
      <c r="B296" s="13">
        <v>46104</v>
      </c>
      <c r="C296" s="15" t="s">
        <v>3344</v>
      </c>
      <c r="D296" s="11" t="str">
        <f>IFERROR(INDEX(Contacts!$B:$B,MATCH(C296,Contacts!$F:$F,0))&amp;" "&amp;INDEX(Contacts!$C:$C,MATCH(C296,Contacts!$F:$F,0)),"")</f>
        <v>עדי נחום</v>
      </c>
      <c r="E296" s="14" t="str">
        <f>IFERROR(INDEX(Contacts!$E:$E,MATCH(C296,Contacts!$F:$F,0)),"")</f>
        <v>פלורי ביוטק</v>
      </c>
      <c r="F296" s="9" t="s">
        <v>9</v>
      </c>
      <c r="G296" t="s">
        <v>3364</v>
      </c>
      <c r="H296" s="15" t="s">
        <v>2105</v>
      </c>
      <c r="I296" s="13"/>
      <c r="J296" s="13"/>
      <c r="K296" s="15" t="s">
        <v>2818</v>
      </c>
      <c r="L296" s="38" t="str">
        <f t="shared" si="4"/>
        <v>2026-03-23adi.nahum@pluri-biotech.com</v>
      </c>
    </row>
    <row r="297" spans="1:12" ht="15" customHeight="1">
      <c r="A297" s="17">
        <f>IF(tblOutreachLog[[#This Row],[Interaction Date]]&lt;&gt;0,ROW()-1,"")</f>
        <v>296</v>
      </c>
      <c r="B297" s="13">
        <v>46104</v>
      </c>
      <c r="C297" s="15" t="s">
        <v>3346</v>
      </c>
      <c r="D297" s="11" t="str">
        <f>IFERROR(INDEX(Contacts!$B:$B,MATCH(C297,Contacts!$F:$F,0))&amp;" "&amp;INDEX(Contacts!$C:$C,MATCH(C297,Contacts!$F:$F,0)),"")</f>
        <v/>
      </c>
      <c r="E297" s="14" t="str">
        <f>IFERROR(INDEX(Contacts!$E:$E,MATCH(C297,Contacts!$F:$F,0)),"")</f>
        <v/>
      </c>
      <c r="F297" s="9" t="s">
        <v>9</v>
      </c>
      <c r="G297" t="s">
        <v>3364</v>
      </c>
      <c r="H297" s="15" t="s">
        <v>2105</v>
      </c>
      <c r="I297" s="13"/>
      <c r="J297" s="13"/>
      <c r="K297" s="15" t="s">
        <v>2818</v>
      </c>
      <c r="L297" s="38" t="str">
        <f t="shared" si="4"/>
        <v>2026-03-23shai@pluristem.com</v>
      </c>
    </row>
    <row r="298" spans="1:12" ht="15" customHeight="1">
      <c r="A298" s="17">
        <f>IF(tblOutreachLog[[#This Row],[Interaction Date]]&lt;&gt;0,ROW()-1,"")</f>
        <v>297</v>
      </c>
      <c r="B298" s="13">
        <v>46104</v>
      </c>
      <c r="C298" s="15" t="s">
        <v>3350</v>
      </c>
      <c r="D298" s="11" t="str">
        <f>IFERROR(INDEX(Contacts!$B:$B,MATCH(C298,Contacts!$F:$F,0))&amp;" "&amp;INDEX(Contacts!$C:$C,MATCH(C298,Contacts!$F:$F,0)),"")</f>
        <v>זמי אברמן</v>
      </c>
      <c r="E298" s="14" t="str">
        <f>IFERROR(INDEX(Contacts!$E:$E,MATCH(C298,Contacts!$F:$F,0)),"")</f>
        <v>פלורי ביוטק</v>
      </c>
      <c r="F298" s="9" t="s">
        <v>9</v>
      </c>
      <c r="G298" t="s">
        <v>3364</v>
      </c>
      <c r="H298" s="15" t="s">
        <v>2105</v>
      </c>
      <c r="I298" s="13"/>
      <c r="J298" s="13"/>
      <c r="K298" s="15" t="s">
        <v>2818</v>
      </c>
      <c r="L298" s="38" t="str">
        <f t="shared" si="4"/>
        <v>2026-03-23zami@pluristem.com</v>
      </c>
    </row>
    <row r="299" spans="1:12" ht="15" customHeight="1">
      <c r="A299" s="17">
        <f>IF(tblOutreachLog[[#This Row],[Interaction Date]]&lt;&gt;0,ROW()-1,"")</f>
        <v>298</v>
      </c>
      <c r="B299" s="13">
        <v>46104</v>
      </c>
      <c r="C299" s="15" t="s">
        <v>3352</v>
      </c>
      <c r="D299" s="11" t="str">
        <f>IFERROR(INDEX(Contacts!$B:$B,MATCH(C299,Contacts!$F:$F,0))&amp;" "&amp;INDEX(Contacts!$C:$C,MATCH(C299,Contacts!$F:$F,0)),"")</f>
        <v>ערן זגר</v>
      </c>
      <c r="E299" s="14" t="str">
        <f>IFERROR(INDEX(Contacts!$E:$E,MATCH(C299,Contacts!$F:$F,0)),"")</f>
        <v>פרוטאיי ביו</v>
      </c>
      <c r="F299" s="9" t="s">
        <v>9</v>
      </c>
      <c r="G299" t="s">
        <v>3364</v>
      </c>
      <c r="H299" s="15" t="s">
        <v>2105</v>
      </c>
      <c r="I299" s="13"/>
      <c r="J299" s="13"/>
      <c r="K299" s="15" t="s">
        <v>2818</v>
      </c>
      <c r="L299" s="38" t="str">
        <f t="shared" si="4"/>
        <v>2026-03-23eran@protai.bio</v>
      </c>
    </row>
    <row r="300" spans="1:12" ht="15" customHeight="1">
      <c r="A300" s="17">
        <f>IF(tblOutreachLog[[#This Row],[Interaction Date]]&lt;&gt;0,ROW()-1,"")</f>
        <v>299</v>
      </c>
      <c r="B300" s="13">
        <v>46104</v>
      </c>
      <c r="C300" s="15" t="s">
        <v>1182</v>
      </c>
      <c r="D300" s="11" t="str">
        <f>IFERROR(INDEX(Contacts!$B:$B,MATCH(C300,Contacts!$F:$F,0))&amp;" "&amp;INDEX(Contacts!$C:$C,MATCH(C300,Contacts!$F:$F,0)),"")</f>
        <v>שרלי נח</v>
      </c>
      <c r="E300" s="14" t="str">
        <f>IFERROR(INDEX(Contacts!$E:$E,MATCH(C300,Contacts!$F:$F,0)),"")</f>
        <v>רמות אוניברסיטת תל אביב</v>
      </c>
      <c r="F300" s="9" t="s">
        <v>9</v>
      </c>
      <c r="G300" t="s">
        <v>3372</v>
      </c>
      <c r="H300" s="15" t="s">
        <v>2105</v>
      </c>
      <c r="I300" s="13"/>
      <c r="J300" s="13"/>
      <c r="K300" s="15" t="s">
        <v>2818</v>
      </c>
      <c r="L300" s="16" t="str">
        <f t="shared" si="4"/>
        <v>2026-03-23iia@ramot.org</v>
      </c>
    </row>
    <row r="301" spans="1:12" ht="15" customHeight="1">
      <c r="A301" s="17">
        <f>IF(tblOutreachLog[[#This Row],[Interaction Date]]&lt;&gt;0,ROW()-1,"")</f>
        <v>300</v>
      </c>
      <c r="B301" s="13">
        <v>46104</v>
      </c>
      <c r="C301" s="15" t="s">
        <v>865</v>
      </c>
      <c r="D301" s="11" t="str">
        <f>IFERROR(INDEX(Contacts!$B:$B,MATCH(C301,Contacts!$F:$F,0))&amp;" "&amp;INDEX(Contacts!$C:$C,MATCH(C301,Contacts!$F:$F,0)),"")</f>
        <v>אבנר הלפרין</v>
      </c>
      <c r="E301" s="14" t="str">
        <f>IFERROR(INDEX(Contacts!$E:$E,MATCH(C301,Contacts!$F:$F,0)),"")</f>
        <v>שיבא אימפקט בע"מ</v>
      </c>
      <c r="F301" s="9" t="s">
        <v>9</v>
      </c>
      <c r="G301" t="s">
        <v>3369</v>
      </c>
      <c r="H301" s="15" t="s">
        <v>2105</v>
      </c>
      <c r="I301" s="13"/>
      <c r="J301" s="13"/>
      <c r="K301" s="15" t="s">
        <v>2818</v>
      </c>
      <c r="L301" s="16" t="str">
        <f t="shared" si="4"/>
        <v>2026-03-23avner.halperin@sheba.health.gov.il</v>
      </c>
    </row>
    <row r="302" spans="1:12" ht="15" customHeight="1">
      <c r="A302" s="17">
        <f>IF(tblOutreachLog[[#This Row],[Interaction Date]]&lt;&gt;0,ROW()-1,"")</f>
        <v>301</v>
      </c>
      <c r="B302" s="13">
        <v>46104</v>
      </c>
      <c r="C302" s="15" t="s">
        <v>3361</v>
      </c>
      <c r="D302" s="11" t="str">
        <f>IFERROR(INDEX(Contacts!$B:$B,MATCH(C302,Contacts!$F:$F,0))&amp;" "&amp;INDEX(Contacts!$C:$C,MATCH(C302,Contacts!$F:$F,0)),"")</f>
        <v>אורי רט</v>
      </c>
      <c r="E302" s="14" t="str">
        <f>IFERROR(INDEX(Contacts!$E:$E,MATCH(C302,Contacts!$F:$F,0)),"")</f>
        <v>תאגיד הבריאות ליד בי"ח לגליל המערבי</v>
      </c>
      <c r="F302" s="9" t="s">
        <v>9</v>
      </c>
      <c r="G302" t="s">
        <v>3369</v>
      </c>
      <c r="H302" s="15" t="s">
        <v>2105</v>
      </c>
      <c r="I302" s="13"/>
      <c r="J302" s="13"/>
      <c r="K302" s="15" t="s">
        <v>2818</v>
      </c>
      <c r="L302" s="16" t="str">
        <f t="shared" si="4"/>
        <v>2026-03-23orir@gmc.gov.il</v>
      </c>
    </row>
    <row r="303" spans="1:12" ht="15" customHeight="1">
      <c r="A303" s="17">
        <f>IF(tblOutreachLog[[#This Row],[Interaction Date]]&lt;&gt;0,ROW()-1,"")</f>
        <v>302</v>
      </c>
      <c r="B303" s="13">
        <v>46117</v>
      </c>
      <c r="C303" s="46" t="s">
        <v>3385</v>
      </c>
      <c r="D303" s="63" t="str">
        <f>IFERROR(INDEX(Contacts!$B:$B,MATCH(C303,Contacts!$F:$F,0))&amp;" "&amp;INDEX(Contacts!$C:$C,MATCH(C303,Contacts!$F:$F,0)),"")</f>
        <v>רן בליסר</v>
      </c>
      <c r="E303" s="64" t="str">
        <f>IFERROR(INDEX(Contacts!$E:$E,MATCH(C303,Contacts!$F:$F,0)),"")</f>
        <v>מערך החדשנות של קופ"ח כללית</v>
      </c>
      <c r="F303" s="9" t="s">
        <v>9</v>
      </c>
      <c r="G303" s="15" t="s">
        <v>3391</v>
      </c>
      <c r="H303" s="15" t="s">
        <v>2105</v>
      </c>
      <c r="I303" s="13" t="s">
        <v>2807</v>
      </c>
      <c r="J303" s="13">
        <v>46124</v>
      </c>
      <c r="K303" s="15" t="s">
        <v>2817</v>
      </c>
      <c r="L303" s="38" t="str">
        <f t="shared" ref="L303:L304" si="5">TEXT(B303,"YYYY-MM-DD")&amp;C303</f>
        <v>2026-04-05rbalicer@clalit.org.il</v>
      </c>
    </row>
    <row r="304" spans="1:12" ht="15" customHeight="1">
      <c r="A304" s="17">
        <f>IF(tblOutreachLog[[#This Row],[Interaction Date]]&lt;&gt;0,ROW()-1,"")</f>
        <v>303</v>
      </c>
      <c r="B304" s="13">
        <v>46117</v>
      </c>
      <c r="C304" s="15" t="s">
        <v>3390</v>
      </c>
      <c r="D304" s="63" t="str">
        <f>IFERROR(INDEX(Contacts!$B:$B,MATCH(C304,Contacts!$F:$F,0))&amp;" "&amp;INDEX(Contacts!$C:$C,MATCH(C304,Contacts!$F:$F,0)),"")</f>
        <v>רעות אוחנה</v>
      </c>
      <c r="E304" s="64" t="str">
        <f>IFERROR(INDEX(Contacts!$E:$E,MATCH(C304,Contacts!$F:$F,0)),"")</f>
        <v>מערך החדשנות של קופ"ח כללית</v>
      </c>
      <c r="F304" s="9" t="s">
        <v>9</v>
      </c>
      <c r="G304" s="15" t="s">
        <v>3391</v>
      </c>
      <c r="H304" s="15" t="s">
        <v>2105</v>
      </c>
      <c r="I304" s="13" t="s">
        <v>2807</v>
      </c>
      <c r="J304" s="13">
        <v>46124</v>
      </c>
      <c r="K304" s="15" t="s">
        <v>2817</v>
      </c>
      <c r="L304" s="16" t="str">
        <f t="shared" si="5"/>
        <v>2026-04-05reut.ohana@clalit.org.il</v>
      </c>
    </row>
    <row r="305" spans="1:12" ht="15" customHeight="1">
      <c r="A305" s="68">
        <f>IF(tblOutreachLog[[#This Row],[Interaction Date]]&lt;&gt;0,ROW()-1,"")</f>
        <v>304</v>
      </c>
      <c r="B305" s="13">
        <v>46126</v>
      </c>
      <c r="C305" s="15" t="s">
        <v>1416</v>
      </c>
      <c r="D305" s="63" t="str">
        <f>IFERROR(INDEX(Contacts!$B:$B,MATCH(C305,Contacts!$F:$F,0))&amp;" "&amp;INDEX(Contacts!$C:$C,MATCH(C305,Contacts!$F:$F,0)),"")</f>
        <v>מירי ברגר</v>
      </c>
      <c r="E305" s="64" t="str">
        <f>IFERROR(INDEX(Contacts!$E:$E,MATCH(C305,Contacts!$F:$F,0)),"")</f>
        <v>6 מעלות</v>
      </c>
      <c r="F305" s="9" t="s">
        <v>9</v>
      </c>
      <c r="G305" t="s">
        <v>3365</v>
      </c>
      <c r="H305" s="15" t="s">
        <v>2105</v>
      </c>
      <c r="I305" s="13"/>
      <c r="J305" s="13"/>
      <c r="K305" s="15" t="s">
        <v>2817</v>
      </c>
      <c r="L305" s="38" t="str">
        <f t="shared" ref="L305:L336" si="6">TEXT(B305,"YYYY-MM-DD")&amp;C305</f>
        <v>2026-04-14mb@6degrees.tech</v>
      </c>
    </row>
    <row r="306" spans="1:12" ht="15" customHeight="1">
      <c r="A306" s="68">
        <f>IF(tblOutreachLog[[#This Row],[Interaction Date]]&lt;&gt;0,ROW()-1,"")</f>
        <v>305</v>
      </c>
      <c r="B306" s="13">
        <v>46126</v>
      </c>
      <c r="C306" s="15" t="s">
        <v>1440</v>
      </c>
      <c r="D306" s="63" t="str">
        <f>IFERROR(INDEX(Contacts!$B:$B,MATCH(C306,Contacts!$F:$F,0))&amp;" "&amp;INDEX(Contacts!$C:$C,MATCH(C306,Contacts!$F:$F,0)),"")</f>
        <v>מיכאל יפרח</v>
      </c>
      <c r="E306" s="64" t="str">
        <f>IFERROR(INDEX(Contacts!$E:$E,MATCH(C306,Contacts!$F:$F,0)),"")</f>
        <v>AGES Energy Ltd</v>
      </c>
      <c r="F306" s="9" t="s">
        <v>9</v>
      </c>
      <c r="G306" t="s">
        <v>3367</v>
      </c>
      <c r="H306" s="15" t="s">
        <v>2105</v>
      </c>
      <c r="I306" s="13"/>
      <c r="J306" s="13"/>
      <c r="K306" s="15" t="s">
        <v>2817</v>
      </c>
      <c r="L306" s="38" t="str">
        <f t="shared" si="6"/>
        <v>2026-04-14michael@agesenergy.com</v>
      </c>
    </row>
    <row r="307" spans="1:12" ht="15" customHeight="1">
      <c r="A307" s="68">
        <f>IF(tblOutreachLog[[#This Row],[Interaction Date]]&lt;&gt;0,ROW()-1,"")</f>
        <v>306</v>
      </c>
      <c r="B307" s="13">
        <v>46126</v>
      </c>
      <c r="C307" s="15" t="s">
        <v>1882</v>
      </c>
      <c r="D307" s="63" t="str">
        <f>IFERROR(INDEX(Contacts!$B:$B,MATCH(C307,Contacts!$F:$F,0))&amp;" "&amp;INDEX(Contacts!$C:$C,MATCH(C307,Contacts!$F:$F,0)),"")</f>
        <v>ירדן קציר</v>
      </c>
      <c r="E307" s="64" t="str">
        <f>IFERROR(INDEX(Contacts!$E:$E,MATCH(C307,Contacts!$F:$F,0)),"")</f>
        <v>BIAGNOSIS LTD</v>
      </c>
      <c r="F307" s="9" t="s">
        <v>9</v>
      </c>
      <c r="G307" t="s">
        <v>3393</v>
      </c>
      <c r="H307" s="15" t="s">
        <v>2105</v>
      </c>
      <c r="I307" s="13"/>
      <c r="J307" s="13"/>
      <c r="K307" s="15" t="s">
        <v>2817</v>
      </c>
      <c r="L307" s="38" t="str">
        <f t="shared" si="6"/>
        <v>2026-04-14yarden.biagnosis@gmail.com</v>
      </c>
    </row>
    <row r="308" spans="1:12" ht="15" customHeight="1">
      <c r="A308" s="68">
        <f>IF(tblOutreachLog[[#This Row],[Interaction Date]]&lt;&gt;0,ROW()-1,"")</f>
        <v>307</v>
      </c>
      <c r="B308" s="13">
        <v>46126</v>
      </c>
      <c r="C308" s="15" t="s">
        <v>1460</v>
      </c>
      <c r="D308" s="63" t="str">
        <f>IFERROR(INDEX(Contacts!$B:$B,MATCH(C308,Contacts!$F:$F,0))&amp;" "&amp;INDEX(Contacts!$C:$C,MATCH(C308,Contacts!$F:$F,0)),"")</f>
        <v>מורן טל</v>
      </c>
      <c r="E308" s="64" t="str">
        <f>IFERROR(INDEX(Contacts!$E:$E,MATCH(C308,Contacts!$F:$F,0)),"")</f>
        <v>Binata Ltd</v>
      </c>
      <c r="F308" s="9" t="s">
        <v>9</v>
      </c>
      <c r="G308" t="s">
        <v>3394</v>
      </c>
      <c r="H308" s="15" t="s">
        <v>2105</v>
      </c>
      <c r="I308" s="13"/>
      <c r="J308" s="13"/>
      <c r="K308" s="15" t="s">
        <v>2817</v>
      </c>
      <c r="L308" s="38" t="str">
        <f t="shared" si="6"/>
        <v>2026-04-14moran@binata.com</v>
      </c>
    </row>
    <row r="309" spans="1:12" ht="15" customHeight="1">
      <c r="A309" s="68">
        <f>IF(tblOutreachLog[[#This Row],[Interaction Date]]&lt;&gt;0,ROW()-1,"")</f>
        <v>308</v>
      </c>
      <c r="B309" s="13">
        <v>46126</v>
      </c>
      <c r="C309" s="15" t="s">
        <v>831</v>
      </c>
      <c r="D309" s="63" t="str">
        <f>IFERROR(INDEX(Contacts!$B:$B,MATCH(C309,Contacts!$F:$F,0))&amp;" "&amp;INDEX(Contacts!$C:$C,MATCH(C309,Contacts!$F:$F,0)),"")</f>
        <v>אסף שלו</v>
      </c>
      <c r="E309" s="64" t="str">
        <f>IFERROR(INDEX(Contacts!$E:$E,MATCH(C309,Contacts!$F:$F,0)),"")</f>
        <v>BIO BARRIER NOSOCOMIAL INFECTIONS PREVENTION LTD</v>
      </c>
      <c r="F309" s="9" t="s">
        <v>9</v>
      </c>
      <c r="G309" t="s">
        <v>3395</v>
      </c>
      <c r="H309" s="15" t="s">
        <v>2105</v>
      </c>
      <c r="I309" s="13"/>
      <c r="J309" s="13"/>
      <c r="K309" s="15" t="s">
        <v>2817</v>
      </c>
      <c r="L309" s="38" t="str">
        <f t="shared" si="6"/>
        <v>2026-04-14asafshalev@bio-barrier.com</v>
      </c>
    </row>
    <row r="310" spans="1:12" ht="15" customHeight="1">
      <c r="A310" s="68">
        <f>IF(tblOutreachLog[[#This Row],[Interaction Date]]&lt;&gt;0,ROW()-1,"")</f>
        <v>309</v>
      </c>
      <c r="B310" s="13">
        <v>46126</v>
      </c>
      <c r="C310" s="15" t="s">
        <v>1094</v>
      </c>
      <c r="D310" s="63" t="str">
        <f>IFERROR(INDEX(Contacts!$B:$B,MATCH(C310,Contacts!$F:$F,0))&amp;" "&amp;INDEX(Contacts!$C:$C,MATCH(C310,Contacts!$F:$F,0)),"")</f>
        <v>גל אדמתי</v>
      </c>
      <c r="E310" s="64" t="str">
        <f>IFERROR(INDEX(Contacts!$E:$E,MATCH(C310,Contacts!$F:$F,0)),"")</f>
        <v>Fungit Biosolutions</v>
      </c>
      <c r="F310" s="9" t="s">
        <v>9</v>
      </c>
      <c r="G310" t="s">
        <v>3396</v>
      </c>
      <c r="H310" s="15" t="s">
        <v>2105</v>
      </c>
      <c r="I310" s="13"/>
      <c r="J310" s="13"/>
      <c r="K310" s="15" t="s">
        <v>2817</v>
      </c>
      <c r="L310" s="38" t="str">
        <f t="shared" si="6"/>
        <v>2026-04-14gal@harvestrag.com</v>
      </c>
    </row>
    <row r="311" spans="1:12" ht="15" customHeight="1">
      <c r="A311" s="68">
        <f>IF(tblOutreachLog[[#This Row],[Interaction Date]]&lt;&gt;0,ROW()-1,"")</f>
        <v>310</v>
      </c>
      <c r="B311" s="13">
        <v>46126</v>
      </c>
      <c r="C311" s="15" t="s">
        <v>1337</v>
      </c>
      <c r="D311" s="63" t="str">
        <f>IFERROR(INDEX(Contacts!$B:$B,MATCH(C311,Contacts!$F:$F,0))&amp;" "&amp;INDEX(Contacts!$C:$C,MATCH(C311,Contacts!$F:$F,0)),"")</f>
        <v>יעקב שמואלי</v>
      </c>
      <c r="E311" s="64" t="str">
        <f>IFERROR(INDEX(Contacts!$E:$E,MATCH(C311,Contacts!$F:$F,0)),"")</f>
        <v>INORI Finance LDT</v>
      </c>
      <c r="F311" s="9" t="s">
        <v>9</v>
      </c>
      <c r="G311" t="s">
        <v>3365</v>
      </c>
      <c r="H311" s="15" t="s">
        <v>2105</v>
      </c>
      <c r="I311" s="13"/>
      <c r="J311" s="13"/>
      <c r="K311" s="15" t="s">
        <v>2817</v>
      </c>
      <c r="L311" s="38" t="str">
        <f t="shared" si="6"/>
        <v>2026-04-14kobis@inori.co.il</v>
      </c>
    </row>
    <row r="312" spans="1:12" ht="15" customHeight="1">
      <c r="A312" s="68">
        <f>IF(tblOutreachLog[[#This Row],[Interaction Date]]&lt;&gt;0,ROW()-1,"")</f>
        <v>311</v>
      </c>
      <c r="B312" s="13">
        <v>46126</v>
      </c>
      <c r="C312" s="15" t="s">
        <v>1041</v>
      </c>
      <c r="D312" s="63" t="str">
        <f>IFERROR(INDEX(Contacts!$B:$B,MATCH(C312,Contacts!$F:$F,0))&amp;" "&amp;INDEX(Contacts!$C:$C,MATCH(C312,Contacts!$F:$F,0)),"")</f>
        <v>ערן עפר</v>
      </c>
      <c r="E312" s="64" t="str">
        <f>IFERROR(INDEX(Contacts!$E:$E,MATCH(C312,Contacts!$F:$F,0)),"")</f>
        <v>Konnect - Volkswagen Innovation Hub</v>
      </c>
      <c r="F312" s="9" t="s">
        <v>9</v>
      </c>
      <c r="G312" t="s">
        <v>3369</v>
      </c>
      <c r="H312" s="15" t="s">
        <v>2105</v>
      </c>
      <c r="I312" s="13"/>
      <c r="J312" s="13"/>
      <c r="K312" s="15" t="s">
        <v>2817</v>
      </c>
      <c r="L312" s="38" t="str">
        <f t="shared" si="6"/>
        <v>2026-04-14eranofer1988@gmail.com</v>
      </c>
    </row>
    <row r="313" spans="1:12" ht="15" customHeight="1">
      <c r="A313" s="68">
        <f>IF(tblOutreachLog[[#This Row],[Interaction Date]]&lt;&gt;0,ROW()-1,"")</f>
        <v>312</v>
      </c>
      <c r="B313" s="13">
        <v>46126</v>
      </c>
      <c r="C313" s="15" t="s">
        <v>1596</v>
      </c>
      <c r="D313" s="63" t="str">
        <f>IFERROR(INDEX(Contacts!$B:$B,MATCH(C313,Contacts!$F:$F,0))&amp;" "&amp;INDEX(Contacts!$C:$C,MATCH(C313,Contacts!$F:$F,0)),"")</f>
        <v>אוהד שינדלר</v>
      </c>
      <c r="E313" s="64" t="str">
        <f>IFERROR(INDEX(Contacts!$E:$E,MATCH(C313,Contacts!$F:$F,0)),"")</f>
        <v>LCAi Ltd</v>
      </c>
      <c r="F313" s="9" t="s">
        <v>9</v>
      </c>
      <c r="G313" t="s">
        <v>3397</v>
      </c>
      <c r="H313" s="15" t="s">
        <v>2105</v>
      </c>
      <c r="I313" s="13"/>
      <c r="J313" s="13"/>
      <c r="K313" s="15" t="s">
        <v>2817</v>
      </c>
      <c r="L313" s="38" t="str">
        <f t="shared" si="6"/>
        <v>2026-04-14ohadschindler@gmail.com</v>
      </c>
    </row>
    <row r="314" spans="1:12" ht="15" customHeight="1">
      <c r="A314" s="68">
        <f>IF(tblOutreachLog[[#This Row],[Interaction Date]]&lt;&gt;0,ROW()-1,"")</f>
        <v>313</v>
      </c>
      <c r="B314" s="13">
        <v>46126</v>
      </c>
      <c r="C314" s="15" t="s">
        <v>1762</v>
      </c>
      <c r="D314" s="63" t="str">
        <f>IFERROR(INDEX(Contacts!$B:$B,MATCH(C314,Contacts!$F:$F,0))&amp;" "&amp;INDEX(Contacts!$C:$C,MATCH(C314,Contacts!$F:$F,0)),"")</f>
        <v>שאול בובליל</v>
      </c>
      <c r="E314" s="64" t="str">
        <f>IFERROR(INDEX(Contacts!$E:$E,MATCH(C314,Contacts!$F:$F,0)),"")</f>
        <v>Li-Generate</v>
      </c>
      <c r="F314" s="9" t="s">
        <v>9</v>
      </c>
      <c r="G314" t="s">
        <v>3365</v>
      </c>
      <c r="H314" s="15" t="s">
        <v>2105</v>
      </c>
      <c r="I314" s="13"/>
      <c r="J314" s="13"/>
      <c r="K314" s="15" t="s">
        <v>2817</v>
      </c>
      <c r="L314" s="38" t="str">
        <f t="shared" si="6"/>
        <v>2026-04-14shaul@ligenerate.com</v>
      </c>
    </row>
    <row r="315" spans="1:12" ht="15" customHeight="1">
      <c r="A315" s="68">
        <f>IF(tblOutreachLog[[#This Row],[Interaction Date]]&lt;&gt;0,ROW()-1,"")</f>
        <v>314</v>
      </c>
      <c r="B315" s="13">
        <v>46126</v>
      </c>
      <c r="C315" s="15" t="s">
        <v>1303</v>
      </c>
      <c r="D315" s="63" t="str">
        <f>IFERROR(INDEX(Contacts!$B:$B,MATCH(C315,Contacts!$F:$F,0))&amp;" "&amp;INDEX(Contacts!$C:$C,MATCH(C315,Contacts!$F:$F,0)),"")</f>
        <v>בנימין ז׳אווי</v>
      </c>
      <c r="E315" s="64" t="str">
        <f>IFERROR(INDEX(Contacts!$E:$E,MATCH(C315,Contacts!$F:$F,0)),"")</f>
        <v>liveperson</v>
      </c>
      <c r="F315" s="9" t="s">
        <v>9</v>
      </c>
      <c r="G315" t="s">
        <v>3397</v>
      </c>
      <c r="H315" s="15" t="s">
        <v>2105</v>
      </c>
      <c r="I315" s="13"/>
      <c r="J315" s="13"/>
      <c r="K315" s="15" t="s">
        <v>2817</v>
      </c>
      <c r="L315" s="38" t="str">
        <f t="shared" si="6"/>
        <v>2026-04-14jaouibenjamin@gmail.com</v>
      </c>
    </row>
    <row r="316" spans="1:12" ht="15" customHeight="1">
      <c r="A316" s="68">
        <f>IF(tblOutreachLog[[#This Row],[Interaction Date]]&lt;&gt;0,ROW()-1,"")</f>
        <v>315</v>
      </c>
      <c r="B316" s="13">
        <v>46126</v>
      </c>
      <c r="C316" s="15" t="s">
        <v>756</v>
      </c>
      <c r="D316" s="63" t="str">
        <f>IFERROR(INDEX(Contacts!$B:$B,MATCH(C316,Contacts!$F:$F,0))&amp;" "&amp;INDEX(Contacts!$C:$C,MATCH(C316,Contacts!$F:$F,0)),"")</f>
        <v>עמיחי חיים גרוס</v>
      </c>
      <c r="E316" s="64" t="str">
        <f>IFERROR(INDEX(Contacts!$E:$E,MATCH(C316,Contacts!$F:$F,0)),"")</f>
        <v>Marine Edge</v>
      </c>
      <c r="F316" s="9" t="s">
        <v>9</v>
      </c>
      <c r="G316" t="s">
        <v>3394</v>
      </c>
      <c r="H316" s="15" t="s">
        <v>2105</v>
      </c>
      <c r="I316" s="13"/>
      <c r="J316" s="13"/>
      <c r="K316" s="15" t="s">
        <v>2817</v>
      </c>
      <c r="L316" s="38" t="str">
        <f t="shared" si="6"/>
        <v>2026-04-14ahg@marine-edge.com</v>
      </c>
    </row>
    <row r="317" spans="1:12" ht="15" customHeight="1">
      <c r="A317" s="68">
        <f>IF(tblOutreachLog[[#This Row],[Interaction Date]]&lt;&gt;0,ROW()-1,"")</f>
        <v>316</v>
      </c>
      <c r="B317" s="13">
        <v>46126</v>
      </c>
      <c r="C317" s="15" t="s">
        <v>3209</v>
      </c>
      <c r="D317" s="63" t="str">
        <f>IFERROR(INDEX(Contacts!$B:$B,MATCH(C317,Contacts!$F:$F,0))&amp;" "&amp;INDEX(Contacts!$C:$C,MATCH(C317,Contacts!$F:$F,0)),"")</f>
        <v>יוסי שחק</v>
      </c>
      <c r="E317" s="64" t="str">
        <f>IFERROR(INDEX(Contacts!$E:$E,MATCH(C317,Contacts!$F:$F,0)),"")</f>
        <v>Maverick AI</v>
      </c>
      <c r="F317" s="9" t="s">
        <v>9</v>
      </c>
      <c r="G317" t="s">
        <v>3398</v>
      </c>
      <c r="H317" s="15" t="s">
        <v>2105</v>
      </c>
      <c r="I317" s="13"/>
      <c r="J317" s="13"/>
      <c r="K317" s="15" t="s">
        <v>2817</v>
      </c>
      <c r="L317" s="38" t="str">
        <f t="shared" si="6"/>
        <v>2026-04-14yossi@maverick-ai.com</v>
      </c>
    </row>
    <row r="318" spans="1:12" ht="15" customHeight="1">
      <c r="A318" s="68">
        <f>IF(tblOutreachLog[[#This Row],[Interaction Date]]&lt;&gt;0,ROW()-1,"")</f>
        <v>317</v>
      </c>
      <c r="B318" s="13">
        <v>46126</v>
      </c>
      <c r="C318" s="15" t="s">
        <v>1064</v>
      </c>
      <c r="D318" s="63" t="str">
        <f>IFERROR(INDEX(Contacts!$B:$B,MATCH(C318,Contacts!$F:$F,0))&amp;" "&amp;INDEX(Contacts!$C:$C,MATCH(C318,Contacts!$F:$F,0)),"")</f>
        <v>אייל בן איסטי</v>
      </c>
      <c r="E318" s="64" t="str">
        <f>IFERROR(INDEX(Contacts!$E:$E,MATCH(C318,Contacts!$F:$F,0)),"")</f>
        <v>MicroSteer</v>
      </c>
      <c r="F318" s="9" t="s">
        <v>9</v>
      </c>
      <c r="G318" t="s">
        <v>3365</v>
      </c>
      <c r="H318" s="15" t="s">
        <v>2105</v>
      </c>
      <c r="I318" s="13"/>
      <c r="J318" s="13"/>
      <c r="K318" s="15" t="s">
        <v>2817</v>
      </c>
      <c r="L318" s="38" t="str">
        <f t="shared" si="6"/>
        <v>2026-04-14eyalbe@microsteer.com</v>
      </c>
    </row>
    <row r="319" spans="1:12" ht="15" customHeight="1">
      <c r="A319" s="68">
        <f>IF(tblOutreachLog[[#This Row],[Interaction Date]]&lt;&gt;0,ROW()-1,"")</f>
        <v>318</v>
      </c>
      <c r="B319" s="13">
        <v>46126</v>
      </c>
      <c r="C319" s="15" t="s">
        <v>1627</v>
      </c>
      <c r="D319" s="63" t="str">
        <f>IFERROR(INDEX(Contacts!$B:$B,MATCH(C319,Contacts!$F:$F,0))&amp;" "&amp;INDEX(Contacts!$C:$C,MATCH(C319,Contacts!$F:$F,0)),"")</f>
        <v>אורן סרפאטי</v>
      </c>
      <c r="E319" s="64" t="str">
        <f>IFERROR(INDEX(Contacts!$E:$E,MATCH(C319,Contacts!$F:$F,0)),"")</f>
        <v>Neuronic systems</v>
      </c>
      <c r="F319" s="9" t="s">
        <v>9</v>
      </c>
      <c r="G319" t="s">
        <v>3398</v>
      </c>
      <c r="H319" s="15" t="s">
        <v>2105</v>
      </c>
      <c r="I319" s="13"/>
      <c r="J319" s="13"/>
      <c r="K319" s="15" t="s">
        <v>2817</v>
      </c>
      <c r="L319" s="38" t="str">
        <f t="shared" si="6"/>
        <v>2026-04-14oranserfati@gmail.com</v>
      </c>
    </row>
    <row r="320" spans="1:12" ht="15" customHeight="1">
      <c r="A320" s="68">
        <f>IF(tblOutreachLog[[#This Row],[Interaction Date]]&lt;&gt;0,ROW()-1,"")</f>
        <v>319</v>
      </c>
      <c r="B320" s="13">
        <v>46126</v>
      </c>
      <c r="C320" s="15" t="s">
        <v>1097</v>
      </c>
      <c r="D320" s="63" t="str">
        <f>IFERROR(INDEX(Contacts!$B:$B,MATCH(C320,Contacts!$F:$F,0))&amp;" "&amp;INDEX(Contacts!$C:$C,MATCH(C320,Contacts!$F:$F,0)),"")</f>
        <v>גל קנר</v>
      </c>
      <c r="E320" s="64" t="str">
        <f>IFERROR(INDEX(Contacts!$E:$E,MATCH(C320,Contacts!$F:$F,0)),"")</f>
        <v>Neuronic systems</v>
      </c>
      <c r="F320" s="9" t="s">
        <v>9</v>
      </c>
      <c r="G320" t="s">
        <v>3398</v>
      </c>
      <c r="H320" s="15" t="s">
        <v>2105</v>
      </c>
      <c r="I320" s="13"/>
      <c r="J320" s="13"/>
      <c r="K320" s="15" t="s">
        <v>2817</v>
      </c>
      <c r="L320" s="38" t="str">
        <f t="shared" si="6"/>
        <v>2026-04-14gal@neuronicode.com</v>
      </c>
    </row>
    <row r="321" spans="1:12" ht="15" customHeight="1">
      <c r="A321" s="68">
        <f>IF(tblOutreachLog[[#This Row],[Interaction Date]]&lt;&gt;0,ROW()-1,"")</f>
        <v>320</v>
      </c>
      <c r="B321" s="13">
        <v>46126</v>
      </c>
      <c r="C321" s="15" t="s">
        <v>1373</v>
      </c>
      <c r="D321" s="63" t="str">
        <f>IFERROR(INDEX(Contacts!$B:$B,MATCH(C321,Contacts!$F:$F,0))&amp;" "&amp;INDEX(Contacts!$C:$C,MATCH(C321,Contacts!$F:$F,0)),"")</f>
        <v>מעיין ביטן</v>
      </c>
      <c r="E321" s="64" t="str">
        <f>IFERROR(INDEX(Contacts!$E:$E,MATCH(C321,Contacts!$F:$F,0)),"")</f>
        <v>Neuronic systems</v>
      </c>
      <c r="F321" s="9" t="s">
        <v>9</v>
      </c>
      <c r="G321" t="s">
        <v>3398</v>
      </c>
      <c r="H321" s="15" t="s">
        <v>2105</v>
      </c>
      <c r="I321" s="13"/>
      <c r="J321" s="13"/>
      <c r="K321" s="15" t="s">
        <v>2817</v>
      </c>
      <c r="L321" s="38" t="str">
        <f t="shared" si="6"/>
        <v>2026-04-14maayan@neuronicode.com</v>
      </c>
    </row>
    <row r="322" spans="1:12" ht="15" customHeight="1">
      <c r="A322" s="68">
        <f>IF(tblOutreachLog[[#This Row],[Interaction Date]]&lt;&gt;0,ROW()-1,"")</f>
        <v>321</v>
      </c>
      <c r="B322" s="13">
        <v>46126</v>
      </c>
      <c r="C322" s="15" t="s">
        <v>1776</v>
      </c>
      <c r="D322" s="63" t="str">
        <f>IFERROR(INDEX(Contacts!$B:$B,MATCH(C322,Contacts!$F:$F,0))&amp;" "&amp;INDEX(Contacts!$C:$C,MATCH(C322,Contacts!$F:$F,0)),"")</f>
        <v>חיים שלזינגר</v>
      </c>
      <c r="E322" s="64" t="str">
        <f>IFERROR(INDEX(Contacts!$E:$E,MATCH(C322,Contacts!$F:$F,0)),"")</f>
        <v>O.Y.M INNOVATION  LTD</v>
      </c>
      <c r="F322" s="9" t="s">
        <v>9</v>
      </c>
      <c r="G322" t="s">
        <v>3367</v>
      </c>
      <c r="H322" s="15" t="s">
        <v>2105</v>
      </c>
      <c r="I322" s="13"/>
      <c r="J322" s="13"/>
      <c r="K322" s="15" t="s">
        <v>2817</v>
      </c>
      <c r="L322" s="38" t="str">
        <f t="shared" si="6"/>
        <v>2026-04-14shlez4c@gmail.com</v>
      </c>
    </row>
    <row r="323" spans="1:12" ht="15" customHeight="1">
      <c r="A323" s="68">
        <f>IF(tblOutreachLog[[#This Row],[Interaction Date]]&lt;&gt;0,ROW()-1,"")</f>
        <v>322</v>
      </c>
      <c r="B323" s="13">
        <v>46126</v>
      </c>
      <c r="C323" s="15" t="s">
        <v>1672</v>
      </c>
      <c r="D323" s="63" t="str">
        <f>IFERROR(INDEX(Contacts!$B:$B,MATCH(C323,Contacts!$F:$F,0))&amp;" "&amp;INDEX(Contacts!$C:$C,MATCH(C323,Contacts!$F:$F,0)),"")</f>
        <v>רפי הארל</v>
      </c>
      <c r="E323" s="64" t="str">
        <f>IFERROR(INDEX(Contacts!$E:$E,MATCH(C323,Contacts!$F:$F,0)),"")</f>
        <v>Opsys Tech Ltd</v>
      </c>
      <c r="F323" s="9" t="s">
        <v>9</v>
      </c>
      <c r="G323" t="s">
        <v>3399</v>
      </c>
      <c r="H323" s="15" t="s">
        <v>2105</v>
      </c>
      <c r="I323" s="13" t="s">
        <v>2807</v>
      </c>
      <c r="J323" s="13">
        <v>46203</v>
      </c>
      <c r="K323" s="15" t="s">
        <v>2819</v>
      </c>
      <c r="L323" s="38" t="str">
        <f t="shared" si="6"/>
        <v>2026-04-14rafi.harel@opsys-tech.com</v>
      </c>
    </row>
    <row r="324" spans="1:12" ht="15" customHeight="1">
      <c r="A324" s="68">
        <f>IF(tblOutreachLog[[#This Row],[Interaction Date]]&lt;&gt;0,ROW()-1,"")</f>
        <v>323</v>
      </c>
      <c r="B324" s="13">
        <v>46126</v>
      </c>
      <c r="C324" s="15" t="s">
        <v>1488</v>
      </c>
      <c r="D324" s="63" t="str">
        <f>IFERROR(INDEX(Contacts!$B:$B,MATCH(C324,Contacts!$F:$F,0))&amp;" "&amp;INDEX(Contacts!$C:$C,MATCH(C324,Contacts!$F:$F,0)),"")</f>
        <v>נאוה בריט בן דוד</v>
      </c>
      <c r="E324" s="64" t="str">
        <f>IFERROR(INDEX(Contacts!$E:$E,MATCH(C324,Contacts!$F:$F,0)),"")</f>
        <v>Renalyte Medical</v>
      </c>
      <c r="F324" s="9" t="s">
        <v>9</v>
      </c>
      <c r="G324" t="s">
        <v>3365</v>
      </c>
      <c r="H324" s="15" t="s">
        <v>2105</v>
      </c>
      <c r="I324" s="13"/>
      <c r="J324" s="13"/>
      <c r="K324" s="15" t="s">
        <v>2817</v>
      </c>
      <c r="L324" s="38" t="str">
        <f t="shared" si="6"/>
        <v>2026-04-14nava@renalyte.com</v>
      </c>
    </row>
    <row r="325" spans="1:12" ht="15" customHeight="1">
      <c r="A325" s="68">
        <f>IF(tblOutreachLog[[#This Row],[Interaction Date]]&lt;&gt;0,ROW()-1,"")</f>
        <v>324</v>
      </c>
      <c r="B325" s="13">
        <v>46126</v>
      </c>
      <c r="C325" s="15" t="s">
        <v>1846</v>
      </c>
      <c r="D325" s="63" t="str">
        <f>IFERROR(INDEX(Contacts!$B:$B,MATCH(C325,Contacts!$F:$F,0))&amp;" "&amp;INDEX(Contacts!$C:$C,MATCH(C325,Contacts!$F:$F,0)),"")</f>
        <v>צביקה פרידמאן</v>
      </c>
      <c r="E325" s="64" t="str">
        <f>IFERROR(INDEX(Contacts!$E:$E,MATCH(C325,Contacts!$F:$F,0)),"")</f>
        <v>silentium</v>
      </c>
      <c r="F325" s="9" t="s">
        <v>9</v>
      </c>
      <c r="G325" t="s">
        <v>3367</v>
      </c>
      <c r="H325" s="15" t="s">
        <v>2105</v>
      </c>
      <c r="I325" s="13"/>
      <c r="J325" s="13"/>
      <c r="K325" s="15" t="s">
        <v>2817</v>
      </c>
      <c r="L325" s="38" t="str">
        <f t="shared" si="6"/>
        <v>2026-04-14tzvika@silentium.com</v>
      </c>
    </row>
    <row r="326" spans="1:12" ht="15" customHeight="1">
      <c r="A326" s="68">
        <f>IF(tblOutreachLog[[#This Row],[Interaction Date]]&lt;&gt;0,ROW()-1,"")</f>
        <v>325</v>
      </c>
      <c r="B326" s="13">
        <v>46126</v>
      </c>
      <c r="C326" s="15" t="s">
        <v>2842</v>
      </c>
      <c r="D326" s="63" t="str">
        <f>IFERROR(INDEX(Contacts!$B:$B,MATCH(C326,Contacts!$F:$F,0))&amp;" "&amp;INDEX(Contacts!$C:$C,MATCH(C326,Contacts!$F:$F,0)),"")</f>
        <v>צביקה פרידמן</v>
      </c>
      <c r="E326" s="64" t="str">
        <f>IFERROR(INDEX(Contacts!$E:$E,MATCH(C326,Contacts!$F:$F,0)),"")</f>
        <v>silentium</v>
      </c>
      <c r="F326" s="9" t="s">
        <v>9</v>
      </c>
      <c r="G326" t="s">
        <v>3367</v>
      </c>
      <c r="H326" s="15" t="s">
        <v>2105</v>
      </c>
      <c r="I326" s="13"/>
      <c r="J326" s="13"/>
      <c r="K326" s="15" t="s">
        <v>2817</v>
      </c>
      <c r="L326" s="38" t="str">
        <f t="shared" si="6"/>
        <v>2026-04-14tzvikfr@gmail.com</v>
      </c>
    </row>
    <row r="327" spans="1:12" ht="15" customHeight="1">
      <c r="A327" s="68">
        <f>IF(tblOutreachLog[[#This Row],[Interaction Date]]&lt;&gt;0,ROW()-1,"")</f>
        <v>326</v>
      </c>
      <c r="B327" s="13">
        <v>46126</v>
      </c>
      <c r="C327" s="15" t="s">
        <v>1517</v>
      </c>
      <c r="D327" s="63" t="str">
        <f>IFERROR(INDEX(Contacts!$B:$B,MATCH(C327,Contacts!$F:$F,0))&amp;" "&amp;INDEX(Contacts!$C:$C,MATCH(C327,Contacts!$F:$F,0)),"")</f>
        <v>ניר שן-טל</v>
      </c>
      <c r="E327" s="64" t="str">
        <f>IFERROR(INDEX(Contacts!$E:$E,MATCH(C327,Contacts!$F:$F,0)),"")</f>
        <v>Top i vision LTD</v>
      </c>
      <c r="F327" s="9" t="s">
        <v>9</v>
      </c>
      <c r="G327" t="s">
        <v>3400</v>
      </c>
      <c r="H327" s="15" t="s">
        <v>2105</v>
      </c>
      <c r="I327" s="13" t="s">
        <v>3417</v>
      </c>
      <c r="J327" s="13">
        <v>46126</v>
      </c>
      <c r="K327" s="15" t="s">
        <v>2818</v>
      </c>
      <c r="L327" s="38" t="str">
        <f t="shared" si="6"/>
        <v>2026-04-14nir@topivision.com</v>
      </c>
    </row>
    <row r="328" spans="1:12" ht="15" customHeight="1">
      <c r="A328" s="68">
        <f>IF(tblOutreachLog[[#This Row],[Interaction Date]]&lt;&gt;0,ROW()-1,"")</f>
        <v>327</v>
      </c>
      <c r="B328" s="13">
        <v>46126</v>
      </c>
      <c r="C328" s="15" t="s">
        <v>1050</v>
      </c>
      <c r="D328" s="63" t="str">
        <f>IFERROR(INDEX(Contacts!$B:$B,MATCH(C328,Contacts!$F:$F,0))&amp;" "&amp;INDEX(Contacts!$C:$C,MATCH(C328,Contacts!$F:$F,0)),"")</f>
        <v>אריק מסיקה</v>
      </c>
      <c r="E328" s="64" t="str">
        <f>IFERROR(INDEX(Contacts!$E:$E,MATCH(C328,Contacts!$F:$F,0)),"")</f>
        <v>אבי-קיור בע"מ</v>
      </c>
      <c r="F328" s="9" t="s">
        <v>9</v>
      </c>
      <c r="G328" t="s">
        <v>3401</v>
      </c>
      <c r="H328" s="15" t="s">
        <v>2105</v>
      </c>
      <c r="I328" s="13"/>
      <c r="J328" s="13"/>
      <c r="K328" s="15" t="s">
        <v>2817</v>
      </c>
      <c r="L328" s="38" t="str">
        <f t="shared" si="6"/>
        <v>2026-04-14eric@evicure.bio</v>
      </c>
    </row>
    <row r="329" spans="1:12" ht="15" customHeight="1">
      <c r="A329" s="68">
        <f>IF(tblOutreachLog[[#This Row],[Interaction Date]]&lt;&gt;0,ROW()-1,"")</f>
        <v>328</v>
      </c>
      <c r="B329" s="13">
        <v>46126</v>
      </c>
      <c r="C329" s="15" t="s">
        <v>894</v>
      </c>
      <c r="D329" s="63" t="str">
        <f>IFERROR(INDEX(Contacts!$B:$B,MATCH(C329,Contacts!$F:$F,0))&amp;" "&amp;INDEX(Contacts!$C:$C,MATCH(C329,Contacts!$F:$F,0)),"")</f>
        <v>בעז אלמוג</v>
      </c>
      <c r="E329" s="64" t="str">
        <f>IFERROR(INDEX(Contacts!$E:$E,MATCH(C329,Contacts!$F:$F,0)),"")</f>
        <v>אג'ייל מ.ר.י בע"מ</v>
      </c>
      <c r="F329" s="9" t="s">
        <v>9</v>
      </c>
      <c r="G329" t="s">
        <v>3394</v>
      </c>
      <c r="H329" s="15" t="s">
        <v>2105</v>
      </c>
      <c r="I329" s="13"/>
      <c r="J329" s="13"/>
      <c r="K329" s="15" t="s">
        <v>2817</v>
      </c>
      <c r="L329" s="38" t="str">
        <f t="shared" si="6"/>
        <v>2026-04-14boazal@agilemri.com</v>
      </c>
    </row>
    <row r="330" spans="1:12" ht="15" customHeight="1">
      <c r="A330" s="68">
        <f>IF(tblOutreachLog[[#This Row],[Interaction Date]]&lt;&gt;0,ROW()-1,"")</f>
        <v>329</v>
      </c>
      <c r="B330" s="13">
        <v>46126</v>
      </c>
      <c r="C330" s="15" t="s">
        <v>1838</v>
      </c>
      <c r="D330" s="63" t="str">
        <f>IFERROR(INDEX(Contacts!$B:$B,MATCH(C330,Contacts!$F:$F,0))&amp;" "&amp;INDEX(Contacts!$C:$C,MATCH(C330,Contacts!$F:$F,0)),"")</f>
        <v>צח גורן</v>
      </c>
      <c r="E330" s="64" t="str">
        <f>IFERROR(INDEX(Contacts!$E:$E,MATCH(C330,Contacts!$F:$F,0)),"")</f>
        <v>אגאדו לייב בע"מ</v>
      </c>
      <c r="F330" s="9" t="s">
        <v>9</v>
      </c>
      <c r="G330" t="s">
        <v>3365</v>
      </c>
      <c r="H330" s="15" t="s">
        <v>2105</v>
      </c>
      <c r="I330" s="13"/>
      <c r="J330" s="13"/>
      <c r="K330" s="15" t="s">
        <v>2817</v>
      </c>
      <c r="L330" s="38" t="str">
        <f t="shared" si="6"/>
        <v>2026-04-14tzach@agadolive.com</v>
      </c>
    </row>
    <row r="331" spans="1:12" ht="15" customHeight="1">
      <c r="A331" s="68">
        <f>IF(tblOutreachLog[[#This Row],[Interaction Date]]&lt;&gt;0,ROW()-1,"")</f>
        <v>330</v>
      </c>
      <c r="B331" s="13">
        <v>46126</v>
      </c>
      <c r="C331" s="15" t="s">
        <v>1793</v>
      </c>
      <c r="D331" s="63" t="str">
        <f>IFERROR(INDEX(Contacts!$B:$B,MATCH(C331,Contacts!$F:$F,0))&amp;" "&amp;INDEX(Contacts!$C:$C,MATCH(C331,Contacts!$F:$F,0)),"")</f>
        <v>סיואר אסילי</v>
      </c>
      <c r="E331" s="64" t="str">
        <f>IFERROR(INDEX(Contacts!$E:$E,MATCH(C331,Contacts!$F:$F,0)),"")</f>
        <v>אגודת הגליל למחקר ופיתוח הבריאות</v>
      </c>
      <c r="F331" s="9" t="s">
        <v>9</v>
      </c>
      <c r="G331" t="s">
        <v>3402</v>
      </c>
      <c r="H331" s="15" t="s">
        <v>2105</v>
      </c>
      <c r="I331" s="13"/>
      <c r="J331" s="13"/>
      <c r="K331" s="15" t="s">
        <v>2817</v>
      </c>
      <c r="L331" s="38" t="str">
        <f t="shared" si="6"/>
        <v>2026-04-14siwar.a8@gmail.com</v>
      </c>
    </row>
    <row r="332" spans="1:12" ht="15" customHeight="1">
      <c r="A332" s="68">
        <f>IF(tblOutreachLog[[#This Row],[Interaction Date]]&lt;&gt;0,ROW()-1,"")</f>
        <v>331</v>
      </c>
      <c r="B332" s="13">
        <v>46126</v>
      </c>
      <c r="C332" s="15" t="s">
        <v>1447</v>
      </c>
      <c r="D332" s="63" t="str">
        <f>IFERROR(INDEX(Contacts!$B:$B,MATCH(C332,Contacts!$F:$F,0))&amp;" "&amp;INDEX(Contacts!$C:$C,MATCH(C332,Contacts!$F:$F,0)),"")</f>
        <v>מיכל מאירי</v>
      </c>
      <c r="E332" s="64" t="str">
        <f>IFERROR(INDEX(Contacts!$E:$E,MATCH(C332,Contacts!$F:$F,0)),"")</f>
        <v>אגמונטק טכנולוגיות (ישראל) בע"מ</v>
      </c>
      <c r="F332" s="9" t="s">
        <v>9</v>
      </c>
      <c r="G332" t="s">
        <v>3394</v>
      </c>
      <c r="H332" s="15" t="s">
        <v>2105</v>
      </c>
      <c r="I332" s="13"/>
      <c r="J332" s="13"/>
      <c r="K332" s="15" t="s">
        <v>2817</v>
      </c>
      <c r="L332" s="38" t="str">
        <f t="shared" si="6"/>
        <v>2026-04-14michal@agamonhealth.com</v>
      </c>
    </row>
    <row r="333" spans="1:12" ht="15" customHeight="1">
      <c r="A333" s="68">
        <f>IF(tblOutreachLog[[#This Row],[Interaction Date]]&lt;&gt;0,ROW()-1,"")</f>
        <v>332</v>
      </c>
      <c r="B333" s="13">
        <v>46126</v>
      </c>
      <c r="C333" s="15" t="s">
        <v>1368</v>
      </c>
      <c r="D333" s="63" t="str">
        <f>IFERROR(INDEX(Contacts!$B:$B,MATCH(C333,Contacts!$F:$F,0))&amp;" "&amp;INDEX(Contacts!$C:$C,MATCH(C333,Contacts!$F:$F,0)),"")</f>
        <v>לירון כהן-ינאי</v>
      </c>
      <c r="E333" s="64" t="str">
        <f>IFERROR(INDEX(Contacts!$E:$E,MATCH(C333,Contacts!$F:$F,0)),"")</f>
        <v>אגריפס רובוטיקס</v>
      </c>
      <c r="F333" s="9" t="s">
        <v>9</v>
      </c>
      <c r="G333" t="s">
        <v>3372</v>
      </c>
      <c r="H333" s="15" t="s">
        <v>2105</v>
      </c>
      <c r="I333" s="13"/>
      <c r="J333" s="13"/>
      <c r="K333" s="15" t="s">
        <v>2817</v>
      </c>
      <c r="L333" s="38" t="str">
        <f t="shared" si="6"/>
        <v>2026-04-14liron.yanay@agripass.co</v>
      </c>
    </row>
    <row r="334" spans="1:12" ht="15" customHeight="1">
      <c r="A334" s="68">
        <f>IF(tblOutreachLog[[#This Row],[Interaction Date]]&lt;&gt;0,ROW()-1,"")</f>
        <v>333</v>
      </c>
      <c r="B334" s="13">
        <v>46126</v>
      </c>
      <c r="C334" s="15" t="s">
        <v>854</v>
      </c>
      <c r="D334" s="63" t="str">
        <f>IFERROR(INDEX(Contacts!$B:$B,MATCH(C334,Contacts!$F:$F,0))&amp;" "&amp;INDEX(Contacts!$C:$C,MATCH(C334,Contacts!$F:$F,0)),"")</f>
        <v>אביחי חיים פור</v>
      </c>
      <c r="E334" s="64" t="str">
        <f>IFERROR(INDEX(Contacts!$E:$E,MATCH(C334,Contacts!$F:$F,0)),"")</f>
        <v>אדיוניקס ישראל בע"מ</v>
      </c>
      <c r="F334" s="9" t="s">
        <v>9</v>
      </c>
      <c r="G334" t="s">
        <v>3394</v>
      </c>
      <c r="H334" s="15" t="s">
        <v>2105</v>
      </c>
      <c r="I334" s="13"/>
      <c r="J334" s="13"/>
      <c r="K334" s="15" t="s">
        <v>2817</v>
      </c>
      <c r="L334" s="38" t="str">
        <f t="shared" si="6"/>
        <v>2026-04-14avichai.hp@addionics.com</v>
      </c>
    </row>
    <row r="335" spans="1:12" ht="15" customHeight="1">
      <c r="A335" s="68">
        <f>IF(tblOutreachLog[[#This Row],[Interaction Date]]&lt;&gt;0,ROW()-1,"")</f>
        <v>334</v>
      </c>
      <c r="B335" s="13">
        <v>46126</v>
      </c>
      <c r="C335" s="15" t="s">
        <v>1830</v>
      </c>
      <c r="D335" s="63" t="str">
        <f>IFERROR(INDEX(Contacts!$B:$B,MATCH(C335,Contacts!$F:$F,0))&amp;" "&amp;INDEX(Contacts!$C:$C,MATCH(C335,Contacts!$F:$F,0)),"")</f>
        <v>תמיר שקד</v>
      </c>
      <c r="E335" s="64" t="str">
        <f>IFERROR(INDEX(Contacts!$E:$E,MATCH(C335,Contacts!$F:$F,0)),"")</f>
        <v>אוליגו ביוטק בע"מ</v>
      </c>
      <c r="F335" s="9" t="s">
        <v>9</v>
      </c>
      <c r="G335" t="s">
        <v>3393</v>
      </c>
      <c r="H335" s="15" t="s">
        <v>2105</v>
      </c>
      <c r="I335" s="13"/>
      <c r="J335" s="13"/>
      <c r="K335" s="15" t="s">
        <v>2817</v>
      </c>
      <c r="L335" s="38" t="str">
        <f t="shared" si="6"/>
        <v>2026-04-14tamir.shaked@oligobiotech.com</v>
      </c>
    </row>
    <row r="336" spans="1:12" ht="15" customHeight="1">
      <c r="A336" s="68">
        <f>IF(tblOutreachLog[[#This Row],[Interaction Date]]&lt;&gt;0,ROW()-1,"")</f>
        <v>335</v>
      </c>
      <c r="B336" s="13">
        <v>46126</v>
      </c>
      <c r="C336" s="15" t="s">
        <v>989</v>
      </c>
      <c r="D336" s="63" t="str">
        <f>IFERROR(INDEX(Contacts!$B:$B,MATCH(C336,Contacts!$F:$F,0))&amp;" "&amp;INDEX(Contacts!$C:$C,MATCH(C336,Contacts!$F:$F,0)),"")</f>
        <v>אליק אלמוג</v>
      </c>
      <c r="E336" s="64" t="str">
        <f>IFERROR(INDEX(Contacts!$E:$E,MATCH(C336,Contacts!$F:$F,0)),"")</f>
        <v>אוניברסיטת חיפה</v>
      </c>
      <c r="F336" s="9" t="s">
        <v>9</v>
      </c>
      <c r="G336" t="s">
        <v>3402</v>
      </c>
      <c r="H336" s="15" t="s">
        <v>2105</v>
      </c>
      <c r="I336" s="13"/>
      <c r="J336" s="13"/>
      <c r="K336" s="15" t="s">
        <v>2817</v>
      </c>
      <c r="L336" s="38" t="str">
        <f t="shared" si="6"/>
        <v>2026-04-14ealmog1@staff.haifa.ac.il</v>
      </c>
    </row>
    <row r="337" spans="1:12" ht="15" customHeight="1">
      <c r="A337" s="68">
        <f>IF(tblOutreachLog[[#This Row],[Interaction Date]]&lt;&gt;0,ROW()-1,"")</f>
        <v>336</v>
      </c>
      <c r="B337" s="13">
        <v>46126</v>
      </c>
      <c r="C337" s="15" t="s">
        <v>1342</v>
      </c>
      <c r="D337" s="63" t="str">
        <f>IFERROR(INDEX(Contacts!$B:$B,MATCH(C337,Contacts!$F:$F,0))&amp;" "&amp;INDEX(Contacts!$C:$C,MATCH(C337,Contacts!$F:$F,0)),"")</f>
        <v>רוג'ר קורנברג</v>
      </c>
      <c r="E337" s="64" t="str">
        <f>IFERROR(INDEX(Contacts!$E:$E,MATCH(C337,Contacts!$F:$F,0)),"")</f>
        <v>אטומיקס אר אקס בע"מ</v>
      </c>
      <c r="F337" s="9" t="s">
        <v>9</v>
      </c>
      <c r="G337" t="s">
        <v>3372</v>
      </c>
      <c r="H337" s="15" t="s">
        <v>2105</v>
      </c>
      <c r="I337" s="13"/>
      <c r="J337" s="13"/>
      <c r="K337" s="15" t="s">
        <v>2817</v>
      </c>
      <c r="L337" s="38" t="str">
        <f t="shared" ref="L337:L368" si="7">TEXT(B337,"YYYY-MM-DD")&amp;C337</f>
        <v>2026-04-14kornberg@stanford.edu</v>
      </c>
    </row>
    <row r="338" spans="1:12" ht="15" customHeight="1">
      <c r="A338" s="68">
        <f>IF(tblOutreachLog[[#This Row],[Interaction Date]]&lt;&gt;0,ROW()-1,"")</f>
        <v>337</v>
      </c>
      <c r="B338" s="13">
        <v>46126</v>
      </c>
      <c r="C338" s="15" t="s">
        <v>1831</v>
      </c>
      <c r="D338" s="63" t="str">
        <f>IFERROR(INDEX(Contacts!$B:$B,MATCH(C338,Contacts!$F:$F,0))&amp;" "&amp;INDEX(Contacts!$C:$C,MATCH(C338,Contacts!$F:$F,0)),"")</f>
        <v>תמיר נוה</v>
      </c>
      <c r="E338" s="64" t="str">
        <f>IFERROR(INDEX(Contacts!$E:$E,MATCH(C338,Contacts!$F:$F,0)),"")</f>
        <v>אי אי פרום סקראפס בע"מ</v>
      </c>
      <c r="F338" s="9" t="s">
        <v>9</v>
      </c>
      <c r="G338" t="s">
        <v>3372</v>
      </c>
      <c r="H338" s="15" t="s">
        <v>2105</v>
      </c>
      <c r="I338" s="13"/>
      <c r="J338" s="13"/>
      <c r="K338" s="15" t="s">
        <v>2817</v>
      </c>
      <c r="L338" s="38" t="str">
        <f t="shared" si="7"/>
        <v>2026-04-14tamir@ai-blog.co.il</v>
      </c>
    </row>
    <row r="339" spans="1:12" ht="15" customHeight="1">
      <c r="A339" s="68">
        <f>IF(tblOutreachLog[[#This Row],[Interaction Date]]&lt;&gt;0,ROW()-1,"")</f>
        <v>338</v>
      </c>
      <c r="B339" s="13">
        <v>46126</v>
      </c>
      <c r="C339" s="15" t="s">
        <v>783</v>
      </c>
      <c r="D339" s="63" t="str">
        <f>IFERROR(INDEX(Contacts!$B:$B,MATCH(C339,Contacts!$F:$F,0))&amp;" "&amp;INDEX(Contacts!$C:$C,MATCH(C339,Contacts!$F:$F,0)),"")</f>
        <v>אמיר הורוביץ</v>
      </c>
      <c r="E339" s="64" t="str">
        <f>IFERROR(INDEX(Contacts!$E:$E,MATCH(C339,Contacts!$F:$F,0)),"")</f>
        <v>אי אס איי אל טכנולוגיות, שותפות מוגבלת</v>
      </c>
      <c r="F339" s="9" t="s">
        <v>9</v>
      </c>
      <c r="G339" t="s">
        <v>3369</v>
      </c>
      <c r="H339" s="15" t="s">
        <v>2105</v>
      </c>
      <c r="I339" s="13"/>
      <c r="J339" s="13"/>
      <c r="K339" s="15" t="s">
        <v>2817</v>
      </c>
      <c r="L339" s="38" t="str">
        <f t="shared" si="7"/>
        <v>2026-04-14amir.h@esil.co.il</v>
      </c>
    </row>
    <row r="340" spans="1:12" ht="15" customHeight="1">
      <c r="A340" s="68">
        <f>IF(tblOutreachLog[[#This Row],[Interaction Date]]&lt;&gt;0,ROW()-1,"")</f>
        <v>339</v>
      </c>
      <c r="B340" s="13">
        <v>46126</v>
      </c>
      <c r="C340" s="15" t="s">
        <v>1576</v>
      </c>
      <c r="D340" s="63" t="str">
        <f>IFERROR(INDEX(Contacts!$B:$B,MATCH(C340,Contacts!$F:$F,0))&amp;" "&amp;INDEX(Contacts!$C:$C,MATCH(C340,Contacts!$F:$F,0)),"")</f>
        <v>עופר פינטל</v>
      </c>
      <c r="E340" s="64" t="str">
        <f>IFERROR(INDEX(Contacts!$E:$E,MATCH(C340,Contacts!$F:$F,0)),"")</f>
        <v>אי.זי.אנ.גי טכנולוגיות בע"מ</v>
      </c>
      <c r="F340" s="9" t="s">
        <v>9</v>
      </c>
      <c r="G340" t="s">
        <v>3403</v>
      </c>
      <c r="H340" s="15" t="s">
        <v>2105</v>
      </c>
      <c r="I340" s="13"/>
      <c r="J340" s="13"/>
      <c r="K340" s="15" t="s">
        <v>2817</v>
      </c>
      <c r="L340" s="38" t="str">
        <f t="shared" si="7"/>
        <v>2026-04-14oferp@ezngmd.com</v>
      </c>
    </row>
    <row r="341" spans="1:12" ht="15" customHeight="1">
      <c r="A341" s="68">
        <f>IF(tblOutreachLog[[#This Row],[Interaction Date]]&lt;&gt;0,ROW()-1,"")</f>
        <v>340</v>
      </c>
      <c r="B341" s="13">
        <v>46126</v>
      </c>
      <c r="C341" s="15" t="s">
        <v>1755</v>
      </c>
      <c r="D341" s="63" t="str">
        <f>IFERROR(INDEX(Contacts!$B:$B,MATCH(C341,Contacts!$F:$F,0))&amp;" "&amp;INDEX(Contacts!$C:$C,MATCH(C341,Contacts!$F:$F,0)),"")</f>
        <v>אפי אור</v>
      </c>
      <c r="E341" s="64" t="str">
        <f>IFERROR(INDEX(Contacts!$E:$E,MATCH(C341,Contacts!$F:$F,0)),"")</f>
        <v>איווה אנרגיה בע"מ</v>
      </c>
      <c r="F341" s="9" t="s">
        <v>9</v>
      </c>
      <c r="G341" t="s">
        <v>3394</v>
      </c>
      <c r="H341" s="15" t="s">
        <v>2105</v>
      </c>
      <c r="I341" s="13"/>
      <c r="J341" s="13"/>
      <c r="K341" s="15" t="s">
        <v>2817</v>
      </c>
      <c r="L341" s="38" t="str">
        <f t="shared" si="7"/>
        <v>2026-04-14sharoefi@gmail.com</v>
      </c>
    </row>
    <row r="342" spans="1:12" ht="15" customHeight="1">
      <c r="A342" s="68">
        <f>IF(tblOutreachLog[[#This Row],[Interaction Date]]&lt;&gt;0,ROW()-1,"")</f>
        <v>341</v>
      </c>
      <c r="B342" s="13">
        <v>46126</v>
      </c>
      <c r="C342" s="15" t="s">
        <v>1677</v>
      </c>
      <c r="D342" s="63" t="str">
        <f>IFERROR(INDEX(Contacts!$B:$B,MATCH(C342,Contacts!$F:$F,0))&amp;" "&amp;INDEX(Contacts!$C:$C,MATCH(C342,Contacts!$F:$F,0)),"")</f>
        <v>רם יוניש</v>
      </c>
      <c r="E342" s="64" t="str">
        <f>IFERROR(INDEX(Contacts!$E:$E,MATCH(C342,Contacts!$F:$F,0)),"")</f>
        <v>איי.אל אנג'ל קלאב בע"מ</v>
      </c>
      <c r="F342" s="9" t="s">
        <v>9</v>
      </c>
      <c r="G342" t="s">
        <v>3369</v>
      </c>
      <c r="H342" s="15" t="s">
        <v>2105</v>
      </c>
      <c r="I342" s="13"/>
      <c r="J342" s="13"/>
      <c r="K342" s="15" t="s">
        <v>2817</v>
      </c>
      <c r="L342" s="38" t="str">
        <f t="shared" si="7"/>
        <v>2026-04-14ram@ilangelclub.com</v>
      </c>
    </row>
    <row r="343" spans="1:12" ht="15" customHeight="1">
      <c r="A343" s="68">
        <f>IF(tblOutreachLog[[#This Row],[Interaction Date]]&lt;&gt;0,ROW()-1,"")</f>
        <v>342</v>
      </c>
      <c r="B343" s="13">
        <v>46126</v>
      </c>
      <c r="C343" s="15" t="s">
        <v>1618</v>
      </c>
      <c r="D343" s="63" t="str">
        <f>IFERROR(INDEX(Contacts!$B:$B,MATCH(C343,Contacts!$F:$F,0))&amp;" "&amp;INDEX(Contacts!$C:$C,MATCH(C343,Contacts!$F:$F,0)),"")</f>
        <v>אור לנדבר</v>
      </c>
      <c r="E343" s="64" t="str">
        <f>IFERROR(INDEX(Contacts!$E:$E,MATCH(C343,Contacts!$F:$F,0)),"")</f>
        <v>אייויאשן בעמ</v>
      </c>
      <c r="F343" s="9" t="s">
        <v>9</v>
      </c>
      <c r="G343" t="s">
        <v>3398</v>
      </c>
      <c r="H343" s="15" t="s">
        <v>2105</v>
      </c>
      <c r="I343" s="13"/>
      <c r="J343" s="13"/>
      <c r="K343" s="15" t="s">
        <v>2817</v>
      </c>
      <c r="L343" s="38" t="str">
        <f t="shared" si="7"/>
        <v>2026-04-14or.landwer@eyeviation.com</v>
      </c>
    </row>
    <row r="344" spans="1:12" ht="15" customHeight="1">
      <c r="A344" s="68">
        <f>IF(tblOutreachLog[[#This Row],[Interaction Date]]&lt;&gt;0,ROW()-1,"")</f>
        <v>343</v>
      </c>
      <c r="B344" s="13">
        <v>46126</v>
      </c>
      <c r="C344" s="15" t="s">
        <v>1190</v>
      </c>
      <c r="D344" s="63" t="str">
        <f>IFERROR(INDEX(Contacts!$B:$B,MATCH(C344,Contacts!$F:$F,0))&amp;" "&amp;INDEX(Contacts!$C:$C,MATCH(C344,Contacts!$F:$F,0)),"")</f>
        <v>איליה רוגינסקי</v>
      </c>
      <c r="E344" s="64" t="str">
        <f>IFERROR(INDEX(Contacts!$E:$E,MATCH(C344,Contacts!$F:$F,0)),"")</f>
        <v>אייויאשן בעמ</v>
      </c>
      <c r="F344" s="9" t="s">
        <v>9</v>
      </c>
      <c r="G344" t="s">
        <v>3398</v>
      </c>
      <c r="H344" s="15" t="s">
        <v>2105</v>
      </c>
      <c r="I344" s="13"/>
      <c r="J344" s="13"/>
      <c r="K344" s="15" t="s">
        <v>2817</v>
      </c>
      <c r="L344" s="38" t="str">
        <f t="shared" si="7"/>
        <v>2026-04-14Iliya.Roginsky@eyeviation.com</v>
      </c>
    </row>
    <row r="345" spans="1:12" ht="15" customHeight="1">
      <c r="A345" s="68">
        <f>IF(tblOutreachLog[[#This Row],[Interaction Date]]&lt;&gt;0,ROW()-1,"")</f>
        <v>344</v>
      </c>
      <c r="B345" s="13">
        <v>46126</v>
      </c>
      <c r="C345" s="15" t="s">
        <v>792</v>
      </c>
      <c r="D345" s="63" t="str">
        <f>IFERROR(INDEX(Contacts!$B:$B,MATCH(C345,Contacts!$F:$F,0))&amp;" "&amp;INDEX(Contacts!$C:$C,MATCH(C345,Contacts!$F:$F,0)),"")</f>
        <v>אמיר חסידים</v>
      </c>
      <c r="E345" s="64" t="str">
        <f>IFERROR(INDEX(Contacts!$E:$E,MATCH(C345,Contacts!$F:$F,0)),"")</f>
        <v>אייפקס ביו בע"מ</v>
      </c>
      <c r="F345" s="9" t="s">
        <v>9</v>
      </c>
      <c r="G345" t="s">
        <v>3404</v>
      </c>
      <c r="H345" s="15" t="s">
        <v>2105</v>
      </c>
      <c r="I345" s="13"/>
      <c r="J345" s="13"/>
      <c r="K345" s="15" t="s">
        <v>2817</v>
      </c>
      <c r="L345" s="38" t="str">
        <f t="shared" si="7"/>
        <v>2026-04-14amir@apexbio.tech</v>
      </c>
    </row>
    <row r="346" spans="1:12" ht="15" customHeight="1">
      <c r="A346" s="68">
        <f>IF(tblOutreachLog[[#This Row],[Interaction Date]]&lt;&gt;0,ROW()-1,"")</f>
        <v>345</v>
      </c>
      <c r="B346" s="13">
        <v>46126</v>
      </c>
      <c r="C346" s="15" t="s">
        <v>1602</v>
      </c>
      <c r="D346" s="63" t="str">
        <f>IFERROR(INDEX(Contacts!$B:$B,MATCH(C346,Contacts!$F:$F,0))&amp;" "&amp;INDEX(Contacts!$C:$C,MATCH(C346,Contacts!$F:$F,0)),"")</f>
        <v>עומר מוצפי</v>
      </c>
      <c r="E346" s="64" t="str">
        <f>IFERROR(INDEX(Contacts!$E:$E,MATCH(C346,Contacts!$F:$F,0)),"")</f>
        <v>איכילוב טק בע"מ</v>
      </c>
      <c r="F346" s="9" t="s">
        <v>9</v>
      </c>
      <c r="G346" t="s">
        <v>3369</v>
      </c>
      <c r="H346" s="15" t="s">
        <v>2105</v>
      </c>
      <c r="I346" s="13"/>
      <c r="J346" s="13"/>
      <c r="K346" s="15" t="s">
        <v>2817</v>
      </c>
      <c r="L346" s="38" t="str">
        <f t="shared" si="7"/>
        <v>2026-04-14omermuz@tlvmc.gov.il</v>
      </c>
    </row>
    <row r="347" spans="1:12" ht="15" customHeight="1">
      <c r="A347" s="68">
        <f>IF(tblOutreachLog[[#This Row],[Interaction Date]]&lt;&gt;0,ROW()-1,"")</f>
        <v>346</v>
      </c>
      <c r="B347" s="13">
        <v>46126</v>
      </c>
      <c r="C347" s="15" t="s">
        <v>1913</v>
      </c>
      <c r="D347" s="63" t="str">
        <f>IFERROR(INDEX(Contacts!$B:$B,MATCH(C347,Contacts!$F:$F,0))&amp;" "&amp;INDEX(Contacts!$C:$C,MATCH(C347,Contacts!$F:$F,0)),"")</f>
        <v>יוסי אילון</v>
      </c>
      <c r="E347" s="64" t="str">
        <f>IFERROR(INDEX(Contacts!$E:$E,MATCH(C347,Contacts!$F:$F,0)),"")</f>
        <v>אילון יועצים</v>
      </c>
      <c r="F347" s="9" t="s">
        <v>9</v>
      </c>
      <c r="G347" t="s">
        <v>3398</v>
      </c>
      <c r="H347" s="15" t="s">
        <v>2105</v>
      </c>
      <c r="I347" s="13"/>
      <c r="J347" s="13"/>
      <c r="K347" s="15" t="s">
        <v>2817</v>
      </c>
      <c r="L347" s="38" t="str">
        <f t="shared" si="7"/>
        <v>2026-04-14yossi.ay@gmail.com</v>
      </c>
    </row>
    <row r="348" spans="1:12" ht="15" customHeight="1">
      <c r="A348" s="68">
        <f>IF(tblOutreachLog[[#This Row],[Interaction Date]]&lt;&gt;0,ROW()-1,"")</f>
        <v>347</v>
      </c>
      <c r="B348" s="13">
        <v>46126</v>
      </c>
      <c r="C348" s="15" t="s">
        <v>1873</v>
      </c>
      <c r="D348" s="63" t="str">
        <f>IFERROR(INDEX(Contacts!$B:$B,MATCH(C348,Contacts!$F:$F,0))&amp;" "&amp;INDEX(Contacts!$C:$C,MATCH(C348,Contacts!$F:$F,0)),"")</f>
        <v>יעל זאבי</v>
      </c>
      <c r="E348" s="64" t="str">
        <f>IFERROR(INDEX(Contacts!$E:$E,MATCH(C348,Contacts!$F:$F,0)),"")</f>
        <v>אינוביסטק</v>
      </c>
      <c r="F348" s="9" t="s">
        <v>9</v>
      </c>
      <c r="G348" t="s">
        <v>3369</v>
      </c>
      <c r="H348" s="15" t="s">
        <v>2105</v>
      </c>
      <c r="I348" s="13"/>
      <c r="J348" s="13"/>
      <c r="K348" s="15" t="s">
        <v>2817</v>
      </c>
      <c r="L348" s="38" t="str">
        <f t="shared" si="7"/>
        <v>2026-04-14yael@innoveast.org</v>
      </c>
    </row>
    <row r="349" spans="1:12" ht="15" customHeight="1">
      <c r="A349" s="68">
        <f>IF(tblOutreachLog[[#This Row],[Interaction Date]]&lt;&gt;0,ROW()-1,"")</f>
        <v>348</v>
      </c>
      <c r="B349" s="13">
        <v>46126</v>
      </c>
      <c r="C349" s="15" t="s">
        <v>897</v>
      </c>
      <c r="D349" s="63" t="str">
        <f>IFERROR(INDEX(Contacts!$B:$B,MATCH(C349,Contacts!$F:$F,0))&amp;" "&amp;INDEX(Contacts!$C:$C,MATCH(C349,Contacts!$F:$F,0)),"")</f>
        <v>בוריס מורבין</v>
      </c>
      <c r="E349" s="64" t="str">
        <f>IFERROR(INDEX(Contacts!$E:$E,MATCH(C349,Contacts!$F:$F,0)),"")</f>
        <v>אינטגריטי דיאגנוסטיקס בע"מ</v>
      </c>
      <c r="F349" s="9" t="s">
        <v>9</v>
      </c>
      <c r="G349" t="s">
        <v>3394</v>
      </c>
      <c r="H349" s="15" t="s">
        <v>2105</v>
      </c>
      <c r="I349" s="13"/>
      <c r="J349" s="13"/>
      <c r="K349" s="15" t="s">
        <v>2817</v>
      </c>
      <c r="L349" s="38" t="str">
        <f t="shared" si="7"/>
        <v>2026-04-14boris@ndt.co.il</v>
      </c>
    </row>
    <row r="350" spans="1:12" ht="15" customHeight="1">
      <c r="A350" s="68">
        <f>IF(tblOutreachLog[[#This Row],[Interaction Date]]&lt;&gt;0,ROW()-1,"")</f>
        <v>349</v>
      </c>
      <c r="B350" s="13">
        <v>46126</v>
      </c>
      <c r="C350" s="15" t="s">
        <v>1934</v>
      </c>
      <c r="D350" s="63" t="str">
        <f>IFERROR(INDEX(Contacts!$B:$B,MATCH(C350,Contacts!$F:$F,0))&amp;" "&amp;INDEX(Contacts!$C:$C,MATCH(C350,Contacts!$F:$F,0)),"")</f>
        <v>זאב רוסק</v>
      </c>
      <c r="E350" s="64" t="str">
        <f>IFERROR(INDEX(Contacts!$E:$E,MATCH(C350,Contacts!$F:$F,0)),"")</f>
        <v>אינפיניפלקס בע"מ</v>
      </c>
      <c r="F350" s="9" t="s">
        <v>9</v>
      </c>
      <c r="G350" t="s">
        <v>3405</v>
      </c>
      <c r="H350" s="15" t="s">
        <v>2105</v>
      </c>
      <c r="I350" s="13" t="s">
        <v>205</v>
      </c>
      <c r="J350" s="13"/>
      <c r="K350" s="15" t="s">
        <v>2818</v>
      </c>
      <c r="L350" s="38" t="str">
        <f t="shared" si="7"/>
        <v>2026-04-14zeev@infiniplex.life</v>
      </c>
    </row>
    <row r="351" spans="1:12" ht="15" customHeight="1">
      <c r="A351" s="68">
        <f>IF(tblOutreachLog[[#This Row],[Interaction Date]]&lt;&gt;0,ROW()-1,"")</f>
        <v>350</v>
      </c>
      <c r="B351" s="13">
        <v>46126</v>
      </c>
      <c r="C351" s="15" t="s">
        <v>830</v>
      </c>
      <c r="D351" s="63" t="str">
        <f>IFERROR(INDEX(Contacts!$B:$B,MATCH(C351,Contacts!$F:$F,0))&amp;" "&amp;INDEX(Contacts!$C:$C,MATCH(C351,Contacts!$F:$F,0)),"")</f>
        <v>אסף אלסיבוני</v>
      </c>
      <c r="E351" s="64" t="str">
        <f>IFERROR(INDEX(Contacts!$E:$E,MATCH(C351,Contacts!$F:$F,0)),"")</f>
        <v>אלסוויי בע"מ</v>
      </c>
      <c r="F351" s="9" t="s">
        <v>9</v>
      </c>
      <c r="G351" t="s">
        <v>3395</v>
      </c>
      <c r="H351" s="15" t="s">
        <v>2105</v>
      </c>
      <c r="I351" s="13"/>
      <c r="J351" s="13"/>
      <c r="K351" s="15" t="s">
        <v>2817</v>
      </c>
      <c r="L351" s="38" t="str">
        <f t="shared" si="7"/>
        <v>2026-04-14asaf@elssway.com</v>
      </c>
    </row>
    <row r="352" spans="1:12" ht="15" customHeight="1">
      <c r="A352" s="68">
        <f>IF(tblOutreachLog[[#This Row],[Interaction Date]]&lt;&gt;0,ROW()-1,"")</f>
        <v>351</v>
      </c>
      <c r="B352" s="13">
        <v>46126</v>
      </c>
      <c r="C352" s="15" t="s">
        <v>1832</v>
      </c>
      <c r="D352" s="63" t="str">
        <f>IFERROR(INDEX(Contacts!$B:$B,MATCH(C352,Contacts!$F:$F,0))&amp;" "&amp;INDEX(Contacts!$C:$C,MATCH(C352,Contacts!$F:$F,0)),"")</f>
        <v>טובי רוני</v>
      </c>
      <c r="E352" s="64" t="str">
        <f>IFERROR(INDEX(Contacts!$E:$E,MATCH(C352,Contacts!$F:$F,0)),"")</f>
        <v>אלסוויי בע"מ</v>
      </c>
      <c r="F352" s="9" t="s">
        <v>9</v>
      </c>
      <c r="G352" t="s">
        <v>3406</v>
      </c>
      <c r="H352" s="15" t="s">
        <v>2105</v>
      </c>
      <c r="I352" s="13"/>
      <c r="J352" s="13"/>
      <c r="K352" s="15" t="s">
        <v>2817</v>
      </c>
      <c r="L352" s="38" t="str">
        <f t="shared" si="7"/>
        <v>2026-04-14Tobi@elssway.com</v>
      </c>
    </row>
    <row r="353" spans="1:12" ht="15" customHeight="1">
      <c r="A353" s="68">
        <f>IF(tblOutreachLog[[#This Row],[Interaction Date]]&lt;&gt;0,ROW()-1,"")</f>
        <v>352</v>
      </c>
      <c r="B353" s="13">
        <v>46126</v>
      </c>
      <c r="C353" s="15" t="s">
        <v>817</v>
      </c>
      <c r="D353" s="63" t="str">
        <f>IFERROR(INDEX(Contacts!$B:$B,MATCH(C353,Contacts!$F:$F,0))&amp;" "&amp;INDEX(Contacts!$C:$C,MATCH(C353,Contacts!$F:$F,0)),"")</f>
        <v>אריאל גיספאן</v>
      </c>
      <c r="E353" s="64" t="str">
        <f>IFERROR(INDEX(Contacts!$E:$E,MATCH(C353,Contacts!$F:$F,0)),"")</f>
        <v>אמנדו</v>
      </c>
      <c r="F353" s="9" t="s">
        <v>9</v>
      </c>
      <c r="G353" t="s">
        <v>3407</v>
      </c>
      <c r="H353" s="15" t="s">
        <v>2105</v>
      </c>
      <c r="I353" s="13"/>
      <c r="J353" s="13"/>
      <c r="K353" s="15" t="s">
        <v>2817</v>
      </c>
      <c r="L353" s="38" t="str">
        <f t="shared" si="7"/>
        <v>2026-04-14ariel.gispan@mail.huji.ac.il</v>
      </c>
    </row>
    <row r="354" spans="1:12" ht="15" customHeight="1">
      <c r="A354" s="68">
        <f>IF(tblOutreachLog[[#This Row],[Interaction Date]]&lt;&gt;0,ROW()-1,"")</f>
        <v>353</v>
      </c>
      <c r="B354" s="13">
        <v>46126</v>
      </c>
      <c r="C354" s="15" t="s">
        <v>1577</v>
      </c>
      <c r="D354" s="63" t="str">
        <f>IFERROR(INDEX(Contacts!$B:$B,MATCH(C354,Contacts!$F:$F,0))&amp;" "&amp;INDEX(Contacts!$C:$C,MATCH(C354,Contacts!$F:$F,0)),"")</f>
        <v>עפר שחר</v>
      </c>
      <c r="E354" s="64" t="str">
        <f>IFERROR(INDEX(Contacts!$E:$E,MATCH(C354,Contacts!$F:$F,0)),"")</f>
        <v>אנרוויב בע"מ</v>
      </c>
      <c r="F354" s="9" t="s">
        <v>9</v>
      </c>
      <c r="G354" t="s">
        <v>3403</v>
      </c>
      <c r="H354" s="15" t="s">
        <v>2105</v>
      </c>
      <c r="I354" s="13"/>
      <c r="J354" s="13"/>
      <c r="K354" s="15" t="s">
        <v>2817</v>
      </c>
      <c r="L354" s="38" t="str">
        <f t="shared" si="7"/>
        <v>2026-04-14offer@enervibe.co</v>
      </c>
    </row>
    <row r="355" spans="1:12" ht="15" customHeight="1">
      <c r="A355" s="68">
        <f>IF(tblOutreachLog[[#This Row],[Interaction Date]]&lt;&gt;0,ROW()-1,"")</f>
        <v>354</v>
      </c>
      <c r="B355" s="13">
        <v>46126</v>
      </c>
      <c r="C355" s="15" t="s">
        <v>916</v>
      </c>
      <c r="D355" s="63" t="str">
        <f>IFERROR(INDEX(Contacts!$B:$B,MATCH(C355,Contacts!$F:$F,0))&amp;" "&amp;INDEX(Contacts!$C:$C,MATCH(C355,Contacts!$F:$F,0)),"")</f>
        <v>דן אבן</v>
      </c>
      <c r="E355" s="64" t="str">
        <f>IFERROR(INDEX(Contacts!$E:$E,MATCH(C355,Contacts!$F:$F,0)),"")</f>
        <v>אסטריקס פודס בע״מ</v>
      </c>
      <c r="F355" s="9" t="s">
        <v>9</v>
      </c>
      <c r="G355" t="s">
        <v>3400</v>
      </c>
      <c r="H355" s="15" t="s">
        <v>2105</v>
      </c>
      <c r="I355" s="13"/>
      <c r="J355" s="13"/>
      <c r="K355" s="15" t="s">
        <v>2817</v>
      </c>
      <c r="L355" s="38" t="str">
        <f t="shared" si="7"/>
        <v>2026-04-14dan@asterixfoods.com</v>
      </c>
    </row>
    <row r="356" spans="1:12" ht="15" customHeight="1">
      <c r="A356" s="68">
        <f>IF(tblOutreachLog[[#This Row],[Interaction Date]]&lt;&gt;0,ROW()-1,"")</f>
        <v>355</v>
      </c>
      <c r="B356" s="13">
        <v>46126</v>
      </c>
      <c r="C356" s="15" t="s">
        <v>1178</v>
      </c>
      <c r="D356" s="63" t="str">
        <f>IFERROR(INDEX(Contacts!$B:$B,MATCH(C356,Contacts!$F:$F,0))&amp;" "&amp;INDEX(Contacts!$C:$C,MATCH(C356,Contacts!$F:$F,0)),"")</f>
        <v>עידית מלמד</v>
      </c>
      <c r="E356" s="64" t="str">
        <f>IFERROR(INDEX(Contacts!$E:$E,MATCH(C356,Contacts!$F:$F,0)),"")</f>
        <v>אפקה המכללה האקדמית להנדסה בת"א</v>
      </c>
      <c r="F356" s="9" t="s">
        <v>9</v>
      </c>
      <c r="G356" t="s">
        <v>3408</v>
      </c>
      <c r="H356" s="15" t="s">
        <v>2105</v>
      </c>
      <c r="I356" s="13"/>
      <c r="J356" s="13"/>
      <c r="K356" s="15" t="s">
        <v>2817</v>
      </c>
      <c r="L356" s="38" t="str">
        <f t="shared" si="7"/>
        <v>2026-04-14idithm@afeka.ac.il</v>
      </c>
    </row>
    <row r="357" spans="1:12" ht="15" customHeight="1">
      <c r="A357" s="68">
        <f>IF(tblOutreachLog[[#This Row],[Interaction Date]]&lt;&gt;0,ROW()-1,"")</f>
        <v>356</v>
      </c>
      <c r="B357" s="13">
        <v>46126</v>
      </c>
      <c r="C357" s="15" t="s">
        <v>3242</v>
      </c>
      <c r="D357" s="63" t="str">
        <f>IFERROR(INDEX(Contacts!$B:$B,MATCH(C357,Contacts!$F:$F,0))&amp;" "&amp;INDEX(Contacts!$C:$C,MATCH(C357,Contacts!$F:$F,0)),"")</f>
        <v>ברק איילם</v>
      </c>
      <c r="E357" s="64" t="str">
        <f>IFERROR(INDEX(Contacts!$E:$E,MATCH(C357,Contacts!$F:$F,0)),"")</f>
        <v>אקטימייז</v>
      </c>
      <c r="F357" s="9" t="s">
        <v>9</v>
      </c>
      <c r="G357" t="s">
        <v>3365</v>
      </c>
      <c r="H357" s="15" t="s">
        <v>2105</v>
      </c>
      <c r="I357" s="13"/>
      <c r="J357" s="13"/>
      <c r="K357" s="15" t="s">
        <v>2817</v>
      </c>
      <c r="L357" s="38" t="str">
        <f t="shared" si="7"/>
        <v>2026-04-14barak@nice.com</v>
      </c>
    </row>
    <row r="358" spans="1:12" ht="15" customHeight="1">
      <c r="A358" s="68">
        <f>IF(tblOutreachLog[[#This Row],[Interaction Date]]&lt;&gt;0,ROW()-1,"")</f>
        <v>357</v>
      </c>
      <c r="B358" s="13">
        <v>46126</v>
      </c>
      <c r="C358" s="15" t="s">
        <v>730</v>
      </c>
      <c r="D358" s="63" t="str">
        <f>IFERROR(INDEX(Contacts!$B:$B,MATCH(C358,Contacts!$F:$F,0))&amp;" "&amp;INDEX(Contacts!$C:$C,MATCH(C358,Contacts!$F:$F,0)),"")</f>
        <v>ברוריה כהן</v>
      </c>
      <c r="E358" s="64" t="str">
        <f>IFERROR(INDEX(Contacts!$E:$E,MATCH(C358,Contacts!$F:$F,0)),"")</f>
        <v>אקסיומה רובוטיקס בע"מ</v>
      </c>
      <c r="F358" s="9" t="s">
        <v>9</v>
      </c>
      <c r="G358" t="s">
        <v>3394</v>
      </c>
      <c r="H358" s="15" t="s">
        <v>2105</v>
      </c>
      <c r="I358" s="13"/>
      <c r="J358" s="13"/>
      <c r="K358" s="15" t="s">
        <v>2817</v>
      </c>
      <c r="L358" s="38" t="str">
        <f t="shared" si="7"/>
        <v>2026-04-14bruria@axioma-in.com</v>
      </c>
    </row>
    <row r="359" spans="1:12" ht="15" customHeight="1">
      <c r="A359" s="68">
        <f>IF(tblOutreachLog[[#This Row],[Interaction Date]]&lt;&gt;0,ROW()-1,"")</f>
        <v>358</v>
      </c>
      <c r="B359" s="13">
        <v>46126</v>
      </c>
      <c r="C359" s="15" t="s">
        <v>795</v>
      </c>
      <c r="D359" s="63" t="str">
        <f>IFERROR(INDEX(Contacts!$B:$B,MATCH(C359,Contacts!$F:$F,0))&amp;" "&amp;INDEX(Contacts!$C:$C,MATCH(C359,Contacts!$F:$F,0)),"")</f>
        <v>אמיר ממט</v>
      </c>
      <c r="E359" s="64" t="str">
        <f>IFERROR(INDEX(Contacts!$E:$E,MATCH(C359,Contacts!$F:$F,0)),"")</f>
        <v>אקסיומה רובוטיקס בע"מ</v>
      </c>
      <c r="F359" s="9" t="s">
        <v>9</v>
      </c>
      <c r="G359" t="s">
        <v>3365</v>
      </c>
      <c r="H359" s="15" t="s">
        <v>2105</v>
      </c>
      <c r="I359" s="13"/>
      <c r="J359" s="13"/>
      <c r="K359" s="15" t="s">
        <v>2817</v>
      </c>
      <c r="L359" s="38" t="str">
        <f t="shared" si="7"/>
        <v>2026-04-14amir@axioma-in.com</v>
      </c>
    </row>
    <row r="360" spans="1:12" ht="15" customHeight="1">
      <c r="A360" s="68">
        <f>IF(tblOutreachLog[[#This Row],[Interaction Date]]&lt;&gt;0,ROW()-1,"")</f>
        <v>359</v>
      </c>
      <c r="B360" s="13">
        <v>46126</v>
      </c>
      <c r="C360" s="15" t="s">
        <v>982</v>
      </c>
      <c r="D360" s="63" t="str">
        <f>IFERROR(INDEX(Contacts!$B:$B,MATCH(C360,Contacts!$F:$F,0))&amp;" "&amp;INDEX(Contacts!$C:$C,MATCH(C360,Contacts!$F:$F,0)),"")</f>
        <v/>
      </c>
      <c r="E360" s="64" t="str">
        <f>IFERROR(INDEX(Contacts!$E:$E,MATCH(C360,Contacts!$F:$F,0)),"")</f>
        <v/>
      </c>
      <c r="F360" s="9" t="s">
        <v>9</v>
      </c>
      <c r="G360" t="s">
        <v>3406</v>
      </c>
      <c r="H360" s="15" t="s">
        <v>2105</v>
      </c>
      <c r="I360" s="13"/>
      <c r="J360" s="13"/>
      <c r="K360" s="15" t="s">
        <v>2817</v>
      </c>
      <c r="L360" s="38" t="str">
        <f t="shared" si="7"/>
        <v>2026-04-14doron@eexion.com</v>
      </c>
    </row>
    <row r="361" spans="1:12" ht="15" customHeight="1">
      <c r="A361" s="68">
        <f>IF(tblOutreachLog[[#This Row],[Interaction Date]]&lt;&gt;0,ROW()-1,"")</f>
        <v>360</v>
      </c>
      <c r="B361" s="13">
        <v>46126</v>
      </c>
      <c r="C361" s="15" t="s">
        <v>1026</v>
      </c>
      <c r="D361" s="63" t="str">
        <f>IFERROR(INDEX(Contacts!$B:$B,MATCH(C361,Contacts!$F:$F,0))&amp;" "&amp;INDEX(Contacts!$C:$C,MATCH(C361,Contacts!$F:$F,0)),"")</f>
        <v>אלה שפירא</v>
      </c>
      <c r="E361" s="64" t="str">
        <f>IFERROR(INDEX(Contacts!$E:$E,MATCH(C361,Contacts!$F:$F,0)),"")</f>
        <v>אקסייט ישראל פרויקטים</v>
      </c>
      <c r="F361" s="9" t="s">
        <v>9</v>
      </c>
      <c r="G361" t="s">
        <v>3405</v>
      </c>
      <c r="H361" s="15" t="s">
        <v>2105</v>
      </c>
      <c r="I361" s="13"/>
      <c r="J361" s="13"/>
      <c r="K361" s="15" t="s">
        <v>2817</v>
      </c>
      <c r="L361" s="38" t="str">
        <f t="shared" si="7"/>
        <v>2026-04-14ella.shapira@exyte.net</v>
      </c>
    </row>
    <row r="362" spans="1:12" ht="15" customHeight="1">
      <c r="A362" s="68">
        <f>IF(tblOutreachLog[[#This Row],[Interaction Date]]&lt;&gt;0,ROW()-1,"")</f>
        <v>361</v>
      </c>
      <c r="B362" s="13">
        <v>46126</v>
      </c>
      <c r="C362" s="15" t="s">
        <v>1081</v>
      </c>
      <c r="D362" s="63" t="str">
        <f>IFERROR(INDEX(Contacts!$B:$B,MATCH(C362,Contacts!$F:$F,0))&amp;" "&amp;INDEX(Contacts!$C:$C,MATCH(C362,Contacts!$F:$F,0)),"")</f>
        <v>גדי ניר</v>
      </c>
      <c r="E362" s="64" t="str">
        <f>IFERROR(INDEX(Contacts!$E:$E,MATCH(C362,Contacts!$F:$F,0)),"")</f>
        <v>בו אנד בו</v>
      </c>
      <c r="F362" s="9" t="s">
        <v>9</v>
      </c>
      <c r="G362" t="s">
        <v>3406</v>
      </c>
      <c r="H362" s="15" t="s">
        <v>2105</v>
      </c>
      <c r="I362" s="13"/>
      <c r="J362" s="13"/>
      <c r="K362" s="15" t="s">
        <v>2817</v>
      </c>
      <c r="L362" s="38" t="str">
        <f t="shared" si="7"/>
        <v>2026-04-14gadi@bobo-balance.com</v>
      </c>
    </row>
    <row r="363" spans="1:12" ht="15" customHeight="1">
      <c r="A363" s="68">
        <f>IF(tblOutreachLog[[#This Row],[Interaction Date]]&lt;&gt;0,ROW()-1,"")</f>
        <v>362</v>
      </c>
      <c r="B363" s="13">
        <v>46126</v>
      </c>
      <c r="C363" s="15" t="s">
        <v>952</v>
      </c>
      <c r="D363" s="63" t="str">
        <f>IFERROR(INDEX(Contacts!$B:$B,MATCH(C363,Contacts!$F:$F,0))&amp;" "&amp;INDEX(Contacts!$C:$C,MATCH(C363,Contacts!$F:$F,0)),"")</f>
        <v>דדי צוקר</v>
      </c>
      <c r="E363" s="64" t="str">
        <f>IFERROR(INDEX(Contacts!$E:$E,MATCH(C363,Contacts!$F:$F,0)),"")</f>
        <v>בוקסאוןמפ בע"מ</v>
      </c>
      <c r="F363" s="9" t="s">
        <v>9</v>
      </c>
      <c r="G363" t="s">
        <v>3365</v>
      </c>
      <c r="H363" s="15" t="s">
        <v>2105</v>
      </c>
      <c r="I363" s="13"/>
      <c r="J363" s="13"/>
      <c r="K363" s="15" t="s">
        <v>2817</v>
      </c>
      <c r="L363" s="38" t="str">
        <f t="shared" si="7"/>
        <v>2026-04-14deddi@mappo.world</v>
      </c>
    </row>
    <row r="364" spans="1:12" ht="15" customHeight="1">
      <c r="A364" s="68">
        <f>IF(tblOutreachLog[[#This Row],[Interaction Date]]&lt;&gt;0,ROW()-1,"")</f>
        <v>363</v>
      </c>
      <c r="B364" s="13">
        <v>46126</v>
      </c>
      <c r="C364" s="15" t="s">
        <v>1901</v>
      </c>
      <c r="D364" s="63" t="str">
        <f>IFERROR(INDEX(Contacts!$B:$B,MATCH(C364,Contacts!$F:$F,0))&amp;" "&amp;INDEX(Contacts!$C:$C,MATCH(C364,Contacts!$F:$F,0)),"")</f>
        <v>יוכי חגי</v>
      </c>
      <c r="E364" s="64" t="str">
        <f>IFERROR(INDEX(Contacts!$E:$E,MATCH(C364,Contacts!$F:$F,0)),"")</f>
        <v>ביו הרווסט בע"מ</v>
      </c>
      <c r="F364" s="9" t="s">
        <v>9</v>
      </c>
      <c r="G364" t="s">
        <v>3409</v>
      </c>
      <c r="H364" s="15" t="s">
        <v>2105</v>
      </c>
      <c r="I364" s="13"/>
      <c r="J364" s="13"/>
      <c r="K364" s="15" t="s">
        <v>2817</v>
      </c>
      <c r="L364" s="38" t="str">
        <f t="shared" si="7"/>
        <v>2026-04-14yochi@bioharvest.com</v>
      </c>
    </row>
    <row r="365" spans="1:12" ht="15" customHeight="1">
      <c r="A365" s="68">
        <f>IF(tblOutreachLog[[#This Row],[Interaction Date]]&lt;&gt;0,ROW()-1,"")</f>
        <v>364</v>
      </c>
      <c r="B365" s="13">
        <v>46126</v>
      </c>
      <c r="C365" s="15" t="s">
        <v>1509</v>
      </c>
      <c r="D365" s="63" t="str">
        <f>IFERROR(INDEX(Contacts!$B:$B,MATCH(C365,Contacts!$F:$F,0))&amp;" "&amp;INDEX(Contacts!$C:$C,MATCH(C365,Contacts!$F:$F,0)),"")</f>
        <v>ניני בלומן</v>
      </c>
      <c r="E365" s="64" t="str">
        <f>IFERROR(INDEX(Contacts!$E:$E,MATCH(C365,Contacts!$F:$F,0)),"")</f>
        <v>ביואקסטרים בע"מ</v>
      </c>
      <c r="F365" s="9" t="s">
        <v>9</v>
      </c>
      <c r="G365" t="s">
        <v>3372</v>
      </c>
      <c r="H365" s="15" t="s">
        <v>2105</v>
      </c>
      <c r="I365" s="13"/>
      <c r="J365" s="13"/>
      <c r="K365" s="15" t="s">
        <v>2817</v>
      </c>
      <c r="L365" s="38" t="str">
        <f t="shared" si="7"/>
        <v>2026-04-14nini.bluman@bio-xtreme.com</v>
      </c>
    </row>
    <row r="366" spans="1:12" ht="15" customHeight="1">
      <c r="A366" s="68">
        <f>IF(tblOutreachLog[[#This Row],[Interaction Date]]&lt;&gt;0,ROW()-1,"")</f>
        <v>365</v>
      </c>
      <c r="B366" s="13">
        <v>46126</v>
      </c>
      <c r="C366" s="15" t="s">
        <v>1648</v>
      </c>
      <c r="D366" s="63" t="str">
        <f>IFERROR(INDEX(Contacts!$B:$B,MATCH(C366,Contacts!$F:$F,0))&amp;" "&amp;INDEX(Contacts!$C:$C,MATCH(C366,Contacts!$F:$F,0)),"")</f>
        <v>יאיר פורת</v>
      </c>
      <c r="E366" s="64" t="str">
        <f>IFERROR(INDEX(Contacts!$E:$E,MATCH(C366,Contacts!$F:$F,0)),"")</f>
        <v>ביודליה טכנולוגיות מיקרוביולוגיות בע"מ</v>
      </c>
      <c r="F366" s="9" t="s">
        <v>9</v>
      </c>
      <c r="G366" t="s">
        <v>3409</v>
      </c>
      <c r="H366" s="15" t="s">
        <v>2105</v>
      </c>
      <c r="I366" s="13"/>
      <c r="J366" s="13"/>
      <c r="K366" s="15" t="s">
        <v>2817</v>
      </c>
      <c r="L366" s="38" t="str">
        <f t="shared" si="7"/>
        <v>2026-04-14porat@biodalia.com</v>
      </c>
    </row>
    <row r="367" spans="1:12" ht="15" customHeight="1">
      <c r="A367" s="68">
        <f>IF(tblOutreachLog[[#This Row],[Interaction Date]]&lt;&gt;0,ROW()-1,"")</f>
        <v>366</v>
      </c>
      <c r="B367" s="13">
        <v>46126</v>
      </c>
      <c r="C367" s="15" t="s">
        <v>1289</v>
      </c>
      <c r="D367" s="63" t="str">
        <f>IFERROR(INDEX(Contacts!$B:$B,MATCH(C367,Contacts!$F:$F,0))&amp;" "&amp;INDEX(Contacts!$C:$C,MATCH(C367,Contacts!$F:$F,0)),"")</f>
        <v>איתי כץ</v>
      </c>
      <c r="E367" s="64" t="str">
        <f>IFERROR(INDEX(Contacts!$E:$E,MATCH(C367,Contacts!$F:$F,0)),"")</f>
        <v>ביקון אמ אר איי</v>
      </c>
      <c r="F367" s="9" t="s">
        <v>9</v>
      </c>
      <c r="G367" t="s">
        <v>3367</v>
      </c>
      <c r="H367" s="15" t="s">
        <v>2105</v>
      </c>
      <c r="I367" s="13"/>
      <c r="J367" s="13"/>
      <c r="K367" s="15" t="s">
        <v>2817</v>
      </c>
      <c r="L367" s="38" t="str">
        <f t="shared" si="7"/>
        <v>2026-04-14itaik2002@yahoo.com</v>
      </c>
    </row>
    <row r="368" spans="1:12" ht="15" customHeight="1">
      <c r="A368" s="68">
        <f>IF(tblOutreachLog[[#This Row],[Interaction Date]]&lt;&gt;0,ROW()-1,"")</f>
        <v>367</v>
      </c>
      <c r="B368" s="13">
        <v>46126</v>
      </c>
      <c r="C368" s="15" t="s">
        <v>3392</v>
      </c>
      <c r="D368" s="63" t="str">
        <f>IFERROR(INDEX(Contacts!$B:$B,MATCH(C368,Contacts!$F:$F,0))&amp;" "&amp;INDEX(Contacts!$C:$C,MATCH(C368,Contacts!$F:$F,0)),"")</f>
        <v/>
      </c>
      <c r="E368" s="64" t="str">
        <f>IFERROR(INDEX(Contacts!$E:$E,MATCH(C368,Contacts!$F:$F,0)),"")</f>
        <v/>
      </c>
      <c r="F368" s="9" t="s">
        <v>9</v>
      </c>
      <c r="G368" t="s">
        <v>3365</v>
      </c>
      <c r="H368" s="15" t="s">
        <v>2105</v>
      </c>
      <c r="I368" s="13"/>
      <c r="J368" s="13"/>
      <c r="K368" s="15" t="s">
        <v>2817</v>
      </c>
      <c r="L368" s="38" t="str">
        <f t="shared" si="7"/>
        <v>2026-04-14gil\_senesh@becapio.com</v>
      </c>
    </row>
    <row r="369" spans="1:12" ht="15" customHeight="1">
      <c r="A369" s="68">
        <f>IF(tblOutreachLog[[#This Row],[Interaction Date]]&lt;&gt;0,ROW()-1,"")</f>
        <v>368</v>
      </c>
      <c r="B369" s="13">
        <v>46126</v>
      </c>
      <c r="C369" s="15" t="s">
        <v>1120</v>
      </c>
      <c r="D369" s="63" t="str">
        <f>IFERROR(INDEX(Contacts!$B:$B,MATCH(C369,Contacts!$F:$F,0))&amp;" "&amp;INDEX(Contacts!$C:$C,MATCH(C369,Contacts!$F:$F,0)),"")</f>
        <v>גיל לוי</v>
      </c>
      <c r="E369" s="64" t="str">
        <f>IFERROR(INDEX(Contacts!$E:$E,MATCH(C369,Contacts!$F:$F,0)),"")</f>
        <v>בית החולים הציבורי אסותא אשדוד (ע״ר)</v>
      </c>
      <c r="F369" s="9" t="s">
        <v>9</v>
      </c>
      <c r="G369" t="s">
        <v>3369</v>
      </c>
      <c r="H369" s="15" t="s">
        <v>2105</v>
      </c>
      <c r="I369" s="13"/>
      <c r="J369" s="13"/>
      <c r="K369" s="15" t="s">
        <v>2817</v>
      </c>
      <c r="L369" s="38" t="str">
        <f t="shared" ref="L369:L400" si="8">TEXT(B369,"YYYY-MM-DD")&amp;C369</f>
        <v>2026-04-14gille@assuta.co.il</v>
      </c>
    </row>
    <row r="370" spans="1:12" ht="15" customHeight="1">
      <c r="A370" s="68">
        <f>IF(tblOutreachLog[[#This Row],[Interaction Date]]&lt;&gt;0,ROW()-1,"")</f>
        <v>369</v>
      </c>
      <c r="B370" s="13">
        <v>46126</v>
      </c>
      <c r="C370" s="15" t="s">
        <v>891</v>
      </c>
      <c r="D370" s="63" t="str">
        <f>IFERROR(INDEX(Contacts!$B:$B,MATCH(C370,Contacts!$F:$F,0))&amp;" "&amp;INDEX(Contacts!$C:$C,MATCH(C370,Contacts!$F:$F,0)),"")</f>
        <v>נטע בנארי</v>
      </c>
      <c r="E370" s="64" t="str">
        <f>IFERROR(INDEX(Contacts!$E:$E,MATCH(C370,Contacts!$F:$F,0)),"")</f>
        <v>בתי זיקוק לנפט</v>
      </c>
      <c r="F370" s="9" t="s">
        <v>9</v>
      </c>
      <c r="G370" t="s">
        <v>3410</v>
      </c>
      <c r="H370" s="15" t="s">
        <v>2105</v>
      </c>
      <c r="I370" s="13"/>
      <c r="J370" s="13"/>
      <c r="K370" s="15" t="s">
        <v>2817</v>
      </c>
      <c r="L370" s="38" t="str">
        <f t="shared" si="8"/>
        <v>2026-04-14bnetta@bazan.co.il</v>
      </c>
    </row>
    <row r="371" spans="1:12" ht="15" customHeight="1">
      <c r="A371" s="68">
        <f>IF(tblOutreachLog[[#This Row],[Interaction Date]]&lt;&gt;0,ROW()-1,"")</f>
        <v>370</v>
      </c>
      <c r="B371" s="13">
        <v>46126</v>
      </c>
      <c r="C371" s="15" t="s">
        <v>1766</v>
      </c>
      <c r="D371" s="63" t="str">
        <f>IFERROR(INDEX(Contacts!$B:$B,MATCH(C371,Contacts!$F:$F,0))&amp;" "&amp;INDEX(Contacts!$C:$C,MATCH(C371,Contacts!$F:$F,0)),"")</f>
        <v>שי כהן</v>
      </c>
      <c r="E371" s="64" t="str">
        <f>IFERROR(INDEX(Contacts!$E:$E,MATCH(C371,Contacts!$F:$F,0)),"")</f>
        <v>ג'נסיס מדיקל אי.איי</v>
      </c>
      <c r="F371" s="9" t="s">
        <v>9</v>
      </c>
      <c r="G371" t="s">
        <v>3404</v>
      </c>
      <c r="H371" s="15" t="s">
        <v>2105</v>
      </c>
      <c r="I371" s="13"/>
      <c r="J371" s="13"/>
      <c r="K371" s="15" t="s">
        <v>2817</v>
      </c>
      <c r="L371" s="38" t="str">
        <f t="shared" si="8"/>
        <v>2026-04-14shay@genesis-medical.ai</v>
      </c>
    </row>
    <row r="372" spans="1:12" ht="15" customHeight="1">
      <c r="A372" s="68">
        <f>IF(tblOutreachLog[[#This Row],[Interaction Date]]&lt;&gt;0,ROW()-1,"")</f>
        <v>371</v>
      </c>
      <c r="B372" s="13">
        <v>46126</v>
      </c>
      <c r="C372" s="15" t="s">
        <v>1491</v>
      </c>
      <c r="D372" s="63" t="str">
        <f>IFERROR(INDEX(Contacts!$B:$B,MATCH(C372,Contacts!$F:$F,0))&amp;" "&amp;INDEX(Contacts!$C:$C,MATCH(C372,Contacts!$F:$F,0)),"")</f>
        <v>נריה שוורץ</v>
      </c>
      <c r="E372" s="64" t="str">
        <f>IFERROR(INDEX(Contacts!$E:$E,MATCH(C372,Contacts!$F:$F,0)),"")</f>
        <v>ג. את ט. תעשיות ומסחר בע"מ</v>
      </c>
      <c r="F372" s="9" t="s">
        <v>9</v>
      </c>
      <c r="G372" t="s">
        <v>3400</v>
      </c>
      <c r="H372" s="15" t="s">
        <v>2105</v>
      </c>
      <c r="I372" s="13"/>
      <c r="J372" s="13"/>
      <c r="K372" s="15" t="s">
        <v>2817</v>
      </c>
      <c r="L372" s="38" t="str">
        <f t="shared" si="8"/>
        <v>2026-04-14nerya@gt-group.com</v>
      </c>
    </row>
    <row r="373" spans="1:12" ht="15" customHeight="1">
      <c r="A373" s="68">
        <f>IF(tblOutreachLog[[#This Row],[Interaction Date]]&lt;&gt;0,ROW()-1,"")</f>
        <v>372</v>
      </c>
      <c r="B373" s="13">
        <v>46126</v>
      </c>
      <c r="C373" s="15" t="s">
        <v>1919</v>
      </c>
      <c r="D373" s="63" t="str">
        <f>IFERROR(INDEX(Contacts!$B:$B,MATCH(C373,Contacts!$F:$F,0))&amp;" "&amp;INDEX(Contacts!$C:$C,MATCH(C373,Contacts!$F:$F,0)),"")</f>
        <v>יוסי עקביאן</v>
      </c>
      <c r="E373" s="64" t="str">
        <f>IFERROR(INDEX(Contacts!$E:$E,MATCH(C373,Contacts!$F:$F,0)),"")</f>
        <v>גטס - גלובל אינגינרינג טסטינג סלושינס בע"מ</v>
      </c>
      <c r="F373" s="9" t="s">
        <v>9</v>
      </c>
      <c r="G373" t="s">
        <v>3400</v>
      </c>
      <c r="H373" s="15" t="s">
        <v>2105</v>
      </c>
      <c r="I373" s="13"/>
      <c r="J373" s="13"/>
      <c r="K373" s="15" t="s">
        <v>2817</v>
      </c>
      <c r="L373" s="38" t="str">
        <f t="shared" si="8"/>
        <v>2026-04-14yossi@gets-systems.com</v>
      </c>
    </row>
    <row r="374" spans="1:12" ht="15" customHeight="1">
      <c r="A374" s="68">
        <f>IF(tblOutreachLog[[#This Row],[Interaction Date]]&lt;&gt;0,ROW()-1,"")</f>
        <v>373</v>
      </c>
      <c r="B374" s="13">
        <v>46126</v>
      </c>
      <c r="C374" s="15" t="s">
        <v>3263</v>
      </c>
      <c r="D374" s="63" t="str">
        <f>IFERROR(INDEX(Contacts!$B:$B,MATCH(C374,Contacts!$F:$F,0))&amp;" "&amp;INDEX(Contacts!$C:$C,MATCH(C374,Contacts!$F:$F,0)),"")</f>
        <v/>
      </c>
      <c r="E374" s="64" t="str">
        <f>IFERROR(INDEX(Contacts!$E:$E,MATCH(C374,Contacts!$F:$F,0)),"")</f>
        <v/>
      </c>
      <c r="F374" s="9" t="s">
        <v>9</v>
      </c>
      <c r="G374" t="s">
        <v>3394</v>
      </c>
      <c r="H374" s="15" t="s">
        <v>2105</v>
      </c>
      <c r="I374" s="13"/>
      <c r="J374" s="13"/>
      <c r="K374" s="15" t="s">
        <v>2817</v>
      </c>
      <c r="L374" s="38" t="str">
        <f t="shared" si="8"/>
        <v>2026-04-14adi@gilat.com</v>
      </c>
    </row>
    <row r="375" spans="1:12" ht="15" customHeight="1">
      <c r="A375" s="68">
        <f>IF(tblOutreachLog[[#This Row],[Interaction Date]]&lt;&gt;0,ROW()-1,"")</f>
        <v>374</v>
      </c>
      <c r="B375" s="13">
        <v>46126</v>
      </c>
      <c r="C375" s="15" t="s">
        <v>1060</v>
      </c>
      <c r="D375" s="63" t="str">
        <f>IFERROR(INDEX(Contacts!$B:$B,MATCH(C375,Contacts!$F:$F,0))&amp;" "&amp;INDEX(Contacts!$C:$C,MATCH(C375,Contacts!$F:$F,0)),"")</f>
        <v>איל אבירם</v>
      </c>
      <c r="E375" s="64" t="str">
        <f>IFERROR(INDEX(Contacts!$E:$E,MATCH(C375,Contacts!$F:$F,0)),"")</f>
        <v>גליל אופק חדשנות בע"מ</v>
      </c>
      <c r="F375" s="9" t="s">
        <v>9</v>
      </c>
      <c r="G375" t="s">
        <v>3365</v>
      </c>
      <c r="H375" s="15" t="s">
        <v>2105</v>
      </c>
      <c r="I375" s="13"/>
      <c r="J375" s="13"/>
      <c r="K375" s="15" t="s">
        <v>2817</v>
      </c>
      <c r="L375" s="38" t="str">
        <f t="shared" si="8"/>
        <v>2026-04-14eyal@galilofek.com</v>
      </c>
    </row>
    <row r="376" spans="1:12" ht="15" customHeight="1">
      <c r="A376" s="68">
        <f>IF(tblOutreachLog[[#This Row],[Interaction Date]]&lt;&gt;0,ROW()-1,"")</f>
        <v>375</v>
      </c>
      <c r="B376" s="13">
        <v>46126</v>
      </c>
      <c r="C376" s="15" t="s">
        <v>765</v>
      </c>
      <c r="D376" s="63" t="str">
        <f>IFERROR(INDEX(Contacts!$B:$B,MATCH(C376,Contacts!$F:$F,0))&amp;" "&amp;INDEX(Contacts!$C:$C,MATCH(C376,Contacts!$F:$F,0)),"")</f>
        <v>אלכסנדר וקסלר</v>
      </c>
      <c r="E376" s="64" t="str">
        <f>IFERROR(INDEX(Contacts!$E:$E,MATCH(C376,Contacts!$F:$F,0)),"")</f>
        <v>גרינגיין אנרג'י בע"מ</v>
      </c>
      <c r="F376" s="9" t="s">
        <v>9</v>
      </c>
      <c r="G376" t="s">
        <v>3395</v>
      </c>
      <c r="H376" s="15" t="s">
        <v>2105</v>
      </c>
      <c r="I376" s="13"/>
      <c r="J376" s="13"/>
      <c r="K376" s="15" t="s">
        <v>2817</v>
      </c>
      <c r="L376" s="38" t="str">
        <f t="shared" si="8"/>
        <v>2026-04-14alexveksler19@gmail.com</v>
      </c>
    </row>
    <row r="377" spans="1:12" ht="15" customHeight="1">
      <c r="A377" s="68">
        <f>IF(tblOutreachLog[[#This Row],[Interaction Date]]&lt;&gt;0,ROW()-1,"")</f>
        <v>376</v>
      </c>
      <c r="B377" s="13">
        <v>46126</v>
      </c>
      <c r="C377" s="15" t="s">
        <v>1542</v>
      </c>
      <c r="D377" s="63" t="str">
        <f>IFERROR(INDEX(Contacts!$B:$B,MATCH(C377,Contacts!$F:$F,0))&amp;" "&amp;INDEX(Contacts!$C:$C,MATCH(C377,Contacts!$F:$F,0)),"")</f>
        <v>נועם מגני</v>
      </c>
      <c r="E377" s="64" t="str">
        <f>IFERROR(INDEX(Contacts!$E:$E,MATCH(C377,Contacts!$F:$F,0)),"")</f>
        <v>דומא אופטרוניקה בע"מ</v>
      </c>
      <c r="F377" s="9" t="s">
        <v>9</v>
      </c>
      <c r="G377" t="s">
        <v>3365</v>
      </c>
      <c r="H377" s="15" t="s">
        <v>2105</v>
      </c>
      <c r="I377" s="13"/>
      <c r="J377" s="13"/>
      <c r="K377" s="15" t="s">
        <v>2817</v>
      </c>
      <c r="L377" s="38" t="str">
        <f t="shared" si="8"/>
        <v>2026-04-14noam@duma.co.il</v>
      </c>
    </row>
    <row r="378" spans="1:12" ht="15" customHeight="1">
      <c r="A378" s="68">
        <f>IF(tblOutreachLog[[#This Row],[Interaction Date]]&lt;&gt;0,ROW()-1,"")</f>
        <v>377</v>
      </c>
      <c r="B378" s="13">
        <v>46126</v>
      </c>
      <c r="C378" s="15" t="s">
        <v>1736</v>
      </c>
      <c r="D378" s="63" t="str">
        <f>IFERROR(INDEX(Contacts!$B:$B,MATCH(C378,Contacts!$F:$F,0))&amp;" "&amp;INDEX(Contacts!$C:$C,MATCH(C378,Contacts!$F:$F,0)),"")</f>
        <v>סרגיי ילפימץ'ב</v>
      </c>
      <c r="E378" s="64" t="str">
        <f>IFERROR(INDEX(Contacts!$E:$E,MATCH(C378,Contacts!$F:$F,0)),"")</f>
        <v>דיאמיק סמיקונדקטורס בע"ם</v>
      </c>
      <c r="F378" s="9" t="s">
        <v>9</v>
      </c>
      <c r="G378" t="s">
        <v>3404</v>
      </c>
      <c r="H378" s="15" t="s">
        <v>2105</v>
      </c>
      <c r="I378" s="13"/>
      <c r="J378" s="13"/>
      <c r="K378" s="15" t="s">
        <v>2817</v>
      </c>
      <c r="L378" s="38" t="str">
        <f t="shared" si="8"/>
        <v>2026-04-14sergey@diamic.co</v>
      </c>
    </row>
    <row r="379" spans="1:12" ht="15" customHeight="1">
      <c r="A379" s="68">
        <f>IF(tblOutreachLog[[#This Row],[Interaction Date]]&lt;&gt;0,ROW()-1,"")</f>
        <v>378</v>
      </c>
      <c r="B379" s="13">
        <v>46126</v>
      </c>
      <c r="C379" s="15" t="s">
        <v>1544</v>
      </c>
      <c r="D379" s="63" t="str">
        <f>IFERROR(INDEX(Contacts!$B:$B,MATCH(C379,Contacts!$F:$F,0))&amp;" "&amp;INDEX(Contacts!$C:$C,MATCH(C379,Contacts!$F:$F,0)),"")</f>
        <v>נועם קידר</v>
      </c>
      <c r="E379" s="64" t="str">
        <f>IFERROR(INDEX(Contacts!$E:$E,MATCH(C379,Contacts!$F:$F,0)),"")</f>
        <v>דיוקס הלתקר בע"מ</v>
      </c>
      <c r="F379" s="9" t="s">
        <v>9</v>
      </c>
      <c r="G379" t="s">
        <v>3372</v>
      </c>
      <c r="H379" s="15" t="s">
        <v>2105</v>
      </c>
      <c r="I379" s="13"/>
      <c r="J379" s="13"/>
      <c r="K379" s="15" t="s">
        <v>2817</v>
      </c>
      <c r="L379" s="38" t="str">
        <f t="shared" si="8"/>
        <v>2026-04-14noam@dux-health.com</v>
      </c>
    </row>
    <row r="380" spans="1:12" ht="15" customHeight="1">
      <c r="A380" s="68">
        <f>IF(tblOutreachLog[[#This Row],[Interaction Date]]&lt;&gt;0,ROW()-1,"")</f>
        <v>379</v>
      </c>
      <c r="B380" s="13">
        <v>46126</v>
      </c>
      <c r="C380" s="15" t="s">
        <v>772</v>
      </c>
      <c r="D380" s="63" t="str">
        <f>IFERROR(INDEX(Contacts!$B:$B,MATCH(C380,Contacts!$F:$F,0))&amp;" "&amp;INDEX(Contacts!$C:$C,MATCH(C380,Contacts!$F:$F,0)),"")</f>
        <v>אלון ניצן</v>
      </c>
      <c r="E380" s="64" t="str">
        <f>IFERROR(INDEX(Contacts!$E:$E,MATCH(C380,Contacts!$F:$F,0)),"")</f>
        <v>ה.י. ניאו-ריי לאבס בע"מ</v>
      </c>
      <c r="F380" s="9" t="s">
        <v>9</v>
      </c>
      <c r="G380" t="s">
        <v>3394</v>
      </c>
      <c r="H380" s="15" t="s">
        <v>2105</v>
      </c>
      <c r="I380" s="13"/>
      <c r="J380" s="13"/>
      <c r="K380" s="15" t="s">
        <v>2817</v>
      </c>
      <c r="L380" s="38" t="str">
        <f t="shared" si="8"/>
        <v>2026-04-14alon@neuray.ai</v>
      </c>
    </row>
    <row r="381" spans="1:12" ht="15" customHeight="1">
      <c r="A381" s="68">
        <f>IF(tblOutreachLog[[#This Row],[Interaction Date]]&lt;&gt;0,ROW()-1,"")</f>
        <v>380</v>
      </c>
      <c r="B381" s="13">
        <v>46126</v>
      </c>
      <c r="C381" s="15" t="s">
        <v>1857</v>
      </c>
      <c r="D381" s="63" t="str">
        <f>IFERROR(INDEX(Contacts!$B:$B,MATCH(C381,Contacts!$F:$F,0))&amp;" "&amp;INDEX(Contacts!$C:$C,MATCH(C381,Contacts!$F:$F,0)),"")</f>
        <v>ויקטוריה רוזן</v>
      </c>
      <c r="E381" s="64" t="str">
        <f>IFERROR(INDEX(Contacts!$E:$E,MATCH(C381,Contacts!$F:$F,0)),"")</f>
        <v>הבית לעידוד ימות והשקעות בי די או בע"מ</v>
      </c>
      <c r="F381" s="9" t="s">
        <v>9</v>
      </c>
      <c r="G381" t="s">
        <v>3369</v>
      </c>
      <c r="H381" s="15" t="s">
        <v>2105</v>
      </c>
      <c r="I381" s="13"/>
      <c r="J381" s="13"/>
      <c r="K381" s="15" t="s">
        <v>2817</v>
      </c>
      <c r="L381" s="38" t="str">
        <f t="shared" si="8"/>
        <v>2026-04-14victoriar@bdo.co.il</v>
      </c>
    </row>
    <row r="382" spans="1:12" ht="15" customHeight="1">
      <c r="A382" s="68">
        <f>IF(tblOutreachLog[[#This Row],[Interaction Date]]&lt;&gt;0,ROW()-1,"")</f>
        <v>381</v>
      </c>
      <c r="B382" s="13">
        <v>46126</v>
      </c>
      <c r="C382" s="15" t="s">
        <v>1706</v>
      </c>
      <c r="D382" s="63" t="str">
        <f>IFERROR(INDEX(Contacts!$B:$B,MATCH(C382,Contacts!$F:$F,0))&amp;" "&amp;INDEX(Contacts!$C:$C,MATCH(C382,Contacts!$F:$F,0)),"")</f>
        <v>רון גולן</v>
      </c>
      <c r="E382" s="64" t="str">
        <f>IFERROR(INDEX(Contacts!$E:$E,MATCH(C382,Contacts!$F:$F,0)),"")</f>
        <v>המרכז הרפואי זיו</v>
      </c>
      <c r="F382" s="9" t="s">
        <v>9</v>
      </c>
      <c r="G382" t="s">
        <v>3407</v>
      </c>
      <c r="H382" s="15" t="s">
        <v>2105</v>
      </c>
      <c r="I382" s="13"/>
      <c r="J382" s="13"/>
      <c r="K382" s="15" t="s">
        <v>2817</v>
      </c>
      <c r="L382" s="38" t="str">
        <f t="shared" si="8"/>
        <v>2026-04-14rongol99@gmail.com</v>
      </c>
    </row>
    <row r="383" spans="1:12" ht="15" customHeight="1">
      <c r="A383" s="68">
        <f>IF(tblOutreachLog[[#This Row],[Interaction Date]]&lt;&gt;0,ROW()-1,"")</f>
        <v>382</v>
      </c>
      <c r="B383" s="13">
        <v>46126</v>
      </c>
      <c r="C383" s="15" t="s">
        <v>949</v>
      </c>
      <c r="D383" s="63" t="str">
        <f>IFERROR(INDEX(Contacts!$B:$B,MATCH(C383,Contacts!$F:$F,0))&amp;" "&amp;INDEX(Contacts!$C:$C,MATCH(C383,Contacts!$F:$F,0)),"")</f>
        <v>דניאל בודיאנו</v>
      </c>
      <c r="E383" s="64" t="str">
        <f>IFERROR(INDEX(Contacts!$E:$E,MATCH(C383,Contacts!$F:$F,0)),"")</f>
        <v>התעשיה האוירית לישראל בע"מ</v>
      </c>
      <c r="F383" s="9" t="s">
        <v>9</v>
      </c>
      <c r="G383" t="s">
        <v>3409</v>
      </c>
      <c r="H383" s="15" t="s">
        <v>2105</v>
      </c>
      <c r="I383" s="13"/>
      <c r="J383" s="13"/>
      <c r="K383" s="15" t="s">
        <v>2817</v>
      </c>
      <c r="L383" s="38" t="str">
        <f t="shared" si="8"/>
        <v>2026-04-14dbudianu@iai.co.il</v>
      </c>
    </row>
    <row r="384" spans="1:12" ht="15" customHeight="1">
      <c r="A384" s="68">
        <f>IF(tblOutreachLog[[#This Row],[Interaction Date]]&lt;&gt;0,ROW()-1,"")</f>
        <v>383</v>
      </c>
      <c r="B384" s="13">
        <v>46126</v>
      </c>
      <c r="C384" s="15" t="s">
        <v>1921</v>
      </c>
      <c r="D384" s="63" t="str">
        <f>IFERROR(INDEX(Contacts!$B:$B,MATCH(C384,Contacts!$F:$F,0))&amp;" "&amp;INDEX(Contacts!$C:$C,MATCH(C384,Contacts!$F:$F,0)),"")</f>
        <v>יוסי פניאס</v>
      </c>
      <c r="E384" s="64" t="str">
        <f>IFERROR(INDEX(Contacts!$E:$E,MATCH(C384,Contacts!$F:$F,0)),"")</f>
        <v>ואליד.איט פיתרון אבחון בע"מ</v>
      </c>
      <c r="F384" s="9" t="s">
        <v>9</v>
      </c>
      <c r="G384" t="s">
        <v>3394</v>
      </c>
      <c r="H384" s="15" t="s">
        <v>2105</v>
      </c>
      <c r="I384" s="13"/>
      <c r="J384" s="13"/>
      <c r="K384" s="15" t="s">
        <v>2817</v>
      </c>
      <c r="L384" s="38" t="str">
        <f t="shared" si="8"/>
        <v>2026-04-14yossi@validit.ai</v>
      </c>
    </row>
    <row r="385" spans="1:12" ht="15" customHeight="1">
      <c r="A385" s="68">
        <f>IF(tblOutreachLog[[#This Row],[Interaction Date]]&lt;&gt;0,ROW()-1,"")</f>
        <v>384</v>
      </c>
      <c r="B385" s="13">
        <v>46126</v>
      </c>
      <c r="C385" s="15" t="s">
        <v>1300</v>
      </c>
      <c r="D385" s="63" t="str">
        <f>IFERROR(INDEX(Contacts!$B:$B,MATCH(C385,Contacts!$F:$F,0))&amp;" "&amp;INDEX(Contacts!$C:$C,MATCH(C385,Contacts!$F:$F,0)),"")</f>
        <v>יעקב בן אריה</v>
      </c>
      <c r="E385" s="64" t="str">
        <f>IFERROR(INDEX(Contacts!$E:$E,MATCH(C385,Contacts!$F:$F,0)),"")</f>
        <v>ואנפאס מדיקל בע"מ</v>
      </c>
      <c r="F385" s="9" t="s">
        <v>9</v>
      </c>
      <c r="G385" t="s">
        <v>3365</v>
      </c>
      <c r="H385" s="15" t="s">
        <v>2105</v>
      </c>
      <c r="I385" s="13"/>
      <c r="J385" s="13"/>
      <c r="K385" s="15" t="s">
        <v>2817</v>
      </c>
      <c r="L385" s="38" t="str">
        <f t="shared" si="8"/>
        <v>2026-04-14jacob@onepassmedical.com</v>
      </c>
    </row>
    <row r="386" spans="1:12" ht="15" customHeight="1">
      <c r="A386" s="68">
        <f>IF(tblOutreachLog[[#This Row],[Interaction Date]]&lt;&gt;0,ROW()-1,"")</f>
        <v>385</v>
      </c>
      <c r="B386" s="13">
        <v>46126</v>
      </c>
      <c r="C386" s="15" t="s">
        <v>1890</v>
      </c>
      <c r="D386" s="63" t="str">
        <f>IFERROR(INDEX(Contacts!$B:$B,MATCH(C386,Contacts!$F:$F,0))&amp;" "&amp;INDEX(Contacts!$C:$C,MATCH(C386,Contacts!$F:$F,0)),"")</f>
        <v>יהודה פוהרר</v>
      </c>
      <c r="E386" s="64" t="str">
        <f>IFERROR(INDEX(Contacts!$E:$E,MATCH(C386,Contacts!$F:$F,0)),"")</f>
        <v>וואטר טרקר בע"מ</v>
      </c>
      <c r="F386" s="9" t="s">
        <v>9</v>
      </c>
      <c r="G386" t="s">
        <v>3394</v>
      </c>
      <c r="H386" s="15" t="s">
        <v>2105</v>
      </c>
      <c r="I386" s="13"/>
      <c r="J386" s="13"/>
      <c r="K386" s="15" t="s">
        <v>2817</v>
      </c>
      <c r="L386" s="38" t="str">
        <f t="shared" si="8"/>
        <v>2026-04-14yehudafuhrer@gmail.com</v>
      </c>
    </row>
    <row r="387" spans="1:12" ht="15" customHeight="1">
      <c r="A387" s="68">
        <f>IF(tblOutreachLog[[#This Row],[Interaction Date]]&lt;&gt;0,ROW()-1,"")</f>
        <v>386</v>
      </c>
      <c r="B387" s="13">
        <v>46126</v>
      </c>
      <c r="C387" s="15" t="s">
        <v>1113</v>
      </c>
      <c r="D387" s="63" t="str">
        <f>IFERROR(INDEX(Contacts!$B:$B,MATCH(C387,Contacts!$F:$F,0))&amp;" "&amp;INDEX(Contacts!$C:$C,MATCH(C387,Contacts!$F:$F,0)),"")</f>
        <v>גיל הס</v>
      </c>
      <c r="E387" s="64" t="str">
        <f>IFERROR(INDEX(Contacts!$E:$E,MATCH(C387,Contacts!$F:$F,0)),"")</f>
        <v>ווי-אגרי</v>
      </c>
      <c r="F387" s="9" t="s">
        <v>9</v>
      </c>
      <c r="G387" t="s">
        <v>3394</v>
      </c>
      <c r="H387" s="15" t="s">
        <v>2105</v>
      </c>
      <c r="I387" s="13"/>
      <c r="J387" s="13"/>
      <c r="K387" s="15" t="s">
        <v>2817</v>
      </c>
      <c r="L387" s="38" t="str">
        <f t="shared" si="8"/>
        <v>2026-04-14gil@weagri.io</v>
      </c>
    </row>
    <row r="388" spans="1:12" ht="15" customHeight="1">
      <c r="A388" s="68">
        <f>IF(tblOutreachLog[[#This Row],[Interaction Date]]&lt;&gt;0,ROW()-1,"")</f>
        <v>387</v>
      </c>
      <c r="B388" s="13">
        <v>46126</v>
      </c>
      <c r="C388" s="15" t="s">
        <v>999</v>
      </c>
      <c r="D388" s="63" t="str">
        <f>IFERROR(INDEX(Contacts!$B:$B,MATCH(C388,Contacts!$F:$F,0))&amp;" "&amp;INDEX(Contacts!$C:$C,MATCH(C388,Contacts!$F:$F,0)),"")</f>
        <v>אפרת לידור נילי</v>
      </c>
      <c r="E388" s="64" t="str">
        <f>IFERROR(INDEX(Contacts!$E:$E,MATCH(C388,Contacts!$F:$F,0)),"")</f>
        <v>ווידאאוט בע"מ</v>
      </c>
      <c r="F388" s="9" t="s">
        <v>9</v>
      </c>
      <c r="G388" t="s">
        <v>3365</v>
      </c>
      <c r="H388" s="15" t="s">
        <v>2105</v>
      </c>
      <c r="I388" s="13"/>
      <c r="J388" s="13"/>
      <c r="K388" s="15" t="s">
        <v>2817</v>
      </c>
      <c r="L388" s="38" t="str">
        <f t="shared" si="8"/>
        <v>2026-04-14efrat@weedout-ibs.com</v>
      </c>
    </row>
    <row r="389" spans="1:12" ht="15" customHeight="1">
      <c r="A389" s="68">
        <f>IF(tblOutreachLog[[#This Row],[Interaction Date]]&lt;&gt;0,ROW()-1,"")</f>
        <v>388</v>
      </c>
      <c r="B389" s="13">
        <v>46126</v>
      </c>
      <c r="C389" s="15" t="s">
        <v>1694</v>
      </c>
      <c r="D389" s="63" t="str">
        <f>IFERROR(INDEX(Contacts!$B:$B,MATCH(C389,Contacts!$F:$F,0))&amp;" "&amp;INDEX(Contacts!$C:$C,MATCH(C389,Contacts!$F:$F,0)),"")</f>
        <v>רועי גיל</v>
      </c>
      <c r="E389" s="64" t="str">
        <f>IFERROR(INDEX(Contacts!$E:$E,MATCH(C389,Contacts!$F:$F,0)),"")</f>
        <v>ווילקס טכנולוגיות בע"מ</v>
      </c>
      <c r="F389" s="9" t="s">
        <v>9</v>
      </c>
      <c r="G389" t="s">
        <v>3394</v>
      </c>
      <c r="H389" s="15" t="s">
        <v>2105</v>
      </c>
      <c r="I389" s="13"/>
      <c r="J389" s="13"/>
      <c r="K389" s="15" t="s">
        <v>2817</v>
      </c>
      <c r="L389" s="38" t="str">
        <f t="shared" si="8"/>
        <v>2026-04-14roi@whilx.tech</v>
      </c>
    </row>
    <row r="390" spans="1:12" ht="15" customHeight="1">
      <c r="A390" s="68">
        <f>IF(tblOutreachLog[[#This Row],[Interaction Date]]&lt;&gt;0,ROW()-1,"")</f>
        <v>389</v>
      </c>
      <c r="B390" s="13">
        <v>46126</v>
      </c>
      <c r="C390" s="15" t="s">
        <v>1023</v>
      </c>
      <c r="D390" s="63" t="str">
        <f>IFERROR(INDEX(Contacts!$B:$B,MATCH(C390,Contacts!$F:$F,0))&amp;" "&amp;INDEX(Contacts!$C:$C,MATCH(C390,Contacts!$F:$F,0)),"")</f>
        <v>אלירן עזר</v>
      </c>
      <c r="E390" s="64" t="str">
        <f>IFERROR(INDEX(Contacts!$E:$E,MATCH(C390,Contacts!$F:$F,0)),"")</f>
        <v>ווינגס איי.אל בע"מ</v>
      </c>
      <c r="F390" s="9" t="s">
        <v>9</v>
      </c>
      <c r="G390" t="s">
        <v>3369</v>
      </c>
      <c r="H390" s="15" t="s">
        <v>2105</v>
      </c>
      <c r="I390" s="13"/>
      <c r="J390" s="13"/>
      <c r="K390" s="15" t="s">
        <v>2817</v>
      </c>
      <c r="L390" s="38" t="str">
        <f t="shared" si="8"/>
        <v>2026-04-14eliran@wingsil.com</v>
      </c>
    </row>
    <row r="391" spans="1:12" ht="15" customHeight="1">
      <c r="A391" s="68">
        <f>IF(tblOutreachLog[[#This Row],[Interaction Date]]&lt;&gt;0,ROW()-1,"")</f>
        <v>390</v>
      </c>
      <c r="B391" s="13">
        <v>46126</v>
      </c>
      <c r="C391" s="15" t="s">
        <v>1274</v>
      </c>
      <c r="D391" s="63" t="str">
        <f>IFERROR(INDEX(Contacts!$B:$B,MATCH(C391,Contacts!$F:$F,0))&amp;" "&amp;INDEX(Contacts!$C:$C,MATCH(C391,Contacts!$F:$F,0)),"")</f>
        <v>נמרוד שגב</v>
      </c>
      <c r="E391" s="64" t="str">
        <f>IFERROR(INDEX(Contacts!$E:$E,MATCH(C391,Contacts!$F:$F,0)),"")</f>
        <v>וויקום תחבורה חכמה בע"מ</v>
      </c>
      <c r="F391" s="9" t="s">
        <v>9</v>
      </c>
      <c r="G391" t="s">
        <v>3394</v>
      </c>
      <c r="H391" s="15" t="s">
        <v>2105</v>
      </c>
      <c r="I391" s="13"/>
      <c r="J391" s="13"/>
      <c r="K391" s="15" t="s">
        <v>2817</v>
      </c>
      <c r="L391" s="38" t="str">
        <f t="shared" si="8"/>
        <v>2026-04-14info@vcomm.tech</v>
      </c>
    </row>
    <row r="392" spans="1:12" ht="15" customHeight="1">
      <c r="A392" s="68">
        <f>IF(tblOutreachLog[[#This Row],[Interaction Date]]&lt;&gt;0,ROW()-1,"")</f>
        <v>391</v>
      </c>
      <c r="B392" s="13">
        <v>46126</v>
      </c>
      <c r="C392" s="15" t="s">
        <v>834</v>
      </c>
      <c r="D392" s="63" t="str">
        <f>IFERROR(INDEX(Contacts!$B:$B,MATCH(C392,Contacts!$F:$F,0))&amp;" "&amp;INDEX(Contacts!$C:$C,MATCH(C392,Contacts!$F:$F,0)),"")</f>
        <v>אשר דהן</v>
      </c>
      <c r="E392" s="64" t="str">
        <f>IFERROR(INDEX(Contacts!$E:$E,MATCH(C392,Contacts!$F:$F,0)),"")</f>
        <v>וורבל דיוויסס בע"מ</v>
      </c>
      <c r="F392" s="9" t="s">
        <v>9</v>
      </c>
      <c r="G392" t="s">
        <v>3395</v>
      </c>
      <c r="H392" s="15" t="s">
        <v>2105</v>
      </c>
      <c r="I392" s="13"/>
      <c r="J392" s="13"/>
      <c r="K392" s="15" t="s">
        <v>2817</v>
      </c>
      <c r="L392" s="38" t="str">
        <f t="shared" si="8"/>
        <v>2026-04-14asher.dahan@wearabledevices.co.il</v>
      </c>
    </row>
    <row r="393" spans="1:12" ht="15" customHeight="1">
      <c r="A393" s="68">
        <f>IF(tblOutreachLog[[#This Row],[Interaction Date]]&lt;&gt;0,ROW()-1,"")</f>
        <v>392</v>
      </c>
      <c r="B393" s="13">
        <v>46126</v>
      </c>
      <c r="C393" s="15" t="s">
        <v>1834</v>
      </c>
      <c r="D393" s="63" t="str">
        <f>IFERROR(INDEX(Contacts!$B:$B,MATCH(C393,Contacts!$F:$F,0))&amp;" "&amp;INDEX(Contacts!$C:$C,MATCH(C393,Contacts!$F:$F,0)),"")</f>
        <v>תומר בן דוד</v>
      </c>
      <c r="E393" s="64" t="str">
        <f>IFERROR(INDEX(Contacts!$E:$E,MATCH(C393,Contacts!$F:$F,0)),"")</f>
        <v>וורטקס אימג'ינג בע"מ</v>
      </c>
      <c r="F393" s="9" t="s">
        <v>9</v>
      </c>
      <c r="G393" t="s">
        <v>3394</v>
      </c>
      <c r="H393" s="15" t="s">
        <v>2105</v>
      </c>
      <c r="I393" s="13"/>
      <c r="J393" s="13"/>
      <c r="K393" s="15" t="s">
        <v>2817</v>
      </c>
      <c r="L393" s="38" t="str">
        <f t="shared" si="8"/>
        <v>2026-04-14tomer@vortex-imaging.com</v>
      </c>
    </row>
    <row r="394" spans="1:12" ht="15" customHeight="1">
      <c r="A394" s="68">
        <f>IF(tblOutreachLog[[#This Row],[Interaction Date]]&lt;&gt;0,ROW()-1,"")</f>
        <v>393</v>
      </c>
      <c r="B394" s="13">
        <v>46126</v>
      </c>
      <c r="C394" s="15" t="s">
        <v>1734</v>
      </c>
      <c r="D394" s="63" t="str">
        <f>IFERROR(INDEX(Contacts!$B:$B,MATCH(C394,Contacts!$F:$F,0))&amp;" "&amp;INDEX(Contacts!$C:$C,MATCH(C394,Contacts!$F:$F,0)),"")</f>
        <v>שחר דמארי</v>
      </c>
      <c r="E394" s="64" t="str">
        <f>IFERROR(INDEX(Contacts!$E:$E,MATCH(C394,Contacts!$F:$F,0)),"")</f>
        <v>וי-קוראלס בע"מ</v>
      </c>
      <c r="F394" s="9" t="s">
        <v>9</v>
      </c>
      <c r="G394" t="s">
        <v>3411</v>
      </c>
      <c r="H394" s="15" t="s">
        <v>2105</v>
      </c>
      <c r="I394" s="13"/>
      <c r="J394" s="13"/>
      <c r="K394" s="15" t="s">
        <v>2817</v>
      </c>
      <c r="L394" s="38" t="str">
        <f t="shared" si="8"/>
        <v>2026-04-14sdamari@v-corals.com</v>
      </c>
    </row>
    <row r="395" spans="1:12" ht="15" customHeight="1">
      <c r="A395" s="68">
        <f>IF(tblOutreachLog[[#This Row],[Interaction Date]]&lt;&gt;0,ROW()-1,"")</f>
        <v>394</v>
      </c>
      <c r="B395" s="13">
        <v>46126</v>
      </c>
      <c r="C395" s="15" t="s">
        <v>1923</v>
      </c>
      <c r="D395" s="63" t="str">
        <f>IFERROR(INDEX(Contacts!$B:$B,MATCH(C395,Contacts!$F:$F,0))&amp;" "&amp;INDEX(Contacts!$C:$C,MATCH(C395,Contacts!$F:$F,0)),"")</f>
        <v>יוסי מזאל</v>
      </c>
      <c r="E395" s="64" t="str">
        <f>IFERROR(INDEX(Contacts!$E:$E,MATCH(C395,Contacts!$F:$F,0)),"")</f>
        <v>וי - פלואו 21 בע"מ</v>
      </c>
      <c r="F395" s="9" t="s">
        <v>9</v>
      </c>
      <c r="G395" t="s">
        <v>3399</v>
      </c>
      <c r="H395" s="15" t="s">
        <v>2105</v>
      </c>
      <c r="I395" s="13" t="s">
        <v>205</v>
      </c>
      <c r="J395" s="13"/>
      <c r="K395" s="15" t="s">
        <v>2818</v>
      </c>
      <c r="L395" s="38" t="str">
        <f t="shared" si="8"/>
        <v>2026-04-14yossi@vflow21.com</v>
      </c>
    </row>
    <row r="396" spans="1:12" ht="15" customHeight="1">
      <c r="A396" s="68">
        <f>IF(tblOutreachLog[[#This Row],[Interaction Date]]&lt;&gt;0,ROW()-1,"")</f>
        <v>395</v>
      </c>
      <c r="B396" s="13">
        <v>46126</v>
      </c>
      <c r="C396" s="15" t="s">
        <v>803</v>
      </c>
      <c r="D396" s="63" t="str">
        <f>IFERROR(INDEX(Contacts!$B:$B,MATCH(C396,Contacts!$F:$F,0))&amp;" "&amp;INDEX(Contacts!$C:$C,MATCH(C396,Contacts!$F:$F,0)),"")</f>
        <v>עמית טורמן</v>
      </c>
      <c r="E396" s="64" t="str">
        <f>IFERROR(INDEX(Contacts!$E:$E,MATCH(C396,Contacts!$F:$F,0)),"")</f>
        <v>ויריטיס בע"מ</v>
      </c>
      <c r="F396" s="9" t="s">
        <v>9</v>
      </c>
      <c r="G396" t="s">
        <v>3393</v>
      </c>
      <c r="H396" s="15" t="s">
        <v>2105</v>
      </c>
      <c r="I396" s="13"/>
      <c r="J396" s="13"/>
      <c r="K396" s="15" t="s">
        <v>2817</v>
      </c>
      <c r="L396" s="38" t="str">
        <f t="shared" si="8"/>
        <v>2026-04-14amit.turman@viritis2020.com</v>
      </c>
    </row>
    <row r="397" spans="1:12" ht="15" customHeight="1">
      <c r="A397" s="68">
        <f>IF(tblOutreachLog[[#This Row],[Interaction Date]]&lt;&gt;0,ROW()-1,"")</f>
        <v>396</v>
      </c>
      <c r="B397" s="13">
        <v>46126</v>
      </c>
      <c r="C397" s="15" t="s">
        <v>1442</v>
      </c>
      <c r="D397" s="63" t="str">
        <f>IFERROR(INDEX(Contacts!$B:$B,MATCH(C397,Contacts!$F:$F,0))&amp;" "&amp;INDEX(Contacts!$C:$C,MATCH(C397,Contacts!$F:$F,0)),"")</f>
        <v>מיכאל אוסטר</v>
      </c>
      <c r="E397" s="64" t="str">
        <f>IFERROR(INDEX(Contacts!$E:$E,MATCH(C397,Contacts!$F:$F,0)),"")</f>
        <v>זעפרן-טק</v>
      </c>
      <c r="F397" s="9" t="s">
        <v>9</v>
      </c>
      <c r="G397" t="s">
        <v>3400</v>
      </c>
      <c r="H397" s="15" t="s">
        <v>2105</v>
      </c>
      <c r="I397" s="13"/>
      <c r="J397" s="13"/>
      <c r="K397" s="15" t="s">
        <v>2817</v>
      </c>
      <c r="L397" s="38" t="str">
        <f t="shared" si="8"/>
        <v>2026-04-14michael@saffron.ag</v>
      </c>
    </row>
    <row r="398" spans="1:12" ht="15" customHeight="1">
      <c r="A398" s="68">
        <f>IF(tblOutreachLog[[#This Row],[Interaction Date]]&lt;&gt;0,ROW()-1,"")</f>
        <v>397</v>
      </c>
      <c r="B398" s="13">
        <v>46126</v>
      </c>
      <c r="C398" s="15" t="s">
        <v>1166</v>
      </c>
      <c r="D398" s="63" t="str">
        <f>IFERROR(INDEX(Contacts!$B:$B,MATCH(C398,Contacts!$F:$F,0))&amp;" "&amp;INDEX(Contacts!$C:$C,MATCH(C398,Contacts!$F:$F,0)),"")</f>
        <v>חאזם חטאב</v>
      </c>
      <c r="E398" s="64" t="str">
        <f>IFERROR(INDEX(Contacts!$E:$E,MATCH(C398,Contacts!$F:$F,0)),"")</f>
        <v>חאסוב לאבס בע"מ (חל"צ)</v>
      </c>
      <c r="F398" s="9" t="s">
        <v>9</v>
      </c>
      <c r="G398" t="s">
        <v>3369</v>
      </c>
      <c r="H398" s="15" t="s">
        <v>2105</v>
      </c>
      <c r="I398" s="13"/>
      <c r="J398" s="13"/>
      <c r="K398" s="15" t="s">
        <v>2817</v>
      </c>
      <c r="L398" s="38" t="str">
        <f t="shared" si="8"/>
        <v>2026-04-14hazem@hasoub.org</v>
      </c>
    </row>
    <row r="399" spans="1:12" ht="15" customHeight="1">
      <c r="A399" s="68">
        <f>IF(tblOutreachLog[[#This Row],[Interaction Date]]&lt;&gt;0,ROW()-1,"")</f>
        <v>398</v>
      </c>
      <c r="B399" s="13">
        <v>46126</v>
      </c>
      <c r="C399" s="15" t="s">
        <v>1790</v>
      </c>
      <c r="D399" s="63" t="str">
        <f>IFERROR(INDEX(Contacts!$B:$B,MATCH(C399,Contacts!$F:$F,0))&amp;" "&amp;INDEX(Contacts!$C:$C,MATCH(C399,Contacts!$F:$F,0)),"")</f>
        <v>סיון יחיאלי</v>
      </c>
      <c r="E399" s="64" t="str">
        <f>IFERROR(INDEX(Contacts!$E:$E,MATCH(C399,Contacts!$F:$F,0)),"")</f>
        <v>חממת כרמיאל לתעשייה חכמה בע"מ</v>
      </c>
      <c r="F399" s="9" t="s">
        <v>9</v>
      </c>
      <c r="G399" t="s">
        <v>3412</v>
      </c>
      <c r="H399" s="15" t="s">
        <v>2105</v>
      </c>
      <c r="I399" s="13"/>
      <c r="J399" s="13"/>
      <c r="K399" s="15" t="s">
        <v>2817</v>
      </c>
      <c r="L399" s="38" t="str">
        <f t="shared" si="8"/>
        <v>2026-04-14sivany@i4valley.com</v>
      </c>
    </row>
    <row r="400" spans="1:12" ht="15" customHeight="1">
      <c r="A400" s="68">
        <f>IF(tblOutreachLog[[#This Row],[Interaction Date]]&lt;&gt;0,ROW()-1,"")</f>
        <v>399</v>
      </c>
      <c r="B400" s="13">
        <v>46126</v>
      </c>
      <c r="C400" s="15" t="s">
        <v>1463</v>
      </c>
      <c r="D400" s="63" t="str">
        <f>IFERROR(INDEX(Contacts!$B:$B,MATCH(C400,Contacts!$F:$F,0))&amp;" "&amp;INDEX(Contacts!$C:$C,MATCH(C400,Contacts!$F:$F,0)),"")</f>
        <v>משה לסטר</v>
      </c>
      <c r="E400" s="64" t="str">
        <f>IFERROR(INDEX(Contacts!$E:$E,MATCH(C400,Contacts!$F:$F,0)),"")</f>
        <v>טדנס בע"מ</v>
      </c>
      <c r="F400" s="9" t="s">
        <v>9</v>
      </c>
      <c r="G400" t="s">
        <v>3394</v>
      </c>
      <c r="H400" s="15" t="s">
        <v>2105</v>
      </c>
      <c r="I400" s="13"/>
      <c r="J400" s="13"/>
      <c r="K400" s="15" t="s">
        <v>2817</v>
      </c>
      <c r="L400" s="38" t="str">
        <f t="shared" si="8"/>
        <v>2026-04-14morris@tedence.com</v>
      </c>
    </row>
    <row r="401" spans="1:12" ht="15" customHeight="1">
      <c r="A401" s="68">
        <f>IF(tblOutreachLog[[#This Row],[Interaction Date]]&lt;&gt;0,ROW()-1,"")</f>
        <v>400</v>
      </c>
      <c r="B401" s="13">
        <v>46126</v>
      </c>
      <c r="C401" s="15" t="s">
        <v>1641</v>
      </c>
      <c r="D401" s="63" t="str">
        <f>IFERROR(INDEX(Contacts!$B:$B,MATCH(C401,Contacts!$F:$F,0))&amp;" "&amp;INDEX(Contacts!$C:$C,MATCH(C401,Contacts!$F:$F,0)),"")</f>
        <v>עוז מחלבני</v>
      </c>
      <c r="E401" s="64" t="str">
        <f>IFERROR(INDEX(Contacts!$E:$E,MATCH(C401,Contacts!$F:$F,0)),"")</f>
        <v>טכניון</v>
      </c>
      <c r="F401" s="9" t="s">
        <v>9</v>
      </c>
      <c r="G401" t="s">
        <v>3407</v>
      </c>
      <c r="H401" s="15" t="s">
        <v>2105</v>
      </c>
      <c r="I401" s="13"/>
      <c r="J401" s="13"/>
      <c r="K401" s="15" t="s">
        <v>2817</v>
      </c>
      <c r="L401" s="38" t="str">
        <f t="shared" ref="L401:L432" si="9">TEXT(B401,"YYYY-MM-DD")&amp;C401</f>
        <v>2026-04-14oz.m@technion.ac.il</v>
      </c>
    </row>
    <row r="402" spans="1:12" ht="15" customHeight="1">
      <c r="A402" s="68">
        <f>IF(tblOutreachLog[[#This Row],[Interaction Date]]&lt;&gt;0,ROW()-1,"")</f>
        <v>401</v>
      </c>
      <c r="B402" s="13">
        <v>46126</v>
      </c>
      <c r="C402" s="15" t="s">
        <v>790</v>
      </c>
      <c r="D402" s="63" t="str">
        <f>IFERROR(INDEX(Contacts!$B:$B,MATCH(C402,Contacts!$F:$F,0))&amp;" "&amp;INDEX(Contacts!$C:$C,MATCH(C402,Contacts!$F:$F,0)),"")</f>
        <v>אמיר שדה</v>
      </c>
      <c r="E402" s="64" t="str">
        <f>IFERROR(INDEX(Contacts!$E:$E,MATCH(C402,Contacts!$F:$F,0)),"")</f>
        <v>טראומה סינק בע"מ</v>
      </c>
      <c r="F402" s="9" t="s">
        <v>9</v>
      </c>
      <c r="G402" t="s">
        <v>3404</v>
      </c>
      <c r="H402" s="15" t="s">
        <v>2105</v>
      </c>
      <c r="I402" s="13"/>
      <c r="J402" s="13"/>
      <c r="K402" s="15" t="s">
        <v>2817</v>
      </c>
      <c r="L402" s="38" t="str">
        <f t="shared" si="9"/>
        <v>2026-04-14amir.sadeh@gmail.com</v>
      </c>
    </row>
    <row r="403" spans="1:12" ht="15" customHeight="1">
      <c r="A403" s="68">
        <f>IF(tblOutreachLog[[#This Row],[Interaction Date]]&lt;&gt;0,ROW()-1,"")</f>
        <v>402</v>
      </c>
      <c r="B403" s="13">
        <v>46126</v>
      </c>
      <c r="C403" s="15" t="s">
        <v>1062</v>
      </c>
      <c r="D403" s="63" t="str">
        <f>IFERROR(INDEX(Contacts!$B:$B,MATCH(C403,Contacts!$F:$F,0))&amp;" "&amp;INDEX(Contacts!$C:$C,MATCH(C403,Contacts!$F:$F,0)),"")</f>
        <v>אייל טריכטר</v>
      </c>
      <c r="E403" s="64" t="str">
        <f>IFERROR(INDEX(Contacts!$E:$E,MATCH(C403,Contacts!$F:$F,0)),"")</f>
        <v>טרי-לוגיקל טכנולוגיות בע"מ</v>
      </c>
      <c r="F403" s="9" t="s">
        <v>9</v>
      </c>
      <c r="G403" t="s">
        <v>3394</v>
      </c>
      <c r="H403" s="15" t="s">
        <v>2105</v>
      </c>
      <c r="I403" s="13"/>
      <c r="J403" s="13"/>
      <c r="K403" s="15" t="s">
        <v>2817</v>
      </c>
      <c r="L403" s="38" t="str">
        <f t="shared" si="9"/>
        <v>2026-04-14eyal@trilogical.com</v>
      </c>
    </row>
    <row r="404" spans="1:12" ht="15" customHeight="1">
      <c r="A404" s="68">
        <f>IF(tblOutreachLog[[#This Row],[Interaction Date]]&lt;&gt;0,ROW()-1,"")</f>
        <v>403</v>
      </c>
      <c r="B404" s="13">
        <v>46126</v>
      </c>
      <c r="C404" s="15" t="s">
        <v>987</v>
      </c>
      <c r="D404" s="63" t="str">
        <f>IFERROR(INDEX(Contacts!$B:$B,MATCH(C404,Contacts!$F:$F,0))&amp;" "&amp;INDEX(Contacts!$C:$C,MATCH(C404,Contacts!$F:$F,0)),"")</f>
        <v>דותן עשת</v>
      </c>
      <c r="E404" s="64" t="str">
        <f>IFERROR(INDEX(Contacts!$E:$E,MATCH(C404,Contacts!$F:$F,0)),"")</f>
        <v>טריטוסקופ בע"מ</v>
      </c>
      <c r="F404" s="9" t="s">
        <v>9</v>
      </c>
      <c r="G404" t="s">
        <v>3365</v>
      </c>
      <c r="H404" s="15" t="s">
        <v>2105</v>
      </c>
      <c r="I404" s="13"/>
      <c r="J404" s="13"/>
      <c r="K404" s="15" t="s">
        <v>2817</v>
      </c>
      <c r="L404" s="38" t="str">
        <f t="shared" si="9"/>
        <v>2026-04-14dotan.e@treetoscope.com</v>
      </c>
    </row>
    <row r="405" spans="1:12" ht="15" customHeight="1">
      <c r="A405" s="68">
        <f>IF(tblOutreachLog[[#This Row],[Interaction Date]]&lt;&gt;0,ROW()-1,"")</f>
        <v>404</v>
      </c>
      <c r="B405" s="13">
        <v>46126</v>
      </c>
      <c r="C405" s="15" t="s">
        <v>1468</v>
      </c>
      <c r="D405" s="63" t="str">
        <f>IFERROR(INDEX(Contacts!$B:$B,MATCH(C405,Contacts!$F:$F,0))&amp;" "&amp;INDEX(Contacts!$C:$C,MATCH(C405,Contacts!$F:$F,0)),"")</f>
        <v>מושון בן ארוש</v>
      </c>
      <c r="E405" s="64" t="str">
        <f>IFERROR(INDEX(Contacts!$E:$E,MATCH(C405,Contacts!$F:$F,0)),"")</f>
        <v>י.מ.א ייצור מוצרי אריזה בע"מ</v>
      </c>
      <c r="F405" s="9" t="s">
        <v>9</v>
      </c>
      <c r="G405" t="s">
        <v>3406</v>
      </c>
      <c r="H405" s="15" t="s">
        <v>2105</v>
      </c>
      <c r="I405" s="13"/>
      <c r="J405" s="13"/>
      <c r="K405" s="15" t="s">
        <v>2817</v>
      </c>
      <c r="L405" s="38" t="str">
        <f t="shared" si="9"/>
        <v>2026-04-14moshon@imamail.co.il</v>
      </c>
    </row>
    <row r="406" spans="1:12" ht="15" customHeight="1">
      <c r="A406" s="68">
        <f>IF(tblOutreachLog[[#This Row],[Interaction Date]]&lt;&gt;0,ROW()-1,"")</f>
        <v>405</v>
      </c>
      <c r="B406" s="13">
        <v>46126</v>
      </c>
      <c r="C406" s="15" t="s">
        <v>879</v>
      </c>
      <c r="D406" s="63" t="str">
        <f>IFERROR(INDEX(Contacts!$B:$B,MATCH(C406,Contacts!$F:$F,0))&amp;" "&amp;INDEX(Contacts!$C:$C,MATCH(C406,Contacts!$F:$F,0)),"")</f>
        <v>בן רודין</v>
      </c>
      <c r="E406" s="64" t="str">
        <f>IFERROR(INDEX(Contacts!$E:$E,MATCH(C406,Contacts!$F:$F,0)),"")</f>
        <v>כמאי אנטרפרייזס בע"מ</v>
      </c>
      <c r="F406" s="9" t="s">
        <v>9</v>
      </c>
      <c r="G406" t="s">
        <v>3404</v>
      </c>
      <c r="H406" s="15" t="s">
        <v>2105</v>
      </c>
      <c r="I406" s="13"/>
      <c r="J406" s="13"/>
      <c r="K406" s="15" t="s">
        <v>2817</v>
      </c>
      <c r="L406" s="38" t="str">
        <f t="shared" si="9"/>
        <v>2026-04-14ben.rudin@kamai.io</v>
      </c>
    </row>
    <row r="407" spans="1:12" ht="15" customHeight="1">
      <c r="A407" s="68">
        <f>IF(tblOutreachLog[[#This Row],[Interaction Date]]&lt;&gt;0,ROW()-1,"")</f>
        <v>406</v>
      </c>
      <c r="B407" s="13">
        <v>46126</v>
      </c>
      <c r="C407" s="15" t="s">
        <v>1125</v>
      </c>
      <c r="D407" s="63" t="str">
        <f>IFERROR(INDEX(Contacts!$B:$B,MATCH(C407,Contacts!$F:$F,0))&amp;" "&amp;INDEX(Contacts!$C:$C,MATCH(C407,Contacts!$F:$F,0)),"")</f>
        <v>יבגני גולדמן</v>
      </c>
      <c r="E407" s="64" t="str">
        <f>IFERROR(INDEX(Contacts!$E:$E,MATCH(C407,Contacts!$F:$F,0)),"")</f>
        <v>כרמל אולפינים בע"מ</v>
      </c>
      <c r="F407" s="9" t="s">
        <v>9</v>
      </c>
      <c r="G407" t="s">
        <v>3406</v>
      </c>
      <c r="H407" s="15" t="s">
        <v>2105</v>
      </c>
      <c r="I407" s="13"/>
      <c r="J407" s="13"/>
      <c r="K407" s="15" t="s">
        <v>2817</v>
      </c>
      <c r="L407" s="38" t="str">
        <f t="shared" si="9"/>
        <v>2026-04-14gjenny@bazan.co.il</v>
      </c>
    </row>
    <row r="408" spans="1:12" ht="15" customHeight="1">
      <c r="A408" s="68">
        <f>IF(tblOutreachLog[[#This Row],[Interaction Date]]&lt;&gt;0,ROW()-1,"")</f>
        <v>407</v>
      </c>
      <c r="B408" s="13">
        <v>46126</v>
      </c>
      <c r="C408" s="15" t="s">
        <v>1848</v>
      </c>
      <c r="D408" s="63" t="str">
        <f>IFERROR(INDEX(Contacts!$B:$B,MATCH(C408,Contacts!$F:$F,0))&amp;" "&amp;INDEX(Contacts!$C:$C,MATCH(C408,Contacts!$F:$F,0)),"")</f>
        <v>אודי גורן</v>
      </c>
      <c r="E408" s="64" t="str">
        <f>IFERROR(INDEX(Contacts!$E:$E,MATCH(C408,Contacts!$F:$F,0)),"")</f>
        <v>לוגו מיכון וחדשנות בע"מ</v>
      </c>
      <c r="F408" s="9" t="s">
        <v>9</v>
      </c>
      <c r="G408" t="s">
        <v>3394</v>
      </c>
      <c r="H408" s="15" t="s">
        <v>2105</v>
      </c>
      <c r="I408" s="13"/>
      <c r="J408" s="13"/>
      <c r="K408" s="15" t="s">
        <v>2817</v>
      </c>
      <c r="L408" s="38" t="str">
        <f t="shared" si="9"/>
        <v>2026-04-14udi@lugo.org.il</v>
      </c>
    </row>
    <row r="409" spans="1:12" ht="15" customHeight="1">
      <c r="A409" s="68">
        <f>IF(tblOutreachLog[[#This Row],[Interaction Date]]&lt;&gt;0,ROW()-1,"")</f>
        <v>408</v>
      </c>
      <c r="B409" s="13">
        <v>46126</v>
      </c>
      <c r="C409" s="15" t="s">
        <v>925</v>
      </c>
      <c r="D409" s="63" t="str">
        <f>IFERROR(INDEX(Contacts!$B:$B,MATCH(C409,Contacts!$F:$F,0))&amp;" "&amp;INDEX(Contacts!$C:$C,MATCH(C409,Contacts!$F:$F,0)),"")</f>
        <v>דניאל קאן</v>
      </c>
      <c r="E409" s="64" t="str">
        <f>IFERROR(INDEX(Contacts!$E:$E,MATCH(C409,Contacts!$F:$F,0)),"")</f>
        <v>לוסיקס טכנולוגיות בע"מ</v>
      </c>
      <c r="F409" s="9" t="s">
        <v>9</v>
      </c>
      <c r="G409" t="s">
        <v>3406</v>
      </c>
      <c r="H409" s="15" t="s">
        <v>2105</v>
      </c>
      <c r="I409" s="13"/>
      <c r="J409" s="13"/>
      <c r="K409" s="15" t="s">
        <v>2817</v>
      </c>
      <c r="L409" s="38" t="str">
        <f t="shared" si="9"/>
        <v>2026-04-14danielk@lusix.com</v>
      </c>
    </row>
    <row r="410" spans="1:12" ht="15" customHeight="1">
      <c r="A410" s="68">
        <f>IF(tblOutreachLog[[#This Row],[Interaction Date]]&lt;&gt;0,ROW()-1,"")</f>
        <v>409</v>
      </c>
      <c r="B410" s="13">
        <v>46126</v>
      </c>
      <c r="C410" s="15" t="s">
        <v>1142</v>
      </c>
      <c r="D410" s="63" t="str">
        <f>IFERROR(INDEX(Contacts!$B:$B,MATCH(C410,Contacts!$F:$F,0))&amp;" "&amp;INDEX(Contacts!$C:$C,MATCH(C410,Contacts!$F:$F,0)),"")</f>
        <v>גיא בנרומנו</v>
      </c>
      <c r="E410" s="64" t="str">
        <f>IFERROR(INDEX(Contacts!$E:$E,MATCH(C410,Contacts!$F:$F,0)),"")</f>
        <v>לייטיקס סיסטמס בע"מ</v>
      </c>
      <c r="F410" s="9" t="s">
        <v>9</v>
      </c>
      <c r="G410" t="s">
        <v>3365</v>
      </c>
      <c r="H410" s="15" t="s">
        <v>2105</v>
      </c>
      <c r="I410" s="13"/>
      <c r="J410" s="13"/>
      <c r="K410" s="15" t="s">
        <v>2817</v>
      </c>
      <c r="L410" s="38" t="str">
        <f t="shared" si="9"/>
        <v>2026-04-14guy@lightyx.com</v>
      </c>
    </row>
    <row r="411" spans="1:12" ht="15" customHeight="1">
      <c r="A411" s="68">
        <f>IF(tblOutreachLog[[#This Row],[Interaction Date]]&lt;&gt;0,ROW()-1,"")</f>
        <v>410</v>
      </c>
      <c r="B411" s="13">
        <v>46126</v>
      </c>
      <c r="C411" s="15" t="s">
        <v>1546</v>
      </c>
      <c r="D411" s="63" t="str">
        <f>IFERROR(INDEX(Contacts!$B:$B,MATCH(C411,Contacts!$F:$F,0))&amp;" "&amp;INDEX(Contacts!$C:$C,MATCH(C411,Contacts!$F:$F,0)),"")</f>
        <v>נועם טייכלר</v>
      </c>
      <c r="E411" s="64" t="str">
        <f>IFERROR(INDEX(Contacts!$E:$E,MATCH(C411,Contacts!$F:$F,0)),"")</f>
        <v>לייפקורד בע"מ</v>
      </c>
      <c r="F411" s="9" t="s">
        <v>9</v>
      </c>
      <c r="G411" t="s">
        <v>3365</v>
      </c>
      <c r="H411" s="15" t="s">
        <v>2105</v>
      </c>
      <c r="I411" s="13"/>
      <c r="J411" s="13"/>
      <c r="K411" s="15" t="s">
        <v>2817</v>
      </c>
      <c r="L411" s="38" t="str">
        <f t="shared" si="9"/>
        <v>2026-04-14noam@edgemed.vc</v>
      </c>
    </row>
    <row r="412" spans="1:12" ht="15" customHeight="1">
      <c r="A412" s="68">
        <f>IF(tblOutreachLog[[#This Row],[Interaction Date]]&lt;&gt;0,ROW()-1,"")</f>
        <v>411</v>
      </c>
      <c r="B412" s="13">
        <v>46126</v>
      </c>
      <c r="C412" s="15" t="s">
        <v>1726</v>
      </c>
      <c r="D412" s="63" t="str">
        <f>IFERROR(INDEX(Contacts!$B:$B,MATCH(C412,Contacts!$F:$F,0))&amp;" "&amp;INDEX(Contacts!$C:$C,MATCH(C412,Contacts!$F:$F,0)),"")</f>
        <v>שגיא צדקה</v>
      </c>
      <c r="E412" s="64" t="str">
        <f>IFERROR(INDEX(Contacts!$E:$E,MATCH(C412,Contacts!$F:$F,0)),"")</f>
        <v>מאקאלו אופטיקס בע"מ</v>
      </c>
      <c r="F412" s="9" t="s">
        <v>9</v>
      </c>
      <c r="G412" t="s">
        <v>3365</v>
      </c>
      <c r="H412" s="15" t="s">
        <v>2105</v>
      </c>
      <c r="I412" s="13"/>
      <c r="J412" s="13"/>
      <c r="K412" s="15" t="s">
        <v>2817</v>
      </c>
      <c r="L412" s="38" t="str">
        <f t="shared" si="9"/>
        <v>2026-04-14sagie@makopt.com</v>
      </c>
    </row>
    <row r="413" spans="1:12" ht="15" customHeight="1">
      <c r="A413" s="68">
        <f>IF(tblOutreachLog[[#This Row],[Interaction Date]]&lt;&gt;0,ROW()-1,"")</f>
        <v>412</v>
      </c>
      <c r="B413" s="13">
        <v>46126</v>
      </c>
      <c r="C413" s="15" t="s">
        <v>1103</v>
      </c>
      <c r="D413" s="63" t="str">
        <f>IFERROR(INDEX(Contacts!$B:$B,MATCH(C413,Contacts!$F:$F,0))&amp;" "&amp;INDEX(Contacts!$C:$C,MATCH(C413,Contacts!$F:$F,0)),"")</f>
        <v>גדעון רוזן</v>
      </c>
      <c r="E413" s="64" t="str">
        <f>IFERROR(INDEX(Contacts!$E:$E,MATCH(C413,Contacts!$F:$F,0)),"")</f>
        <v>מגנ"א - בי.אס.פי. בע"מ</v>
      </c>
      <c r="F413" s="9" t="s">
        <v>9</v>
      </c>
      <c r="G413" t="s">
        <v>3372</v>
      </c>
      <c r="H413" s="15" t="s">
        <v>2105</v>
      </c>
      <c r="I413" s="13"/>
      <c r="J413" s="13"/>
      <c r="K413" s="15" t="s">
        <v>2817</v>
      </c>
      <c r="L413" s="38" t="str">
        <f t="shared" si="9"/>
        <v>2026-04-14gideon@magnabsp.com</v>
      </c>
    </row>
    <row r="414" spans="1:12" ht="15" customHeight="1">
      <c r="A414" s="68">
        <f>IF(tblOutreachLog[[#This Row],[Interaction Date]]&lt;&gt;0,ROW()-1,"")</f>
        <v>413</v>
      </c>
      <c r="B414" s="13">
        <v>46126</v>
      </c>
      <c r="C414" s="15" t="s">
        <v>884</v>
      </c>
      <c r="D414" s="63" t="str">
        <f>IFERROR(INDEX(Contacts!$B:$B,MATCH(C414,Contacts!$F:$F,0))&amp;" "&amp;INDEX(Contacts!$C:$C,MATCH(C414,Contacts!$F:$F,0)),"")</f>
        <v>בני גרינברג</v>
      </c>
      <c r="E414" s="64" t="str">
        <f>IFERROR(INDEX(Contacts!$E:$E,MATCH(C414,Contacts!$F:$F,0)),"")</f>
        <v>מגניסיטי</v>
      </c>
      <c r="F414" s="9" t="s">
        <v>9</v>
      </c>
      <c r="G414" t="s">
        <v>3394</v>
      </c>
      <c r="H414" s="15" t="s">
        <v>2105</v>
      </c>
      <c r="I414" s="13"/>
      <c r="J414" s="13"/>
      <c r="K414" s="15" t="s">
        <v>2817</v>
      </c>
      <c r="L414" s="38" t="str">
        <f t="shared" si="9"/>
        <v>2026-04-14benny@magnisity.com</v>
      </c>
    </row>
    <row r="415" spans="1:12" ht="15" customHeight="1">
      <c r="A415" s="68">
        <f>IF(tblOutreachLog[[#This Row],[Interaction Date]]&lt;&gt;0,ROW()-1,"")</f>
        <v>414</v>
      </c>
      <c r="B415" s="13">
        <v>46126</v>
      </c>
      <c r="C415" s="15" t="s">
        <v>1045</v>
      </c>
      <c r="D415" s="63" t="str">
        <f>IFERROR(INDEX(Contacts!$B:$B,MATCH(C415,Contacts!$F:$F,0))&amp;" "&amp;INDEX(Contacts!$C:$C,MATCH(C415,Contacts!$F:$F,0)),"")</f>
        <v>ארז וויינרוט</v>
      </c>
      <c r="E415" s="64" t="str">
        <f>IFERROR(INDEX(Contacts!$E:$E,MATCH(C415,Contacts!$F:$F,0)),"")</f>
        <v>מוביילפיזיקס בע"מ</v>
      </c>
      <c r="F415" s="9" t="s">
        <v>9</v>
      </c>
      <c r="G415" t="s">
        <v>3413</v>
      </c>
      <c r="H415" s="15" t="s">
        <v>2105</v>
      </c>
      <c r="I415" s="13"/>
      <c r="J415" s="13"/>
      <c r="K415" s="15" t="s">
        <v>2817</v>
      </c>
      <c r="L415" s="38" t="str">
        <f t="shared" si="9"/>
        <v>2026-04-14erez@mobilephysics.com</v>
      </c>
    </row>
    <row r="416" spans="1:12" ht="15" customHeight="1">
      <c r="A416" s="68">
        <f>IF(tblOutreachLog[[#This Row],[Interaction Date]]&lt;&gt;0,ROW()-1,"")</f>
        <v>415</v>
      </c>
      <c r="B416" s="13">
        <v>46126</v>
      </c>
      <c r="C416" s="15" t="s">
        <v>1422</v>
      </c>
      <c r="D416" s="63" t="str">
        <f>IFERROR(INDEX(Contacts!$B:$B,MATCH(C416,Contacts!$F:$F,0))&amp;" "&amp;INDEX(Contacts!$C:$C,MATCH(C416,Contacts!$F:$F,0)),"")</f>
        <v>מיטל יונני</v>
      </c>
      <c r="E416" s="64" t="str">
        <f>IFERROR(INDEX(Contacts!$E:$E,MATCH(C416,Contacts!$F:$F,0)),"")</f>
        <v>מור יישום מחקרים בע"מ</v>
      </c>
      <c r="F416" s="9" t="s">
        <v>9</v>
      </c>
      <c r="G416" t="s">
        <v>3402</v>
      </c>
      <c r="H416" s="15" t="s">
        <v>2105</v>
      </c>
      <c r="I416" s="13"/>
      <c r="J416" s="13"/>
      <c r="K416" s="15" t="s">
        <v>2817</v>
      </c>
      <c r="L416" s="38" t="str">
        <f t="shared" si="9"/>
        <v>2026-04-14meitaly@mor-research.com</v>
      </c>
    </row>
    <row r="417" spans="1:12" ht="15" customHeight="1">
      <c r="A417" s="68">
        <f>IF(tblOutreachLog[[#This Row],[Interaction Date]]&lt;&gt;0,ROW()-1,"")</f>
        <v>416</v>
      </c>
      <c r="B417" s="13">
        <v>46126</v>
      </c>
      <c r="C417" s="15" t="s">
        <v>1399</v>
      </c>
      <c r="D417" s="63" t="str">
        <f>IFERROR(INDEX(Contacts!$B:$B,MATCH(C417,Contacts!$F:$F,0))&amp;" "&amp;INDEX(Contacts!$C:$C,MATCH(C417,Contacts!$F:$F,0)),"")</f>
        <v>מתניה רפל</v>
      </c>
      <c r="E417" s="64" t="str">
        <f>IFERROR(INDEX(Contacts!$E:$E,MATCH(C417,Contacts!$F:$F,0)),"")</f>
        <v>מוריקא יזמות בע"מ</v>
      </c>
      <c r="F417" s="9" t="s">
        <v>9</v>
      </c>
      <c r="G417" t="s">
        <v>3400</v>
      </c>
      <c r="H417" s="15" t="s">
        <v>2105</v>
      </c>
      <c r="I417" s="13"/>
      <c r="J417" s="13"/>
      <c r="K417" s="15" t="s">
        <v>2817</v>
      </c>
      <c r="L417" s="38" t="str">
        <f t="shared" si="9"/>
        <v>2026-04-14mataniarappel@gmail.com</v>
      </c>
    </row>
    <row r="418" spans="1:12" ht="15" customHeight="1">
      <c r="A418" s="68">
        <f>IF(tblOutreachLog[[#This Row],[Interaction Date]]&lt;&gt;0,ROW()-1,"")</f>
        <v>417</v>
      </c>
      <c r="B418" s="13">
        <v>46126</v>
      </c>
      <c r="C418" s="15" t="s">
        <v>747</v>
      </c>
      <c r="D418" s="63" t="str">
        <f>IFERROR(INDEX(Contacts!$B:$B,MATCH(C418,Contacts!$F:$F,0))&amp;" "&amp;INDEX(Contacts!$C:$C,MATCH(C418,Contacts!$F:$F,0)),"")</f>
        <v>עדי נתן</v>
      </c>
      <c r="E418" s="64" t="str">
        <f>IFERROR(INDEX(Contacts!$E:$E,MATCH(C418,Contacts!$F:$F,0)),"")</f>
        <v>מושן אנליטיקס בע"מ</v>
      </c>
      <c r="F418" s="9" t="s">
        <v>9</v>
      </c>
      <c r="G418" t="s">
        <v>3394</v>
      </c>
      <c r="H418" s="15" t="s">
        <v>2105</v>
      </c>
      <c r="I418" s="13"/>
      <c r="J418" s="13"/>
      <c r="K418" s="15" t="s">
        <v>2817</v>
      </c>
      <c r="L418" s="38" t="str">
        <f t="shared" si="9"/>
        <v>2026-04-14adi@motionanalytics.io</v>
      </c>
    </row>
    <row r="419" spans="1:12" ht="15" customHeight="1">
      <c r="A419" s="68">
        <f>IF(tblOutreachLog[[#This Row],[Interaction Date]]&lt;&gt;0,ROW()-1,"")</f>
        <v>418</v>
      </c>
      <c r="B419" s="13">
        <v>46126</v>
      </c>
      <c r="C419" s="15" t="s">
        <v>1664</v>
      </c>
      <c r="D419" s="63" t="str">
        <f>IFERROR(INDEX(Contacts!$B:$B,MATCH(C419,Contacts!$F:$F,0))&amp;" "&amp;INDEX(Contacts!$C:$C,MATCH(C419,Contacts!$F:$F,0)),"")</f>
        <v>רחל ואקנין</v>
      </c>
      <c r="E419" s="64" t="str">
        <f>IFERROR(INDEX(Contacts!$E:$E,MATCH(C419,Contacts!$F:$F,0)),"")</f>
        <v>מיקרובוט מדיקל בע"מ</v>
      </c>
      <c r="F419" s="9" t="s">
        <v>9</v>
      </c>
      <c r="G419" t="s">
        <v>3365</v>
      </c>
      <c r="H419" s="15" t="s">
        <v>2105</v>
      </c>
      <c r="I419" s="13"/>
      <c r="J419" s="13"/>
      <c r="K419" s="15" t="s">
        <v>2817</v>
      </c>
      <c r="L419" s="38" t="str">
        <f t="shared" si="9"/>
        <v>2026-04-14rachel@microbotmedical.com</v>
      </c>
    </row>
    <row r="420" spans="1:12" ht="15" customHeight="1">
      <c r="A420" s="68">
        <f>IF(tblOutreachLog[[#This Row],[Interaction Date]]&lt;&gt;0,ROW()-1,"")</f>
        <v>419</v>
      </c>
      <c r="B420" s="13">
        <v>46126</v>
      </c>
      <c r="C420" s="15" t="s">
        <v>1150</v>
      </c>
      <c r="D420" s="63" t="str">
        <f>IFERROR(INDEX(Contacts!$B:$B,MATCH(C420,Contacts!$F:$F,0))&amp;" "&amp;INDEX(Contacts!$C:$C,MATCH(C420,Contacts!$F:$F,0)),"")</f>
        <v>חגי שפייזמן</v>
      </c>
      <c r="E420" s="64" t="str">
        <f>IFERROR(INDEX(Contacts!$E:$E,MATCH(C420,Contacts!$F:$F,0)),"")</f>
        <v>מלאנתה פודס בע"מ</v>
      </c>
      <c r="F420" s="9" t="s">
        <v>9</v>
      </c>
      <c r="G420" t="s">
        <v>3406</v>
      </c>
      <c r="H420" s="15" t="s">
        <v>2105</v>
      </c>
      <c r="I420" s="13"/>
      <c r="J420" s="13"/>
      <c r="K420" s="15" t="s">
        <v>2817</v>
      </c>
      <c r="L420" s="38" t="str">
        <f t="shared" si="9"/>
        <v>2026-04-14hagay.shpaisman@biu.ac.il</v>
      </c>
    </row>
    <row r="421" spans="1:12" ht="15" customHeight="1">
      <c r="A421" s="68">
        <f>IF(tblOutreachLog[[#This Row],[Interaction Date]]&lt;&gt;0,ROW()-1,"")</f>
        <v>420</v>
      </c>
      <c r="B421" s="13">
        <v>46126</v>
      </c>
      <c r="C421" s="15" t="s">
        <v>733</v>
      </c>
      <c r="D421" s="63" t="str">
        <f>IFERROR(INDEX(Contacts!$B:$B,MATCH(C421,Contacts!$F:$F,0))&amp;" "&amp;INDEX(Contacts!$C:$C,MATCH(C421,Contacts!$F:$F,0)),"")</f>
        <v>אדם לב</v>
      </c>
      <c r="E421" s="64" t="str">
        <f>IFERROR(INDEX(Contacts!$E:$E,MATCH(C421,Contacts!$F:$F,0)),"")</f>
        <v>מקורות</v>
      </c>
      <c r="F421" s="9" t="s">
        <v>9</v>
      </c>
      <c r="G421" t="s">
        <v>3394</v>
      </c>
      <c r="H421" s="15" t="s">
        <v>2105</v>
      </c>
      <c r="I421" s="13"/>
      <c r="J421" s="13"/>
      <c r="K421" s="15" t="s">
        <v>2817</v>
      </c>
      <c r="L421" s="38" t="str">
        <f t="shared" si="9"/>
        <v>2026-04-141adamleb@gmail.com</v>
      </c>
    </row>
    <row r="422" spans="1:12" ht="15" customHeight="1">
      <c r="A422" s="68">
        <f>IF(tblOutreachLog[[#This Row],[Interaction Date]]&lt;&gt;0,ROW()-1,"")</f>
        <v>421</v>
      </c>
      <c r="B422" s="13">
        <v>46126</v>
      </c>
      <c r="C422" s="15" t="s">
        <v>1029</v>
      </c>
      <c r="D422" s="63" t="str">
        <f>IFERROR(INDEX(Contacts!$B:$B,MATCH(C422,Contacts!$F:$F,0))&amp;" "&amp;INDEX(Contacts!$C:$C,MATCH(C422,Contacts!$F:$F,0)),"")</f>
        <v>אלישיב מינרבי</v>
      </c>
      <c r="E422" s="64" t="str">
        <f>IFERROR(INDEX(Contacts!$E:$E,MATCH(C422,Contacts!$F:$F,0)),"")</f>
        <v>מרכז החדשנות דרום בע"מ</v>
      </c>
      <c r="F422" s="9" t="s">
        <v>9</v>
      </c>
      <c r="G422" t="s">
        <v>3369</v>
      </c>
      <c r="H422" s="15" t="s">
        <v>2105</v>
      </c>
      <c r="I422" s="13"/>
      <c r="J422" s="13"/>
      <c r="K422" s="15" t="s">
        <v>2817</v>
      </c>
      <c r="L422" s="38" t="str">
        <f t="shared" si="9"/>
        <v>2026-04-14elyashiv@darom.life</v>
      </c>
    </row>
    <row r="423" spans="1:12" ht="15" customHeight="1">
      <c r="A423" s="68">
        <f>IF(tblOutreachLog[[#This Row],[Interaction Date]]&lt;&gt;0,ROW()-1,"")</f>
        <v>422</v>
      </c>
      <c r="B423" s="13">
        <v>46126</v>
      </c>
      <c r="C423" s="15" t="s">
        <v>759</v>
      </c>
      <c r="D423" s="63" t="str">
        <f>IFERROR(INDEX(Contacts!$B:$B,MATCH(C423,Contacts!$F:$F,0))&amp;" "&amp;INDEX(Contacts!$C:$C,MATCH(C423,Contacts!$F:$F,0)),"")</f>
        <v>אימן סיף</v>
      </c>
      <c r="E423" s="64" t="str">
        <f>IFERROR(INDEX(Contacts!$E:$E,MATCH(C423,Contacts!$F:$F,0)),"")</f>
        <v>מרכז החדשנות נורת' מד בע"מ</v>
      </c>
      <c r="F423" s="9" t="s">
        <v>9</v>
      </c>
      <c r="G423" t="s">
        <v>3369</v>
      </c>
      <c r="H423" s="15" t="s">
        <v>2105</v>
      </c>
      <c r="I423" s="13"/>
      <c r="J423" s="13"/>
      <c r="K423" s="15" t="s">
        <v>2817</v>
      </c>
      <c r="L423" s="38" t="str">
        <f t="shared" si="9"/>
        <v>2026-04-14aiman.saif@portlandtrust.org.il</v>
      </c>
    </row>
    <row r="424" spans="1:12" ht="15" customHeight="1">
      <c r="A424" s="68">
        <f>IF(tblOutreachLog[[#This Row],[Interaction Date]]&lt;&gt;0,ROW()-1,"")</f>
        <v>423</v>
      </c>
      <c r="B424" s="13">
        <v>46126</v>
      </c>
      <c r="C424" s="15" t="s">
        <v>1485</v>
      </c>
      <c r="D424" s="63" t="str">
        <f>IFERROR(INDEX(Contacts!$B:$B,MATCH(C424,Contacts!$F:$F,0))&amp;" "&amp;INDEX(Contacts!$C:$C,MATCH(C424,Contacts!$F:$F,0)),"")</f>
        <v>נחום נווה</v>
      </c>
      <c r="E424" s="64" t="str">
        <f>IFERROR(INDEX(Contacts!$E:$E,MATCH(C424,Contacts!$F:$F,0)),"")</f>
        <v>מרכז הפלסטיקה והגומי לישראל (1986)</v>
      </c>
      <c r="F424" s="9" t="s">
        <v>9</v>
      </c>
      <c r="G424" t="s">
        <v>3402</v>
      </c>
      <c r="H424" s="15" t="s">
        <v>2105</v>
      </c>
      <c r="I424" s="13"/>
      <c r="J424" s="13"/>
      <c r="K424" s="15" t="s">
        <v>2817</v>
      </c>
      <c r="L424" s="38" t="str">
        <f t="shared" si="9"/>
        <v>2026-04-14naumn@shenkar.ac.il</v>
      </c>
    </row>
    <row r="425" spans="1:12" ht="15" customHeight="1">
      <c r="A425" s="68">
        <f>IF(tblOutreachLog[[#This Row],[Interaction Date]]&lt;&gt;0,ROW()-1,"")</f>
        <v>424</v>
      </c>
      <c r="B425" s="13">
        <v>46126</v>
      </c>
      <c r="C425" s="15" t="s">
        <v>1729</v>
      </c>
      <c r="D425" s="63" t="str">
        <f>IFERROR(INDEX(Contacts!$B:$B,MATCH(C425,Contacts!$F:$F,0))&amp;" "&amp;INDEX(Contacts!$C:$C,MATCH(C425,Contacts!$F:$F,0)),"")</f>
        <v>יפתח סבאג</v>
      </c>
      <c r="E425" s="64" t="str">
        <f>IFERROR(INDEX(Contacts!$E:$E,MATCH(C425,Contacts!$F:$F,0)),"")</f>
        <v>מרכז לביטחון וחוסן - נגב מערבי בע"מ</v>
      </c>
      <c r="F425" s="9" t="s">
        <v>9</v>
      </c>
      <c r="G425" t="s">
        <v>3369</v>
      </c>
      <c r="H425" s="15" t="s">
        <v>2105</v>
      </c>
      <c r="I425" s="13"/>
      <c r="J425" s="13"/>
      <c r="K425" s="15" t="s">
        <v>2817</v>
      </c>
      <c r="L425" s="38" t="str">
        <f t="shared" si="9"/>
        <v>2026-04-14saleh@hamitbah.com</v>
      </c>
    </row>
    <row r="426" spans="1:12" ht="15" customHeight="1">
      <c r="A426" s="68">
        <f>IF(tblOutreachLog[[#This Row],[Interaction Date]]&lt;&gt;0,ROW()-1,"")</f>
        <v>425</v>
      </c>
      <c r="B426" s="13">
        <v>46126</v>
      </c>
      <c r="C426" s="15" t="s">
        <v>1592</v>
      </c>
      <c r="D426" s="63" t="str">
        <f>IFERROR(INDEX(Contacts!$B:$B,MATCH(C426,Contacts!$F:$F,0))&amp;" "&amp;INDEX(Contacts!$C:$C,MATCH(C426,Contacts!$F:$F,0)),"")</f>
        <v>עפרי מן</v>
      </c>
      <c r="E426" s="64" t="str">
        <f>IFERROR(INDEX(Contacts!$E:$E,MATCH(C426,Contacts!$F:$F,0)),"")</f>
        <v>מרכז לטיפוח יזמות חיפה - מט"י</v>
      </c>
      <c r="F426" s="9" t="s">
        <v>9</v>
      </c>
      <c r="G426" t="s">
        <v>3414</v>
      </c>
      <c r="H426" s="15" t="s">
        <v>2105</v>
      </c>
      <c r="I426" s="13"/>
      <c r="J426" s="13"/>
      <c r="K426" s="15" t="s">
        <v>2817</v>
      </c>
      <c r="L426" s="38" t="str">
        <f t="shared" si="9"/>
        <v>2026-04-14ofrimann1@gmail.com</v>
      </c>
    </row>
    <row r="427" spans="1:12" ht="15" customHeight="1">
      <c r="A427" s="68">
        <f>IF(tblOutreachLog[[#This Row],[Interaction Date]]&lt;&gt;0,ROW()-1,"")</f>
        <v>426</v>
      </c>
      <c r="B427" s="13">
        <v>46126</v>
      </c>
      <c r="C427" s="15" t="s">
        <v>1717</v>
      </c>
      <c r="D427" s="63" t="str">
        <f>IFERROR(INDEX(Contacts!$B:$B,MATCH(C427,Contacts!$F:$F,0))&amp;" "&amp;INDEX(Contacts!$C:$C,MATCH(C427,Contacts!$F:$F,0)),"")</f>
        <v>רועי מונין</v>
      </c>
      <c r="E427" s="64" t="str">
        <f>IFERROR(INDEX(Contacts!$E:$E,MATCH(C427,Contacts!$F:$F,0)),"")</f>
        <v>נוצר בירושלים ע״ר</v>
      </c>
      <c r="F427" s="9" t="s">
        <v>9</v>
      </c>
      <c r="G427" t="s">
        <v>3369</v>
      </c>
      <c r="H427" s="15" t="s">
        <v>2105</v>
      </c>
      <c r="I427" s="13"/>
      <c r="J427" s="13"/>
      <c r="K427" s="15" t="s">
        <v>2817</v>
      </c>
      <c r="L427" s="38" t="str">
        <f t="shared" si="9"/>
        <v>2026-04-14roy@madeinjlm.org</v>
      </c>
    </row>
    <row r="428" spans="1:12" ht="15" customHeight="1">
      <c r="A428" s="68">
        <f>IF(tblOutreachLog[[#This Row],[Interaction Date]]&lt;&gt;0,ROW()-1,"")</f>
        <v>427</v>
      </c>
      <c r="B428" s="13">
        <v>46126</v>
      </c>
      <c r="C428" s="15" t="s">
        <v>1615</v>
      </c>
      <c r="D428" s="63" t="str">
        <f>IFERROR(INDEX(Contacts!$B:$B,MATCH(C428,Contacts!$F:$F,0))&amp;" "&amp;INDEX(Contacts!$C:$C,MATCH(C428,Contacts!$F:$F,0)),"")</f>
        <v>אופירה מלמד</v>
      </c>
      <c r="E428" s="64" t="str">
        <f>IFERROR(INDEX(Contacts!$E:$E,MATCH(C428,Contacts!$F:$F,0)),"")</f>
        <v>ניטרופיקס</v>
      </c>
      <c r="F428" s="9" t="s">
        <v>9</v>
      </c>
      <c r="G428" t="s">
        <v>3365</v>
      </c>
      <c r="H428" s="15" t="s">
        <v>2105</v>
      </c>
      <c r="I428" s="13" t="s">
        <v>3416</v>
      </c>
      <c r="J428" s="13">
        <v>46296</v>
      </c>
      <c r="K428" s="15" t="s">
        <v>2819</v>
      </c>
      <c r="L428" s="38" t="str">
        <f t="shared" si="9"/>
        <v>2026-04-14ophira.melamed@nitro-fix.com</v>
      </c>
    </row>
    <row r="429" spans="1:12" ht="15" customHeight="1">
      <c r="A429" s="68">
        <f>IF(tblOutreachLog[[#This Row],[Interaction Date]]&lt;&gt;0,ROW()-1,"")</f>
        <v>428</v>
      </c>
      <c r="B429" s="13">
        <v>46126</v>
      </c>
      <c r="C429" s="15" t="s">
        <v>1187</v>
      </c>
      <c r="D429" s="63" t="str">
        <f>IFERROR(INDEX(Contacts!$B:$B,MATCH(C429,Contacts!$F:$F,0))&amp;" "&amp;INDEX(Contacts!$C:$C,MATCH(C429,Contacts!$F:$F,0)),"")</f>
        <v>עילי מרום</v>
      </c>
      <c r="E429" s="64" t="str">
        <f>IFERROR(INDEX(Contacts!$E:$E,MATCH(C429,Contacts!$F:$F,0)),"")</f>
        <v>ננוז מדיקל</v>
      </c>
      <c r="F429" s="9" t="s">
        <v>9</v>
      </c>
      <c r="G429" t="s">
        <v>3394</v>
      </c>
      <c r="H429" s="15" t="s">
        <v>2105</v>
      </c>
      <c r="I429" s="13"/>
      <c r="J429" s="13"/>
      <c r="K429" s="15" t="s">
        <v>2817</v>
      </c>
      <c r="L429" s="38" t="str">
        <f t="shared" si="9"/>
        <v>2026-04-14ilaym@nanosemed.com</v>
      </c>
    </row>
    <row r="430" spans="1:12" ht="15" customHeight="1">
      <c r="A430" s="68">
        <f>IF(tblOutreachLog[[#This Row],[Interaction Date]]&lt;&gt;0,ROW()-1,"")</f>
        <v>429</v>
      </c>
      <c r="B430" s="13">
        <v>46126</v>
      </c>
      <c r="C430" s="15" t="s">
        <v>1927</v>
      </c>
      <c r="D430" s="63" t="str">
        <f>IFERROR(INDEX(Contacts!$B:$B,MATCH(C430,Contacts!$F:$F,0))&amp;" "&amp;INDEX(Contacts!$C:$C,MATCH(C430,Contacts!$F:$F,0)),"")</f>
        <v>יוסף פראג'</v>
      </c>
      <c r="E430" s="64" t="str">
        <f>IFERROR(INDEX(Contacts!$E:$E,MATCH(C430,Contacts!$F:$F,0)),"")</f>
        <v>סולרה פוטו-וולטאי בע"מ</v>
      </c>
      <c r="F430" s="9" t="s">
        <v>9</v>
      </c>
      <c r="G430" t="s">
        <v>3365</v>
      </c>
      <c r="H430" s="15" t="s">
        <v>2105</v>
      </c>
      <c r="I430" s="13"/>
      <c r="J430" s="13"/>
      <c r="K430" s="15" t="s">
        <v>2817</v>
      </c>
      <c r="L430" s="38" t="str">
        <f t="shared" si="9"/>
        <v>2026-04-14yousef@solra-pv.com</v>
      </c>
    </row>
    <row r="431" spans="1:12" ht="15" customHeight="1">
      <c r="A431" s="68">
        <f>IF(tblOutreachLog[[#This Row],[Interaction Date]]&lt;&gt;0,ROW()-1,"")</f>
        <v>430</v>
      </c>
      <c r="B431" s="13">
        <v>46126</v>
      </c>
      <c r="C431" s="15" t="s">
        <v>1864</v>
      </c>
      <c r="D431" s="63" t="str">
        <f>IFERROR(INDEX(Contacts!$B:$B,MATCH(C431,Contacts!$F:$F,0))&amp;" "&amp;INDEX(Contacts!$C:$C,MATCH(C431,Contacts!$F:$F,0)),"")</f>
        <v>וסים ג'ראיסה</v>
      </c>
      <c r="E431" s="64" t="str">
        <f>IFERROR(INDEX(Contacts!$E:$E,MATCH(C431,Contacts!$F:$F,0)),"")</f>
        <v>סורליס בע"מ</v>
      </c>
      <c r="F431" s="9" t="s">
        <v>9</v>
      </c>
      <c r="G431" t="s">
        <v>3367</v>
      </c>
      <c r="H431" s="15" t="s">
        <v>2105</v>
      </c>
      <c r="I431" s="13"/>
      <c r="J431" s="13"/>
      <c r="K431" s="15" t="s">
        <v>2817</v>
      </c>
      <c r="L431" s="38" t="str">
        <f t="shared" si="9"/>
        <v>2026-04-14waseem@sorlis.com</v>
      </c>
    </row>
    <row r="432" spans="1:12" ht="15" customHeight="1">
      <c r="A432" s="68">
        <f>IF(tblOutreachLog[[#This Row],[Interaction Date]]&lt;&gt;0,ROW()-1,"")</f>
        <v>431</v>
      </c>
      <c r="B432" s="13">
        <v>46126</v>
      </c>
      <c r="C432" s="15" t="s">
        <v>1849</v>
      </c>
      <c r="D432" s="63" t="str">
        <f>IFERROR(INDEX(Contacts!$B:$B,MATCH(C432,Contacts!$F:$F,0))&amp;" "&amp;INDEX(Contacts!$C:$C,MATCH(C432,Contacts!$F:$F,0)),"")</f>
        <v>אודי רביב</v>
      </c>
      <c r="E432" s="64" t="str">
        <f>IFERROR(INDEX(Contacts!$E:$E,MATCH(C432,Contacts!$F:$F,0)),"")</f>
        <v>סיגנלאדג' סיסטמס</v>
      </c>
      <c r="F432" s="9" t="s">
        <v>9</v>
      </c>
      <c r="G432" t="s">
        <v>3394</v>
      </c>
      <c r="H432" s="15" t="s">
        <v>2105</v>
      </c>
      <c r="I432" s="13"/>
      <c r="J432" s="13"/>
      <c r="K432" s="15" t="s">
        <v>2817</v>
      </c>
      <c r="L432" s="38" t="str">
        <f t="shared" si="9"/>
        <v>2026-04-14udiraviv81@gmail.com</v>
      </c>
    </row>
    <row r="433" spans="1:12" ht="15" customHeight="1">
      <c r="A433" s="68">
        <f>IF(tblOutreachLog[[#This Row],[Interaction Date]]&lt;&gt;0,ROW()-1,"")</f>
        <v>432</v>
      </c>
      <c r="B433" s="13">
        <v>46126</v>
      </c>
      <c r="C433" s="15" t="s">
        <v>1564</v>
      </c>
      <c r="D433" s="63" t="str">
        <f>IFERROR(INDEX(Contacts!$B:$B,MATCH(C433,Contacts!$F:$F,0))&amp;" "&amp;INDEX(Contacts!$C:$C,MATCH(C433,Contacts!$F:$F,0)),"")</f>
        <v>עודד עינת</v>
      </c>
      <c r="E433" s="64" t="str">
        <f>IFERROR(INDEX(Contacts!$E:$E,MATCH(C433,Contacts!$F:$F,0)),"")</f>
        <v>סייפפילדס טכנולוגיות בע"מ</v>
      </c>
      <c r="F433" s="9" t="s">
        <v>9</v>
      </c>
      <c r="G433" t="s">
        <v>3400</v>
      </c>
      <c r="H433" s="15" t="s">
        <v>2105</v>
      </c>
      <c r="I433" s="13"/>
      <c r="J433" s="13"/>
      <c r="K433" s="15" t="s">
        <v>2817</v>
      </c>
      <c r="L433" s="38" t="str">
        <f t="shared" ref="L433:L464" si="10">TEXT(B433,"YYYY-MM-DD")&amp;C433</f>
        <v>2026-04-14oded@safefields-tech.com</v>
      </c>
    </row>
    <row r="434" spans="1:12" ht="15" customHeight="1">
      <c r="A434" s="68">
        <f>IF(tblOutreachLog[[#This Row],[Interaction Date]]&lt;&gt;0,ROW()-1,"")</f>
        <v>433</v>
      </c>
      <c r="B434" s="13">
        <v>46126</v>
      </c>
      <c r="C434" s="15" t="s">
        <v>1862</v>
      </c>
      <c r="D434" s="63" t="str">
        <f>IFERROR(INDEX(Contacts!$B:$B,MATCH(C434,Contacts!$F:$F,0))&amp;" "&amp;INDEX(Contacts!$C:$C,MATCH(C434,Contacts!$F:$F,0)),"")</f>
        <v>נדב וולך</v>
      </c>
      <c r="E434" s="64" t="str">
        <f>IFERROR(INDEX(Contacts!$E:$E,MATCH(C434,Contacts!$F:$F,0)),"")</f>
        <v>סייקיו אבטחת מידע פוסט קוואנטית בע"מ</v>
      </c>
      <c r="F434" s="9" t="s">
        <v>9</v>
      </c>
      <c r="G434" t="s">
        <v>3365</v>
      </c>
      <c r="H434" s="15" t="s">
        <v>2105</v>
      </c>
      <c r="I434" s="13"/>
      <c r="J434" s="13"/>
      <c r="K434" s="15" t="s">
        <v>2817</v>
      </c>
      <c r="L434" s="38" t="str">
        <f t="shared" si="10"/>
        <v>2026-04-14voloch@post.bgu.ac.il</v>
      </c>
    </row>
    <row r="435" spans="1:12" ht="15" customHeight="1">
      <c r="A435" s="68">
        <f>IF(tblOutreachLog[[#This Row],[Interaction Date]]&lt;&gt;0,ROW()-1,"")</f>
        <v>434</v>
      </c>
      <c r="B435" s="13">
        <v>46126</v>
      </c>
      <c r="C435" s="15" t="s">
        <v>1851</v>
      </c>
      <c r="D435" s="63" t="str">
        <f>IFERROR(INDEX(Contacts!$B:$B,MATCH(C435,Contacts!$F:$F,0))&amp;" "&amp;INDEX(Contacts!$C:$C,MATCH(C435,Contacts!$F:$F,0)),"")</f>
        <v>אורי שמש</v>
      </c>
      <c r="E435" s="64" t="str">
        <f>IFERROR(INDEX(Contacts!$E:$E,MATCH(C435,Contacts!$F:$F,0)),"")</f>
        <v>סינוביישן אילת אילות בע"מ</v>
      </c>
      <c r="F435" s="9" t="s">
        <v>9</v>
      </c>
      <c r="G435" t="s">
        <v>3369</v>
      </c>
      <c r="H435" s="15" t="s">
        <v>2105</v>
      </c>
      <c r="I435" s="13"/>
      <c r="J435" s="13"/>
      <c r="K435" s="15" t="s">
        <v>2817</v>
      </c>
      <c r="L435" s="38" t="str">
        <f t="shared" si="10"/>
        <v>2026-04-14uri@seanovation.org</v>
      </c>
    </row>
    <row r="436" spans="1:12" ht="15" customHeight="1">
      <c r="A436" s="68">
        <f>IF(tblOutreachLog[[#This Row],[Interaction Date]]&lt;&gt;0,ROW()-1,"")</f>
        <v>435</v>
      </c>
      <c r="B436" s="13">
        <v>46126</v>
      </c>
      <c r="C436" s="15" t="s">
        <v>1195</v>
      </c>
      <c r="D436" s="63" t="str">
        <f>IFERROR(INDEX(Contacts!$B:$B,MATCH(C436,Contacts!$F:$F,0))&amp;" "&amp;INDEX(Contacts!$C:$C,MATCH(C436,Contacts!$F:$F,0)),"")</f>
        <v>גבריאל קלין</v>
      </c>
      <c r="E436" s="64" t="str">
        <f>IFERROR(INDEX(Contacts!$E:$E,MATCH(C436,Contacts!$F:$F,0)),"")</f>
        <v>סינובל ביופלסטיק</v>
      </c>
      <c r="F436" s="9" t="s">
        <v>9</v>
      </c>
      <c r="G436" t="s">
        <v>3409</v>
      </c>
      <c r="H436" s="15" t="s">
        <v>2105</v>
      </c>
      <c r="I436" s="13"/>
      <c r="J436" s="13"/>
      <c r="K436" s="15" t="s">
        <v>2817</v>
      </c>
      <c r="L436" s="38" t="str">
        <f t="shared" si="10"/>
        <v>2026-04-14info.seanovel@gmail.com</v>
      </c>
    </row>
    <row r="437" spans="1:12" ht="15" customHeight="1">
      <c r="A437" s="68">
        <f>IF(tblOutreachLog[[#This Row],[Interaction Date]]&lt;&gt;0,ROW()-1,"")</f>
        <v>436</v>
      </c>
      <c r="B437" s="13">
        <v>46126</v>
      </c>
      <c r="C437" s="15" t="s">
        <v>1425</v>
      </c>
      <c r="D437" s="63" t="str">
        <f>IFERROR(INDEX(Contacts!$B:$B,MATCH(C437,Contacts!$F:$F,0))&amp;" "&amp;INDEX(Contacts!$C:$C,MATCH(C437,Contacts!$F:$F,0)),"")</f>
        <v>אלעד מלר</v>
      </c>
      <c r="E437" s="64" t="str">
        <f>IFERROR(INDEX(Contacts!$E:$E,MATCH(C437,Contacts!$F:$F,0)),"")</f>
        <v>סלופלאקס בע"מ</v>
      </c>
      <c r="F437" s="9" t="s">
        <v>9</v>
      </c>
      <c r="G437" t="s">
        <v>3396</v>
      </c>
      <c r="H437" s="15" t="s">
        <v>2105</v>
      </c>
      <c r="I437" s="13"/>
      <c r="J437" s="13"/>
      <c r="K437" s="15" t="s">
        <v>2817</v>
      </c>
      <c r="L437" s="38" t="str">
        <f t="shared" si="10"/>
        <v>2026-04-14mellerelad@gmail.com</v>
      </c>
    </row>
    <row r="438" spans="1:12" ht="15" customHeight="1">
      <c r="A438" s="68">
        <f>IF(tblOutreachLog[[#This Row],[Interaction Date]]&lt;&gt;0,ROW()-1,"")</f>
        <v>437</v>
      </c>
      <c r="B438" s="13">
        <v>46126</v>
      </c>
      <c r="C438" s="15" t="s">
        <v>1284</v>
      </c>
      <c r="D438" s="63" t="str">
        <f>IFERROR(INDEX(Contacts!$B:$B,MATCH(C438,Contacts!$F:$F,0))&amp;" "&amp;INDEX(Contacts!$C:$C,MATCH(C438,Contacts!$F:$F,0)),"")</f>
        <v>צחי מושקין</v>
      </c>
      <c r="E438" s="64" t="str">
        <f>IFERROR(INDEX(Contacts!$E:$E,MATCH(C438,Contacts!$F:$F,0)),"")</f>
        <v>סנסטיישן טכנולוגיות בע"מ</v>
      </c>
      <c r="F438" s="9" t="s">
        <v>9</v>
      </c>
      <c r="G438" t="s">
        <v>3365</v>
      </c>
      <c r="H438" s="15" t="s">
        <v>2105</v>
      </c>
      <c r="I438" s="13"/>
      <c r="J438" s="13"/>
      <c r="K438" s="15" t="s">
        <v>2817</v>
      </c>
      <c r="L438" s="38" t="str">
        <f t="shared" si="10"/>
        <v>2026-04-14isaac@senstation-tech.com</v>
      </c>
    </row>
    <row r="439" spans="1:12" ht="15" customHeight="1">
      <c r="A439" s="68">
        <f>IF(tblOutreachLog[[#This Row],[Interaction Date]]&lt;&gt;0,ROW()-1,"")</f>
        <v>438</v>
      </c>
      <c r="B439" s="13">
        <v>46126</v>
      </c>
      <c r="C439" s="15" t="s">
        <v>1038</v>
      </c>
      <c r="D439" s="63" t="str">
        <f>IFERROR(INDEX(Contacts!$B:$B,MATCH(C439,Contacts!$F:$F,0))&amp;" "&amp;INDEX(Contacts!$C:$C,MATCH(C439,Contacts!$F:$F,0)),"")</f>
        <v>ערן אליאס</v>
      </c>
      <c r="E439" s="64" t="str">
        <f>IFERROR(INDEX(Contacts!$E:$E,MATCH(C439,Contacts!$F:$F,0)),"")</f>
        <v>ספארק לאבס בע"מ</v>
      </c>
      <c r="F439" s="9" t="s">
        <v>9</v>
      </c>
      <c r="G439" t="s">
        <v>3369</v>
      </c>
      <c r="H439" s="15" t="s">
        <v>2105</v>
      </c>
      <c r="I439" s="13"/>
      <c r="J439" s="13"/>
      <c r="K439" s="15" t="s">
        <v>2817</v>
      </c>
      <c r="L439" s="38" t="str">
        <f t="shared" si="10"/>
        <v>2026-04-14eranelias@gmail.com</v>
      </c>
    </row>
    <row r="440" spans="1:12" ht="15" customHeight="1">
      <c r="A440" s="68">
        <f>IF(tblOutreachLog[[#This Row],[Interaction Date]]&lt;&gt;0,ROW()-1,"")</f>
        <v>439</v>
      </c>
      <c r="B440" s="13">
        <v>46126</v>
      </c>
      <c r="C440" s="15" t="s">
        <v>1163</v>
      </c>
      <c r="D440" s="63" t="str">
        <f>IFERROR(INDEX(Contacts!$B:$B,MATCH(C440,Contacts!$F:$F,0))&amp;" "&amp;INDEX(Contacts!$C:$C,MATCH(C440,Contacts!$F:$F,0)),"")</f>
        <v>חני ברהום</v>
      </c>
      <c r="E440" s="64" t="str">
        <f>IFERROR(INDEX(Contacts!$E:$E,MATCH(C440,Contacts!$F:$F,0)),"")</f>
        <v>עמותת אלזהראוי</v>
      </c>
      <c r="F440" s="9" t="s">
        <v>9</v>
      </c>
      <c r="G440" t="s">
        <v>3365</v>
      </c>
      <c r="H440" s="15" t="s">
        <v>2105</v>
      </c>
      <c r="I440" s="13"/>
      <c r="J440" s="13"/>
      <c r="K440" s="15" t="s">
        <v>2817</v>
      </c>
      <c r="L440" s="38" t="str">
        <f t="shared" si="10"/>
        <v>2026-04-14hanibarhum@trd-center.org</v>
      </c>
    </row>
    <row r="441" spans="1:12" ht="15" customHeight="1">
      <c r="A441" s="68">
        <f>IF(tblOutreachLog[[#This Row],[Interaction Date]]&lt;&gt;0,ROW()-1,"")</f>
        <v>440</v>
      </c>
      <c r="B441" s="13">
        <v>46126</v>
      </c>
      <c r="C441" s="15" t="s">
        <v>1897</v>
      </c>
      <c r="D441" s="63" t="str">
        <f>IFERROR(INDEX(Contacts!$B:$B,MATCH(C441,Contacts!$F:$F,0))&amp;" "&amp;INDEX(Contacts!$C:$C,MATCH(C441,Contacts!$F:$F,0)),"")</f>
        <v>יואב מילוא</v>
      </c>
      <c r="E441" s="64" t="str">
        <f>IFERROR(INDEX(Contacts!$E:$E,MATCH(C441,Contacts!$F:$F,0)),"")</f>
        <v>עתידים חברה לתעשיות עתירות מדע בע"מ (סיטיזון)</v>
      </c>
      <c r="F441" s="9" t="s">
        <v>9</v>
      </c>
      <c r="G441" t="s">
        <v>3369</v>
      </c>
      <c r="H441" s="15" t="s">
        <v>2105</v>
      </c>
      <c r="I441" s="13"/>
      <c r="J441" s="13"/>
      <c r="K441" s="15" t="s">
        <v>2817</v>
      </c>
      <c r="L441" s="38" t="str">
        <f t="shared" si="10"/>
        <v>2026-04-14yoav@city-zone.co</v>
      </c>
    </row>
    <row r="442" spans="1:12" ht="15" customHeight="1">
      <c r="A442" s="68">
        <f>IF(tblOutreachLog[[#This Row],[Interaction Date]]&lt;&gt;0,ROW()-1,"")</f>
        <v>441</v>
      </c>
      <c r="B442" s="13">
        <v>46126</v>
      </c>
      <c r="C442" s="15" t="s">
        <v>1180</v>
      </c>
      <c r="D442" s="63" t="str">
        <f>IFERROR(INDEX(Contacts!$B:$B,MATCH(C442,Contacts!$F:$F,0))&amp;" "&amp;INDEX(Contacts!$C:$C,MATCH(C442,Contacts!$F:$F,0)),"")</f>
        <v>עידו סדן</v>
      </c>
      <c r="E442" s="64" t="str">
        <f>IFERROR(INDEX(Contacts!$E:$E,MATCH(C442,Contacts!$F:$F,0)),"")</f>
        <v>פאנטום גי</v>
      </c>
      <c r="F442" s="9" t="s">
        <v>9</v>
      </c>
      <c r="G442" t="s">
        <v>3365</v>
      </c>
      <c r="H442" s="15" t="s">
        <v>2105</v>
      </c>
      <c r="I442" s="13"/>
      <c r="J442" s="13"/>
      <c r="K442" s="15" t="s">
        <v>2817</v>
      </c>
      <c r="L442" s="38" t="str">
        <f t="shared" si="10"/>
        <v>2026-04-14ido@phantomgi.com</v>
      </c>
    </row>
    <row r="443" spans="1:12" ht="15" customHeight="1">
      <c r="A443" s="68">
        <f>IF(tblOutreachLog[[#This Row],[Interaction Date]]&lt;&gt;0,ROW()-1,"")</f>
        <v>442</v>
      </c>
      <c r="B443" s="13">
        <v>46126</v>
      </c>
      <c r="C443" s="15" t="s">
        <v>1003</v>
      </c>
      <c r="D443" s="63" t="str">
        <f>IFERROR(INDEX(Contacts!$B:$B,MATCH(C443,Contacts!$F:$F,0))&amp;" "&amp;INDEX(Contacts!$C:$C,MATCH(C443,Contacts!$F:$F,0)),"")</f>
        <v>עינב מרגלית</v>
      </c>
      <c r="E443" s="64" t="str">
        <f>IFERROR(INDEX(Contacts!$E:$E,MATCH(C443,Contacts!$F:$F,0)),"")</f>
        <v>פבריקום איי או טי בע"מ</v>
      </c>
      <c r="F443" s="9" t="s">
        <v>9</v>
      </c>
      <c r="G443" t="s">
        <v>3409</v>
      </c>
      <c r="H443" s="15" t="s">
        <v>2105</v>
      </c>
      <c r="I443" s="13"/>
      <c r="J443" s="13"/>
      <c r="K443" s="15" t="s">
        <v>2817</v>
      </c>
      <c r="L443" s="38" t="str">
        <f t="shared" si="10"/>
        <v>2026-04-14einav166@gmail.com</v>
      </c>
    </row>
    <row r="444" spans="1:12" ht="15" customHeight="1">
      <c r="A444" s="68">
        <f>IF(tblOutreachLog[[#This Row],[Interaction Date]]&lt;&gt;0,ROW()-1,"")</f>
        <v>443</v>
      </c>
      <c r="B444" s="13">
        <v>46126</v>
      </c>
      <c r="C444" s="15" t="s">
        <v>1130</v>
      </c>
      <c r="D444" s="63" t="str">
        <f>IFERROR(INDEX(Contacts!$B:$B,MATCH(C444,Contacts!$F:$F,0))&amp;" "&amp;INDEX(Contacts!$C:$C,MATCH(C444,Contacts!$F:$F,0)),"")</f>
        <v>גור אריה יהודה בראון</v>
      </c>
      <c r="E444" s="64" t="str">
        <f>IFERROR(INDEX(Contacts!$E:$E,MATCH(C444,Contacts!$F:$F,0)),"")</f>
        <v>פוטופיל דיינמיקס בע"מ</v>
      </c>
      <c r="F444" s="9" t="s">
        <v>9</v>
      </c>
      <c r="G444" t="s">
        <v>3365</v>
      </c>
      <c r="H444" s="15" t="s">
        <v>2105</v>
      </c>
      <c r="I444" s="13"/>
      <c r="J444" s="13"/>
      <c r="K444" s="15" t="s">
        <v>2817</v>
      </c>
      <c r="L444" s="38" t="str">
        <f t="shared" si="10"/>
        <v>2026-04-14guribraun@gmail.com</v>
      </c>
    </row>
    <row r="445" spans="1:12" ht="15" customHeight="1">
      <c r="A445" s="68">
        <f>IF(tblOutreachLog[[#This Row],[Interaction Date]]&lt;&gt;0,ROW()-1,"")</f>
        <v>444</v>
      </c>
      <c r="B445" s="13">
        <v>46126</v>
      </c>
      <c r="C445" s="15" t="s">
        <v>1750</v>
      </c>
      <c r="D445" s="63" t="str">
        <f>IFERROR(INDEX(Contacts!$B:$B,MATCH(C445,Contacts!$F:$F,0))&amp;" "&amp;INDEX(Contacts!$C:$C,MATCH(C445,Contacts!$F:$F,0)),"")</f>
        <v>שי שחל</v>
      </c>
      <c r="E445" s="64" t="str">
        <f>IFERROR(INDEX(Contacts!$E:$E,MATCH(C445,Contacts!$F:$F,0)),"")</f>
        <v>פוליגרין בע"מ</v>
      </c>
      <c r="F445" s="9" t="s">
        <v>9</v>
      </c>
      <c r="G445" t="s">
        <v>3409</v>
      </c>
      <c r="H445" s="15" t="s">
        <v>2105</v>
      </c>
      <c r="I445" s="13"/>
      <c r="J445" s="13"/>
      <c r="K445" s="15" t="s">
        <v>2817</v>
      </c>
      <c r="L445" s="38" t="str">
        <f t="shared" si="10"/>
        <v>2026-04-14shai@polygreen-group.com</v>
      </c>
    </row>
    <row r="446" spans="1:12" ht="15" customHeight="1">
      <c r="A446" s="68">
        <f>IF(tblOutreachLog[[#This Row],[Interaction Date]]&lt;&gt;0,ROW()-1,"")</f>
        <v>445</v>
      </c>
      <c r="B446" s="13">
        <v>46126</v>
      </c>
      <c r="C446" s="15" t="s">
        <v>1388</v>
      </c>
      <c r="D446" s="63" t="str">
        <f>IFERROR(INDEX(Contacts!$B:$B,MATCH(C446,Contacts!$F:$F,0))&amp;" "&amp;INDEX(Contacts!$C:$C,MATCH(C446,Contacts!$F:$F,0)),"")</f>
        <v>מעוז הנדלמן</v>
      </c>
      <c r="E446" s="64" t="str">
        <f>IFERROR(INDEX(Contacts!$E:$E,MATCH(C446,Contacts!$F:$F,0)),"")</f>
        <v>פוקאל טכנולוגיה רפואית בע"מ</v>
      </c>
      <c r="F446" s="9" t="s">
        <v>9</v>
      </c>
      <c r="G446" t="s">
        <v>3365</v>
      </c>
      <c r="H446" s="15" t="s">
        <v>2105</v>
      </c>
      <c r="I446" s="13"/>
      <c r="J446" s="13"/>
      <c r="K446" s="15" t="s">
        <v>2817</v>
      </c>
      <c r="L446" s="38" t="str">
        <f t="shared" si="10"/>
        <v>2026-04-14maoz.h@focalmd.com</v>
      </c>
    </row>
    <row r="447" spans="1:12" ht="15" customHeight="1">
      <c r="A447" s="68">
        <f>IF(tblOutreachLog[[#This Row],[Interaction Date]]&lt;&gt;0,ROW()-1,"")</f>
        <v>446</v>
      </c>
      <c r="B447" s="13">
        <v>46126</v>
      </c>
      <c r="C447" s="15" t="s">
        <v>1053</v>
      </c>
      <c r="D447" s="63" t="str">
        <f>IFERROR(INDEX(Contacts!$B:$B,MATCH(C447,Contacts!$F:$F,0))&amp;" "&amp;INDEX(Contacts!$C:$C,MATCH(C447,Contacts!$F:$F,0)),"")</f>
        <v>אתי מטרני רייטן</v>
      </c>
      <c r="E447" s="64" t="str">
        <f>IFERROR(INDEX(Contacts!$E:$E,MATCH(C447,Contacts!$F:$F,0)),"")</f>
        <v>פורום המשקיעים בע"מ</v>
      </c>
      <c r="F447" s="9" t="s">
        <v>9</v>
      </c>
      <c r="G447" t="s">
        <v>3369</v>
      </c>
      <c r="H447" s="15" t="s">
        <v>2105</v>
      </c>
      <c r="I447" s="13"/>
      <c r="J447" s="13"/>
      <c r="K447" s="15" t="s">
        <v>2817</v>
      </c>
      <c r="L447" s="38" t="str">
        <f t="shared" si="10"/>
        <v>2026-04-14eti.mitrany@gmail.com</v>
      </c>
    </row>
    <row r="448" spans="1:12" ht="15" customHeight="1">
      <c r="A448" s="68">
        <f>IF(tblOutreachLog[[#This Row],[Interaction Date]]&lt;&gt;0,ROW()-1,"")</f>
        <v>447</v>
      </c>
      <c r="B448" s="13">
        <v>46126</v>
      </c>
      <c r="C448" s="15" t="s">
        <v>1032</v>
      </c>
      <c r="D448" s="63" t="str">
        <f>IFERROR(INDEX(Contacts!$B:$B,MATCH(C448,Contacts!$F:$F,0))&amp;" "&amp;INDEX(Contacts!$C:$C,MATCH(C448,Contacts!$F:$F,0)),"")</f>
        <v>ערן בלנקנשטיין</v>
      </c>
      <c r="E448" s="64" t="str">
        <f>IFERROR(INDEX(Contacts!$E:$E,MATCH(C448,Contacts!$F:$F,0)),"")</f>
        <v>פייז מדיקל בע"מ</v>
      </c>
      <c r="F448" s="9" t="s">
        <v>9</v>
      </c>
      <c r="G448" t="s">
        <v>3365</v>
      </c>
      <c r="H448" s="15" t="s">
        <v>2105</v>
      </c>
      <c r="I448" s="13"/>
      <c r="J448" s="13"/>
      <c r="K448" s="15" t="s">
        <v>2817</v>
      </c>
      <c r="L448" s="38" t="str">
        <f t="shared" si="10"/>
        <v>2026-04-14eran.blank@gmail.com</v>
      </c>
    </row>
    <row r="449" spans="1:12" ht="15" customHeight="1">
      <c r="A449" s="68">
        <f>IF(tblOutreachLog[[#This Row],[Interaction Date]]&lt;&gt;0,ROW()-1,"")</f>
        <v>448</v>
      </c>
      <c r="B449" s="13">
        <v>46126</v>
      </c>
      <c r="C449" s="15" t="s">
        <v>1305</v>
      </c>
      <c r="D449" s="63" t="str">
        <f>IFERROR(INDEX(Contacts!$B:$B,MATCH(C449,Contacts!$F:$F,0))&amp;" "&amp;INDEX(Contacts!$C:$C,MATCH(C449,Contacts!$F:$F,0)),"")</f>
        <v>ג'ניה יורקובסקי</v>
      </c>
      <c r="E449" s="64" t="str">
        <f>IFERROR(INDEX(Contacts!$E:$E,MATCH(C449,Contacts!$F:$F,0)),"")</f>
        <v>פיירוויב א.אי. בע"מ</v>
      </c>
      <c r="F449" s="9" t="s">
        <v>9</v>
      </c>
      <c r="G449" t="s">
        <v>3365</v>
      </c>
      <c r="H449" s="15" t="s">
        <v>2105</v>
      </c>
      <c r="I449" s="13"/>
      <c r="J449" s="13"/>
      <c r="K449" s="15" t="s">
        <v>2817</v>
      </c>
      <c r="L449" s="38" t="str">
        <f t="shared" si="10"/>
        <v>2026-04-14jenia@firewave.earth</v>
      </c>
    </row>
    <row r="450" spans="1:12" ht="15" customHeight="1">
      <c r="A450" s="68">
        <f>IF(tblOutreachLog[[#This Row],[Interaction Date]]&lt;&gt;0,ROW()-1,"")</f>
        <v>449</v>
      </c>
      <c r="B450" s="13">
        <v>46126</v>
      </c>
      <c r="C450" s="15" t="s">
        <v>1330</v>
      </c>
      <c r="D450" s="63" t="str">
        <f>IFERROR(INDEX(Contacts!$B:$B,MATCH(C450,Contacts!$F:$F,0))&amp;" "&amp;INDEX(Contacts!$C:$C,MATCH(C450,Contacts!$F:$F,0)),"")</f>
        <v>כפיר ניסים</v>
      </c>
      <c r="E450" s="64" t="str">
        <f>IFERROR(INDEX(Contacts!$E:$E,MATCH(C450,Contacts!$F:$F,0)),"")</f>
        <v>פיקומרס איי אי רובוטיקס בע"מ</v>
      </c>
      <c r="F450" s="9" t="s">
        <v>9</v>
      </c>
      <c r="G450" t="s">
        <v>3394</v>
      </c>
      <c r="H450" s="15" t="s">
        <v>2105</v>
      </c>
      <c r="I450" s="13"/>
      <c r="J450" s="13"/>
      <c r="K450" s="15" t="s">
        <v>2817</v>
      </c>
      <c r="L450" s="38" t="str">
        <f t="shared" si="10"/>
        <v>2026-04-14kfir@pickommerce.com</v>
      </c>
    </row>
    <row r="451" spans="1:12" ht="15" customHeight="1">
      <c r="A451" s="68">
        <f>IF(tblOutreachLog[[#This Row],[Interaction Date]]&lt;&gt;0,ROW()-1,"")</f>
        <v>450</v>
      </c>
      <c r="B451" s="13">
        <v>46126</v>
      </c>
      <c r="C451" s="15" t="s">
        <v>1829</v>
      </c>
      <c r="D451" s="63" t="str">
        <f>IFERROR(INDEX(Contacts!$B:$B,MATCH(C451,Contacts!$F:$F,0))&amp;" "&amp;INDEX(Contacts!$C:$C,MATCH(C451,Contacts!$F:$F,0)),"")</f>
        <v>תמר שפיר</v>
      </c>
      <c r="E451" s="64" t="str">
        <f>IFERROR(INDEX(Contacts!$E:$E,MATCH(C451,Contacts!$F:$F,0)),"")</f>
        <v>פלקס פרטנרס בע"מ</v>
      </c>
      <c r="F451" s="9" t="s">
        <v>9</v>
      </c>
      <c r="G451" t="s">
        <v>3369</v>
      </c>
      <c r="H451" s="15" t="s">
        <v>2105</v>
      </c>
      <c r="I451" s="13"/>
      <c r="J451" s="13"/>
      <c r="K451" s="15" t="s">
        <v>2817</v>
      </c>
      <c r="L451" s="38" t="str">
        <f t="shared" si="10"/>
        <v>2026-04-14tamar@flxpartners.com</v>
      </c>
    </row>
    <row r="452" spans="1:12" ht="15" customHeight="1">
      <c r="A452" s="68">
        <f>IF(tblOutreachLog[[#This Row],[Interaction Date]]&lt;&gt;0,ROW()-1,"")</f>
        <v>451</v>
      </c>
      <c r="B452" s="13">
        <v>46126</v>
      </c>
      <c r="C452" s="15" t="s">
        <v>1318</v>
      </c>
      <c r="D452" s="63" t="str">
        <f>IFERROR(INDEX(Contacts!$B:$B,MATCH(C452,Contacts!$F:$F,0))&amp;" "&amp;INDEX(Contacts!$C:$C,MATCH(C452,Contacts!$F:$F,0)),"")</f>
        <v>קרני אילן</v>
      </c>
      <c r="E452" s="64" t="str">
        <f>IFERROR(INDEX(Contacts!$E:$E,MATCH(C452,Contacts!$F:$F,0)),"")</f>
        <v>פמינאי בע"מ</v>
      </c>
      <c r="F452" s="9" t="s">
        <v>9</v>
      </c>
      <c r="G452" t="s">
        <v>3399</v>
      </c>
      <c r="H452" s="15" t="s">
        <v>2105</v>
      </c>
      <c r="I452" s="13"/>
      <c r="J452" s="13"/>
      <c r="K452" s="15" t="s">
        <v>2817</v>
      </c>
      <c r="L452" s="38" t="str">
        <f t="shared" si="10"/>
        <v>2026-04-14karnyilan@feminai.com</v>
      </c>
    </row>
    <row r="453" spans="1:12" ht="15" customHeight="1">
      <c r="A453" s="68">
        <f>IF(tblOutreachLog[[#This Row],[Interaction Date]]&lt;&gt;0,ROW()-1,"")</f>
        <v>452</v>
      </c>
      <c r="B453" s="13">
        <v>46126</v>
      </c>
      <c r="C453" s="15" t="s">
        <v>1075</v>
      </c>
      <c r="D453" s="63" t="str">
        <f>IFERROR(INDEX(Contacts!$B:$B,MATCH(C453,Contacts!$F:$F,0))&amp;" "&amp;INDEX(Contacts!$C:$C,MATCH(C453,Contacts!$F:$F,0)),"")</f>
        <v>איתי נוקד</v>
      </c>
      <c r="E453" s="64" t="str">
        <f>IFERROR(INDEX(Contacts!$E:$E,MATCH(C453,Contacts!$F:$F,0)),"")</f>
        <v>פרוט או אייצ' בע"מ</v>
      </c>
      <c r="F453" s="9" t="s">
        <v>9</v>
      </c>
      <c r="G453" t="s">
        <v>3365</v>
      </c>
      <c r="H453" s="15" t="s">
        <v>2105</v>
      </c>
      <c r="I453" s="13"/>
      <c r="J453" s="13"/>
      <c r="K453" s="15" t="s">
        <v>2817</v>
      </c>
      <c r="L453" s="38" t="str">
        <f t="shared" si="10"/>
        <v>2026-04-14fruitoh.co@gmail.com</v>
      </c>
    </row>
    <row r="454" spans="1:12" ht="15" customHeight="1">
      <c r="A454" s="68">
        <f>IF(tblOutreachLog[[#This Row],[Interaction Date]]&lt;&gt;0,ROW()-1,"")</f>
        <v>453</v>
      </c>
      <c r="B454" s="13">
        <v>46126</v>
      </c>
      <c r="C454" s="15" t="s">
        <v>1822</v>
      </c>
      <c r="D454" s="63" t="str">
        <f>IFERROR(INDEX(Contacts!$B:$B,MATCH(C454,Contacts!$F:$F,0))&amp;" "&amp;INDEX(Contacts!$C:$C,MATCH(C454,Contacts!$F:$F,0)),"")</f>
        <v>טל ידין</v>
      </c>
      <c r="E454" s="64" t="str">
        <f>IFERROR(INDEX(Contacts!$E:$E,MATCH(C454,Contacts!$F:$F,0)),"")</f>
        <v>פרופלור דרונס בע״מ</v>
      </c>
      <c r="F454" s="9" t="s">
        <v>9</v>
      </c>
      <c r="G454" t="s">
        <v>3394</v>
      </c>
      <c r="H454" s="15" t="s">
        <v>2105</v>
      </c>
      <c r="I454" s="13"/>
      <c r="J454" s="13"/>
      <c r="K454" s="15" t="s">
        <v>2817</v>
      </c>
      <c r="L454" s="38" t="str">
        <f t="shared" si="10"/>
        <v>2026-04-14tal@propeller-drones.com</v>
      </c>
    </row>
    <row r="455" spans="1:12" ht="15" customHeight="1">
      <c r="A455" s="68">
        <f>IF(tblOutreachLog[[#This Row],[Interaction Date]]&lt;&gt;0,ROW()-1,"")</f>
        <v>454</v>
      </c>
      <c r="B455" s="13">
        <v>46126</v>
      </c>
      <c r="C455" s="15" t="s">
        <v>2845</v>
      </c>
      <c r="D455" s="63" t="str">
        <f>IFERROR(INDEX(Contacts!$B:$B,MATCH(C455,Contacts!$F:$F,0))&amp;" "&amp;INDEX(Contacts!$C:$C,MATCH(C455,Contacts!$F:$F,0)),"")</f>
        <v>חנן בן רון</v>
      </c>
      <c r="E455" s="64" t="str">
        <f>IFERROR(INDEX(Contacts!$E:$E,MATCH(C455,Contacts!$F:$F,0)),"")</f>
        <v>פריסימוס טכנולוגיות בע"מ</v>
      </c>
      <c r="F455" s="9" t="s">
        <v>9</v>
      </c>
      <c r="G455" t="s">
        <v>3406</v>
      </c>
      <c r="H455" s="15" t="s">
        <v>2105</v>
      </c>
      <c r="I455" s="13"/>
      <c r="J455" s="13"/>
      <c r="K455" s="15" t="s">
        <v>2817</v>
      </c>
      <c r="L455" s="38" t="str">
        <f t="shared" si="10"/>
        <v>2026-04-14hanan@frisimos.com</v>
      </c>
    </row>
    <row r="456" spans="1:12" ht="15" customHeight="1">
      <c r="A456" s="68">
        <f>IF(tblOutreachLog[[#This Row],[Interaction Date]]&lt;&gt;0,ROW()-1,"")</f>
        <v>455</v>
      </c>
      <c r="B456" s="13">
        <v>46126</v>
      </c>
      <c r="C456" s="15" t="s">
        <v>2841</v>
      </c>
      <c r="D456" s="63" t="str">
        <f>IFERROR(INDEX(Contacts!$B:$B,MATCH(C456,Contacts!$F:$F,0))&amp;" "&amp;INDEX(Contacts!$C:$C,MATCH(C456,Contacts!$F:$F,0)),"")</f>
        <v>Tal Shklar</v>
      </c>
      <c r="E456" s="64" t="str">
        <f>IFERROR(INDEX(Contacts!$E:$E,MATCH(C456,Contacts!$F:$F,0)),"")</f>
        <v>פריסימוס טכנולוגיות בע"מ</v>
      </c>
      <c r="F456" s="9" t="s">
        <v>9</v>
      </c>
      <c r="G456" t="s">
        <v>3406</v>
      </c>
      <c r="H456" s="15" t="s">
        <v>2105</v>
      </c>
      <c r="I456" s="13"/>
      <c r="J456" s="13"/>
      <c r="K456" s="15" t="s">
        <v>2817</v>
      </c>
      <c r="L456" s="38" t="str">
        <f t="shared" si="10"/>
        <v>2026-04-14tal.shklar@frisimos.com</v>
      </c>
    </row>
    <row r="457" spans="1:12" ht="15" customHeight="1">
      <c r="A457" s="68">
        <f>IF(tblOutreachLog[[#This Row],[Interaction Date]]&lt;&gt;0,ROW()-1,"")</f>
        <v>456</v>
      </c>
      <c r="B457" s="13">
        <v>46126</v>
      </c>
      <c r="C457" s="15" t="s">
        <v>1816</v>
      </c>
      <c r="D457" s="63" t="str">
        <f>IFERROR(INDEX(Contacts!$B:$B,MATCH(C457,Contacts!$F:$F,0))&amp;" "&amp;INDEX(Contacts!$C:$C,MATCH(C457,Contacts!$F:$F,0)),"")</f>
        <v>טל פכטר</v>
      </c>
      <c r="E457" s="64" t="str">
        <f>IFERROR(INDEX(Contacts!$E:$E,MATCH(C457,Contacts!$F:$F,0)),"")</f>
        <v>פריסימוס טכנולוגיות בע"מ</v>
      </c>
      <c r="F457" s="9" t="s">
        <v>9</v>
      </c>
      <c r="G457" t="s">
        <v>3406</v>
      </c>
      <c r="H457" s="15" t="s">
        <v>2105</v>
      </c>
      <c r="I457" s="13"/>
      <c r="J457" s="13"/>
      <c r="K457" s="15" t="s">
        <v>2817</v>
      </c>
      <c r="L457" s="38" t="str">
        <f t="shared" si="10"/>
        <v>2026-04-14tal@frisimos.com</v>
      </c>
    </row>
    <row r="458" spans="1:12" ht="15" customHeight="1">
      <c r="A458" s="68">
        <f>IF(tblOutreachLog[[#This Row],[Interaction Date]]&lt;&gt;0,ROW()-1,"")</f>
        <v>457</v>
      </c>
      <c r="B458" s="13">
        <v>46126</v>
      </c>
      <c r="C458" s="15" t="s">
        <v>1803</v>
      </c>
      <c r="D458" s="63" t="str">
        <f>IFERROR(INDEX(Contacts!$B:$B,MATCH(C458,Contacts!$F:$F,0))&amp;" "&amp;INDEX(Contacts!$C:$C,MATCH(C458,Contacts!$F:$F,0)),"")</f>
        <v>סטס בנק</v>
      </c>
      <c r="E458" s="64" t="str">
        <f>IFERROR(INDEX(Contacts!$E:$E,MATCH(C458,Contacts!$F:$F,0)),"")</f>
        <v>פרסיב חישה מתקדמת בעמ</v>
      </c>
      <c r="F458" s="9" t="s">
        <v>9</v>
      </c>
      <c r="G458" t="s">
        <v>3365</v>
      </c>
      <c r="H458" s="15" t="s">
        <v>2105</v>
      </c>
      <c r="I458" s="13"/>
      <c r="J458" s="13"/>
      <c r="K458" s="15" t="s">
        <v>2817</v>
      </c>
      <c r="L458" s="38" t="str">
        <f t="shared" si="10"/>
        <v>2026-04-14stasb@perciv.tech</v>
      </c>
    </row>
    <row r="459" spans="1:12" ht="15" customHeight="1">
      <c r="A459" s="68">
        <f>IF(tblOutreachLog[[#This Row],[Interaction Date]]&lt;&gt;0,ROW()-1,"")</f>
        <v>458</v>
      </c>
      <c r="B459" s="13">
        <v>46126</v>
      </c>
      <c r="C459" s="15" t="s">
        <v>1903</v>
      </c>
      <c r="D459" s="63" t="str">
        <f>IFERROR(INDEX(Contacts!$B:$B,MATCH(C459,Contacts!$F:$F,0))&amp;" "&amp;INDEX(Contacts!$C:$C,MATCH(C459,Contacts!$F:$F,0)),"")</f>
        <v>יואלי אור</v>
      </c>
      <c r="E459" s="64" t="str">
        <f>IFERROR(INDEX(Contacts!$E:$E,MATCH(C459,Contacts!$F:$F,0)),"")</f>
        <v>קאנדו דרונס בע"מ</v>
      </c>
      <c r="F459" s="9" t="s">
        <v>9</v>
      </c>
      <c r="G459" t="s">
        <v>3365</v>
      </c>
      <c r="H459" s="15" t="s">
        <v>2105</v>
      </c>
      <c r="I459" s="13" t="s">
        <v>2807</v>
      </c>
      <c r="J459" s="13">
        <v>46172</v>
      </c>
      <c r="K459" s="15" t="s">
        <v>2819</v>
      </c>
      <c r="L459" s="38" t="str">
        <f t="shared" si="10"/>
        <v>2026-04-14yoelyo@cando.co.il</v>
      </c>
    </row>
    <row r="460" spans="1:12" ht="15" customHeight="1">
      <c r="A460" s="68">
        <f>IF(tblOutreachLog[[#This Row],[Interaction Date]]&lt;&gt;0,ROW()-1,"")</f>
        <v>459</v>
      </c>
      <c r="B460" s="13">
        <v>46126</v>
      </c>
      <c r="C460" s="15" t="s">
        <v>1856</v>
      </c>
      <c r="D460" s="63" t="str">
        <f>IFERROR(INDEX(Contacts!$B:$B,MATCH(C460,Contacts!$F:$F,0))&amp;" "&amp;INDEX(Contacts!$C:$C,MATCH(C460,Contacts!$F:$F,0)),"")</f>
        <v>ויקטוריה פרץ</v>
      </c>
      <c r="E460" s="64" t="str">
        <f>IFERROR(INDEX(Contacts!$E:$E,MATCH(C460,Contacts!$F:$F,0)),"")</f>
        <v>קאפאוו טכנולוגיות בע"מ</v>
      </c>
      <c r="F460" s="9" t="s">
        <v>9</v>
      </c>
      <c r="G460" t="s">
        <v>3409</v>
      </c>
      <c r="H460" s="15" t="s">
        <v>2105</v>
      </c>
      <c r="I460" s="13"/>
      <c r="J460" s="13"/>
      <c r="K460" s="15" t="s">
        <v>2817</v>
      </c>
      <c r="L460" s="38" t="str">
        <f t="shared" si="10"/>
        <v>2026-04-14vicky@capow-tech.com</v>
      </c>
    </row>
    <row r="461" spans="1:12" ht="15" customHeight="1">
      <c r="A461" s="68">
        <f>IF(tblOutreachLog[[#This Row],[Interaction Date]]&lt;&gt;0,ROW()-1,"")</f>
        <v>460</v>
      </c>
      <c r="B461" s="13">
        <v>46126</v>
      </c>
      <c r="C461" s="15" t="s">
        <v>1502</v>
      </c>
      <c r="D461" s="63" t="str">
        <f>IFERROR(INDEX(Contacts!$B:$B,MATCH(C461,Contacts!$F:$F,0))&amp;" "&amp;INDEX(Contacts!$C:$C,MATCH(C461,Contacts!$F:$F,0)),"")</f>
        <v>נמרוד זילחה</v>
      </c>
      <c r="E461" s="64" t="str">
        <f>IFERROR(INDEX(Contacts!$E:$E,MATCH(C461,Contacts!$F:$F,0)),"")</f>
        <v>קוגנישיין טיפול וחינוך בע"מ</v>
      </c>
      <c r="F461" s="9" t="s">
        <v>9</v>
      </c>
      <c r="G461" t="s">
        <v>3405</v>
      </c>
      <c r="H461" s="15" t="s">
        <v>2105</v>
      </c>
      <c r="I461" s="13"/>
      <c r="J461" s="13"/>
      <c r="K461" s="15" t="s">
        <v>2817</v>
      </c>
      <c r="L461" s="38" t="str">
        <f t="shared" si="10"/>
        <v>2026-04-14nimrod.zilcha@cognishine.com</v>
      </c>
    </row>
    <row r="462" spans="1:12" ht="15" customHeight="1">
      <c r="A462" s="68">
        <f>IF(tblOutreachLog[[#This Row],[Interaction Date]]&lt;&gt;0,ROW()-1,"")</f>
        <v>461</v>
      </c>
      <c r="B462" s="13">
        <v>46126</v>
      </c>
      <c r="C462" s="15" t="s">
        <v>1930</v>
      </c>
      <c r="D462" s="63" t="str">
        <f>IFERROR(INDEX(Contacts!$B:$B,MATCH(C462,Contacts!$F:$F,0))&amp;" "&amp;INDEX(Contacts!$C:$C,MATCH(C462,Contacts!$F:$F,0)),"")</f>
        <v>יובל שקלרש</v>
      </c>
      <c r="E462" s="64" t="str">
        <f>IFERROR(INDEX(Contacts!$E:$E,MATCH(C462,Contacts!$F:$F,0)),"")</f>
        <v>קודו מד</v>
      </c>
      <c r="F462" s="9" t="s">
        <v>9</v>
      </c>
      <c r="G462" t="s">
        <v>3406</v>
      </c>
      <c r="H462" s="15" t="s">
        <v>2105</v>
      </c>
      <c r="I462" s="13"/>
      <c r="J462" s="13"/>
      <c r="K462" s="15" t="s">
        <v>2817</v>
      </c>
      <c r="L462" s="38" t="str">
        <f t="shared" si="10"/>
        <v>2026-04-14yuval@kudumed.com</v>
      </c>
    </row>
    <row r="463" spans="1:12" ht="15" customHeight="1">
      <c r="A463" s="68">
        <f>IF(tblOutreachLog[[#This Row],[Interaction Date]]&lt;&gt;0,ROW()-1,"")</f>
        <v>462</v>
      </c>
      <c r="B463" s="13">
        <v>46126</v>
      </c>
      <c r="C463" s="15" t="s">
        <v>1784</v>
      </c>
      <c r="D463" s="63" t="str">
        <f>IFERROR(INDEX(Contacts!$B:$B,MATCH(C463,Contacts!$F:$F,0))&amp;" "&amp;INDEX(Contacts!$C:$C,MATCH(C463,Contacts!$F:$F,0)),"")</f>
        <v>שלומי עוזיאל</v>
      </c>
      <c r="E463" s="64" t="str">
        <f>IFERROR(INDEX(Contacts!$E:$E,MATCH(C463,Contacts!$F:$F,0)),"")</f>
        <v>קוואי אם די בע"מ</v>
      </c>
      <c r="F463" s="9" t="s">
        <v>9</v>
      </c>
      <c r="G463" t="s">
        <v>3394</v>
      </c>
      <c r="H463" s="15" t="s">
        <v>2105</v>
      </c>
      <c r="I463" s="13"/>
      <c r="J463" s="13"/>
      <c r="K463" s="15" t="s">
        <v>2817</v>
      </c>
      <c r="L463" s="38" t="str">
        <f t="shared" si="10"/>
        <v>2026-04-14shlomiu@quai.md</v>
      </c>
    </row>
    <row r="464" spans="1:12" ht="15" customHeight="1">
      <c r="A464" s="68">
        <f>IF(tblOutreachLog[[#This Row],[Interaction Date]]&lt;&gt;0,ROW()-1,"")</f>
        <v>463</v>
      </c>
      <c r="B464" s="13">
        <v>46126</v>
      </c>
      <c r="C464" s="15" t="s">
        <v>743</v>
      </c>
      <c r="D464" s="63" t="str">
        <f>IFERROR(INDEX(Contacts!$B:$B,MATCH(C464,Contacts!$F:$F,0))&amp;" "&amp;INDEX(Contacts!$C:$C,MATCH(C464,Contacts!$F:$F,0)),"")</f>
        <v>עדי כוסטה</v>
      </c>
      <c r="E464" s="64" t="str">
        <f>IFERROR(INDEX(Contacts!$E:$E,MATCH(C464,Contacts!$F:$F,0)),"")</f>
        <v>קופיילוט אמ.די בע"מ</v>
      </c>
      <c r="F464" s="9" t="s">
        <v>9</v>
      </c>
      <c r="G464" t="s">
        <v>3415</v>
      </c>
      <c r="H464" s="15" t="s">
        <v>2105</v>
      </c>
      <c r="I464" s="13"/>
      <c r="J464" s="13"/>
      <c r="K464" s="15" t="s">
        <v>2817</v>
      </c>
      <c r="L464" s="38" t="str">
        <f t="shared" si="10"/>
        <v>2026-04-14adi@copilotmd.ai</v>
      </c>
    </row>
    <row r="465" spans="1:12" ht="15" customHeight="1">
      <c r="A465" s="68">
        <f>IF(tblOutreachLog[[#This Row],[Interaction Date]]&lt;&gt;0,ROW()-1,"")</f>
        <v>464</v>
      </c>
      <c r="B465" s="13">
        <v>46126</v>
      </c>
      <c r="C465" s="15" t="s">
        <v>1824</v>
      </c>
      <c r="D465" s="63" t="str">
        <f>IFERROR(INDEX(Contacts!$B:$B,MATCH(C465,Contacts!$F:$F,0))&amp;" "&amp;INDEX(Contacts!$C:$C,MATCH(C465,Contacts!$F:$F,0)),"")</f>
        <v>טל גוברין</v>
      </c>
      <c r="E465" s="64" t="str">
        <f>IFERROR(INDEX(Contacts!$E:$E,MATCH(C465,Contacts!$F:$F,0)),"")</f>
        <v>קוקומודו בע״מ</v>
      </c>
      <c r="F465" s="9" t="s">
        <v>9</v>
      </c>
      <c r="G465" t="s">
        <v>3406</v>
      </c>
      <c r="H465" s="15" t="s">
        <v>2105</v>
      </c>
      <c r="I465" s="13"/>
      <c r="J465" s="13"/>
      <c r="K465" s="15" t="s">
        <v>2817</v>
      </c>
      <c r="L465" s="38" t="str">
        <f t="shared" ref="L465:L479" si="11">TEXT(B465,"YYYY-MM-DD")&amp;C465</f>
        <v>2026-04-14tal@thekokomodo.com</v>
      </c>
    </row>
    <row r="466" spans="1:12" ht="15" customHeight="1">
      <c r="A466" s="68">
        <f>IF(tblOutreachLog[[#This Row],[Interaction Date]]&lt;&gt;0,ROW()-1,"")</f>
        <v>465</v>
      </c>
      <c r="B466" s="13">
        <v>46126</v>
      </c>
      <c r="C466" s="15" t="s">
        <v>1228</v>
      </c>
      <c r="D466" s="63" t="str">
        <f>IFERROR(INDEX(Contacts!$B:$B,MATCH(C466,Contacts!$F:$F,0))&amp;" "&amp;INDEX(Contacts!$C:$C,MATCH(C466,Contacts!$F:$F,0)),"")</f>
        <v/>
      </c>
      <c r="E466" s="64" t="str">
        <f>IFERROR(INDEX(Contacts!$E:$E,MATCH(C466,Contacts!$F:$F,0)),"")</f>
        <v/>
      </c>
      <c r="F466" s="9" t="s">
        <v>9</v>
      </c>
      <c r="G466" t="s">
        <v>3393</v>
      </c>
      <c r="H466" s="15" t="s">
        <v>2105</v>
      </c>
      <c r="I466" s="13"/>
      <c r="J466" s="13"/>
      <c r="K466" s="15" t="s">
        <v>2817</v>
      </c>
      <c r="L466" s="38" t="str">
        <f t="shared" si="11"/>
        <v>2026-04-14info@kornit.com</v>
      </c>
    </row>
    <row r="467" spans="1:12" ht="15" customHeight="1">
      <c r="A467" s="68">
        <f>IF(tblOutreachLog[[#This Row],[Interaction Date]]&lt;&gt;0,ROW()-1,"")</f>
        <v>466</v>
      </c>
      <c r="B467" s="13">
        <v>46126</v>
      </c>
      <c r="C467" s="15" t="s">
        <v>1742</v>
      </c>
      <c r="D467" s="63" t="str">
        <f>IFERROR(INDEX(Contacts!$B:$B,MATCH(C467,Contacts!$F:$F,0))&amp;" "&amp;INDEX(Contacts!$C:$C,MATCH(C467,Contacts!$F:$F,0)),"")</f>
        <v>שדא אבו ראס</v>
      </c>
      <c r="E467" s="64" t="str">
        <f>IFERROR(INDEX(Contacts!$E:$E,MATCH(C467,Contacts!$F:$F,0)),"")</f>
        <v>קלוסר הלת׳קייר בע״מ</v>
      </c>
      <c r="F467" s="9" t="s">
        <v>9</v>
      </c>
      <c r="G467" t="s">
        <v>3365</v>
      </c>
      <c r="H467" s="15" t="s">
        <v>2105</v>
      </c>
      <c r="I467" s="13"/>
      <c r="J467" s="13"/>
      <c r="K467" s="15" t="s">
        <v>2817</v>
      </c>
      <c r="L467" s="38" t="str">
        <f t="shared" si="11"/>
        <v>2026-04-14shada.abu.rass@gmail.com</v>
      </c>
    </row>
    <row r="468" spans="1:12" ht="15" customHeight="1">
      <c r="A468" s="68">
        <f>IF(tblOutreachLog[[#This Row],[Interaction Date]]&lt;&gt;0,ROW()-1,"")</f>
        <v>467</v>
      </c>
      <c r="B468" s="13">
        <v>46126</v>
      </c>
      <c r="C468" s="15" t="s">
        <v>1558</v>
      </c>
      <c r="D468" s="63" t="str">
        <f>IFERROR(INDEX(Contacts!$B:$B,MATCH(C468,Contacts!$F:$F,0))&amp;" "&amp;INDEX(Contacts!$C:$C,MATCH(C468,Contacts!$F:$F,0)),"")</f>
        <v>עודד סקליטר</v>
      </c>
      <c r="E468" s="64" t="str">
        <f>IFERROR(INDEX(Contacts!$E:$E,MATCH(C468,Contacts!$F:$F,0)),"")</f>
        <v>קפסיבריד</v>
      </c>
      <c r="F468" s="9" t="s">
        <v>9</v>
      </c>
      <c r="G468" t="s">
        <v>3393</v>
      </c>
      <c r="H468" s="15" t="s">
        <v>2105</v>
      </c>
      <c r="I468" s="13"/>
      <c r="J468" s="13"/>
      <c r="K468" s="15" t="s">
        <v>2817</v>
      </c>
      <c r="L468" s="38" t="str">
        <f t="shared" si="11"/>
        <v>2026-04-14oded.skaliter@mail.huji.ac.il</v>
      </c>
    </row>
    <row r="469" spans="1:12" ht="15" customHeight="1">
      <c r="A469" s="68">
        <f>IF(tblOutreachLog[[#This Row],[Interaction Date]]&lt;&gt;0,ROW()-1,"")</f>
        <v>468</v>
      </c>
      <c r="B469" s="13">
        <v>46126</v>
      </c>
      <c r="C469" s="15" t="s">
        <v>851</v>
      </c>
      <c r="D469" s="63" t="str">
        <f>IFERROR(INDEX(Contacts!$B:$B,MATCH(C469,Contacts!$F:$F,0))&amp;" "&amp;INDEX(Contacts!$C:$C,MATCH(C469,Contacts!$F:$F,0)),"")</f>
        <v>אבי רובינשטיין</v>
      </c>
      <c r="E469" s="64" t="str">
        <f>IFERROR(INDEX(Contacts!$E:$E,MATCH(C469,Contacts!$F:$F,0)),"")</f>
        <v>קרדיונט בע"מ</v>
      </c>
      <c r="F469" s="9" t="s">
        <v>9</v>
      </c>
      <c r="G469" t="s">
        <v>3399</v>
      </c>
      <c r="H469" s="15" t="s">
        <v>2105</v>
      </c>
      <c r="I469" s="13"/>
      <c r="J469" s="13"/>
      <c r="K469" s="15" t="s">
        <v>2817</v>
      </c>
      <c r="L469" s="38" t="str">
        <f t="shared" si="11"/>
        <v>2026-04-14avi121@gmail.com</v>
      </c>
    </row>
    <row r="470" spans="1:12" ht="15" customHeight="1">
      <c r="A470" s="68">
        <f>IF(tblOutreachLog[[#This Row],[Interaction Date]]&lt;&gt;0,ROW()-1,"")</f>
        <v>469</v>
      </c>
      <c r="B470" s="13">
        <v>46126</v>
      </c>
      <c r="C470" s="15" t="s">
        <v>934</v>
      </c>
      <c r="D470" s="63" t="str">
        <f>IFERROR(INDEX(Contacts!$B:$B,MATCH(C470,Contacts!$F:$F,0))&amp;" "&amp;INDEX(Contacts!$C:$C,MATCH(C470,Contacts!$F:$F,0)),"")</f>
        <v>דפנה וינר</v>
      </c>
      <c r="E470" s="64" t="str">
        <f>IFERROR(INDEX(Contacts!$E:$E,MATCH(C470,Contacts!$F:$F,0)),"")</f>
        <v>קריאטרה אינוביישנס בע"מ</v>
      </c>
      <c r="F470" s="9" t="s">
        <v>9</v>
      </c>
      <c r="G470" t="s">
        <v>3406</v>
      </c>
      <c r="H470" s="15" t="s">
        <v>2105</v>
      </c>
      <c r="I470" s="13"/>
      <c r="J470" s="13"/>
      <c r="K470" s="15" t="s">
        <v>2817</v>
      </c>
      <c r="L470" s="38" t="str">
        <f t="shared" si="11"/>
        <v>2026-04-14daphna@criaterra.com</v>
      </c>
    </row>
    <row r="471" spans="1:12" ht="15" customHeight="1">
      <c r="A471" s="68">
        <f>IF(tblOutreachLog[[#This Row],[Interaction Date]]&lt;&gt;0,ROW()-1,"")</f>
        <v>470</v>
      </c>
      <c r="B471" s="13">
        <v>46126</v>
      </c>
      <c r="C471" s="15" t="s">
        <v>1089</v>
      </c>
      <c r="D471" s="63" t="str">
        <f>IFERROR(INDEX(Contacts!$B:$B,MATCH(C471,Contacts!$F:$F,0))&amp;" "&amp;INDEX(Contacts!$C:$C,MATCH(C471,Contacts!$F:$F,0)),"")</f>
        <v>גל יפה</v>
      </c>
      <c r="E471" s="64" t="str">
        <f>IFERROR(INDEX(Contacts!$E:$E,MATCH(C471,Contacts!$F:$F,0)),"")</f>
        <v>קריאיישן ספייס בע״מ</v>
      </c>
      <c r="F471" s="9" t="s">
        <v>9</v>
      </c>
      <c r="G471" t="s">
        <v>3402</v>
      </c>
      <c r="H471" s="15" t="s">
        <v>2105</v>
      </c>
      <c r="I471" s="13"/>
      <c r="J471" s="13"/>
      <c r="K471" s="15" t="s">
        <v>2817</v>
      </c>
      <c r="L471" s="38" t="str">
        <f t="shared" si="11"/>
        <v>2026-04-14gal.yoffe@xs2.space</v>
      </c>
    </row>
    <row r="472" spans="1:12" ht="15" customHeight="1">
      <c r="A472" s="68">
        <f>IF(tblOutreachLog[[#This Row],[Interaction Date]]&lt;&gt;0,ROW()-1,"")</f>
        <v>471</v>
      </c>
      <c r="B472" s="13">
        <v>46126</v>
      </c>
      <c r="C472" s="15" t="s">
        <v>1945</v>
      </c>
      <c r="D472" s="63" t="str">
        <f>IFERROR(INDEX(Contacts!$B:$B,MATCH(C472,Contacts!$F:$F,0))&amp;" "&amp;INDEX(Contacts!$C:$C,MATCH(C472,Contacts!$F:$F,0)),"")</f>
        <v>זוהר ברבי</v>
      </c>
      <c r="E472" s="64" t="str">
        <f>IFERROR(INDEX(Contacts!$E:$E,MATCH(C472,Contacts!$F:$F,0)),"")</f>
        <v>רדלר טכנולוגיות בערבון מוגבל</v>
      </c>
      <c r="F472" s="9" t="s">
        <v>9</v>
      </c>
      <c r="G472" t="s">
        <v>3409</v>
      </c>
      <c r="H472" s="15" t="s">
        <v>2105</v>
      </c>
      <c r="I472" s="13"/>
      <c r="J472" s="13"/>
      <c r="K472" s="15" t="s">
        <v>2817</v>
      </c>
      <c r="L472" s="38" t="str">
        <f t="shared" si="11"/>
        <v>2026-04-14zohar@redlertechnologies.com</v>
      </c>
    </row>
    <row r="473" spans="1:12" ht="15" customHeight="1">
      <c r="A473" s="68">
        <f>IF(tblOutreachLog[[#This Row],[Interaction Date]]&lt;&gt;0,ROW()-1,"")</f>
        <v>472</v>
      </c>
      <c r="B473" s="13">
        <v>46126</v>
      </c>
      <c r="C473" s="15" t="s">
        <v>1844</v>
      </c>
      <c r="D473" s="63" t="str">
        <f>IFERROR(INDEX(Contacts!$B:$B,MATCH(C473,Contacts!$F:$F,0))&amp;" "&amp;INDEX(Contacts!$C:$C,MATCH(C473,Contacts!$F:$F,0)),"")</f>
        <v>צביקה גרייבר</v>
      </c>
      <c r="E473" s="64" t="str">
        <f>IFERROR(INDEX(Contacts!$E:$E,MATCH(C473,Contacts!$F:$F,0)),"")</f>
        <v>רובושוט מערכות</v>
      </c>
      <c r="F473" s="9" t="s">
        <v>9</v>
      </c>
      <c r="G473" t="s">
        <v>3394</v>
      </c>
      <c r="H473" s="15" t="s">
        <v>2105</v>
      </c>
      <c r="I473" s="13"/>
      <c r="J473" s="13"/>
      <c r="K473" s="15" t="s">
        <v>2817</v>
      </c>
      <c r="L473" s="38" t="str">
        <f t="shared" si="11"/>
        <v>2026-04-14tzvika@robochute.com</v>
      </c>
    </row>
    <row r="474" spans="1:12" ht="15" customHeight="1">
      <c r="A474" s="68">
        <f>IF(tblOutreachLog[[#This Row],[Interaction Date]]&lt;&gt;0,ROW()-1,"")</f>
        <v>473</v>
      </c>
      <c r="B474" s="13">
        <v>46126</v>
      </c>
      <c r="C474" s="15" t="s">
        <v>1866</v>
      </c>
      <c r="D474" s="63" t="str">
        <f>IFERROR(INDEX(Contacts!$B:$B,MATCH(C474,Contacts!$F:$F,0))&amp;" "&amp;INDEX(Contacts!$C:$C,MATCH(C474,Contacts!$F:$F,0)),"")</f>
        <v>יעקב יניב דימינסקי</v>
      </c>
      <c r="E474" s="64" t="str">
        <f>IFERROR(INDEX(Contacts!$E:$E,MATCH(C474,Contacts!$F:$F,0)),"")</f>
        <v>רוד 2 חדשנות בע"מ</v>
      </c>
      <c r="F474" s="9" t="s">
        <v>9</v>
      </c>
      <c r="G474" t="s">
        <v>3369</v>
      </c>
      <c r="H474" s="15" t="s">
        <v>2105</v>
      </c>
      <c r="I474" s="13"/>
      <c r="J474" s="13"/>
      <c r="K474" s="15" t="s">
        <v>2817</v>
      </c>
      <c r="L474" s="38" t="str">
        <f t="shared" si="11"/>
        <v>2026-04-14yaakov.diminsky@road2.co.il</v>
      </c>
    </row>
    <row r="475" spans="1:12" ht="15" customHeight="1">
      <c r="A475" s="68">
        <f>IF(tblOutreachLog[[#This Row],[Interaction Date]]&lt;&gt;0,ROW()-1,"")</f>
        <v>474</v>
      </c>
      <c r="B475" s="13">
        <v>46126</v>
      </c>
      <c r="C475" s="15" t="s">
        <v>797</v>
      </c>
      <c r="D475" s="63" t="str">
        <f>IFERROR(INDEX(Contacts!$B:$B,MATCH(C475,Contacts!$F:$F,0))&amp;" "&amp;INDEX(Contacts!$C:$C,MATCH(C475,Contacts!$F:$F,0)),"")</f>
        <v>אמיר לויט</v>
      </c>
      <c r="E475" s="64" t="str">
        <f>IFERROR(INDEX(Contacts!$E:$E,MATCH(C475,Contacts!$F:$F,0)),"")</f>
        <v>רמוט אנרג'י בע"מ</v>
      </c>
      <c r="F475" s="9" t="s">
        <v>9</v>
      </c>
      <c r="G475" t="s">
        <v>3413</v>
      </c>
      <c r="H475" s="15" t="s">
        <v>2105</v>
      </c>
      <c r="I475" s="13"/>
      <c r="J475" s="13"/>
      <c r="K475" s="15" t="s">
        <v>2817</v>
      </c>
      <c r="L475" s="38" t="str">
        <f t="shared" si="11"/>
        <v>2026-04-14amir@remot.energy</v>
      </c>
    </row>
    <row r="476" spans="1:12" ht="15" customHeight="1">
      <c r="A476" s="68">
        <f>IF(tblOutreachLog[[#This Row],[Interaction Date]]&lt;&gt;0,ROW()-1,"")</f>
        <v>475</v>
      </c>
      <c r="B476" s="13">
        <v>46126</v>
      </c>
      <c r="C476" s="15" t="s">
        <v>1652</v>
      </c>
      <c r="D476" s="63" t="str">
        <f>IFERROR(INDEX(Contacts!$B:$B,MATCH(C476,Contacts!$F:$F,0))&amp;" "&amp;INDEX(Contacts!$C:$C,MATCH(C476,Contacts!$F:$F,0)),"")</f>
        <v>עידו פריאל</v>
      </c>
      <c r="E476" s="64" t="str">
        <f>IFERROR(INDEX(Contacts!$E:$E,MATCH(C476,Contacts!$F:$F,0)),"")</f>
        <v>רמונדו בע״מ</v>
      </c>
      <c r="F476" s="9" t="s">
        <v>9</v>
      </c>
      <c r="G476" t="s">
        <v>3365</v>
      </c>
      <c r="H476" s="15" t="s">
        <v>2105</v>
      </c>
      <c r="I476" s="13"/>
      <c r="J476" s="13"/>
      <c r="K476" s="15" t="s">
        <v>2817</v>
      </c>
      <c r="L476" s="38" t="str">
        <f t="shared" si="11"/>
        <v>2026-04-14priel.ido@remondo.com</v>
      </c>
    </row>
    <row r="477" spans="1:12" ht="15" customHeight="1">
      <c r="A477" s="68">
        <f>IF(tblOutreachLog[[#This Row],[Interaction Date]]&lt;&gt;0,ROW()-1,"")</f>
        <v>476</v>
      </c>
      <c r="B477" s="13">
        <v>46126</v>
      </c>
      <c r="C477" s="15" t="s">
        <v>1572</v>
      </c>
      <c r="D477" s="63" t="str">
        <f>IFERROR(INDEX(Contacts!$B:$B,MATCH(C477,Contacts!$F:$F,0))&amp;" "&amp;INDEX(Contacts!$C:$C,MATCH(C477,Contacts!$F:$F,0)),"")</f>
        <v>עופר באלין</v>
      </c>
      <c r="E477" s="64" t="str">
        <f>IFERROR(INDEX(Contacts!$E:$E,MATCH(C477,Contacts!$F:$F,0)),"")</f>
        <v>שיפטרס מערכות רובוטיות בע"מ</v>
      </c>
      <c r="F477" s="9" t="s">
        <v>9</v>
      </c>
      <c r="G477" t="s">
        <v>3372</v>
      </c>
      <c r="H477" s="15" t="s">
        <v>2105</v>
      </c>
      <c r="I477" s="13"/>
      <c r="J477" s="13"/>
      <c r="K477" s="15" t="s">
        <v>2817</v>
      </c>
      <c r="L477" s="38" t="str">
        <f t="shared" si="11"/>
        <v>2026-04-14ofer@shifters-ai.com</v>
      </c>
    </row>
    <row r="478" spans="1:12" ht="15" customHeight="1">
      <c r="A478" s="68">
        <f>IF(tblOutreachLog[[#This Row],[Interaction Date]]&lt;&gt;0,ROW()-1,"")</f>
        <v>477</v>
      </c>
      <c r="B478" s="13">
        <v>46126</v>
      </c>
      <c r="C478" s="15" t="s">
        <v>1423</v>
      </c>
      <c r="D478" s="63" t="str">
        <f>IFERROR(INDEX(Contacts!$B:$B,MATCH(C478,Contacts!$F:$F,0))&amp;" "&amp;INDEX(Contacts!$C:$C,MATCH(C478,Contacts!$F:$F,0)),"")</f>
        <v>אורי מלמד</v>
      </c>
      <c r="E478" s="64" t="str">
        <f>IFERROR(INDEX(Contacts!$E:$E,MATCH(C478,Contacts!$F:$F,0)),"")</f>
        <v>שלושה קירות בע"מ</v>
      </c>
      <c r="F478" s="9" t="s">
        <v>9</v>
      </c>
      <c r="G478" t="s">
        <v>3365</v>
      </c>
      <c r="H478" s="15" t="s">
        <v>2105</v>
      </c>
      <c r="I478" s="13"/>
      <c r="J478" s="13"/>
      <c r="K478" s="15" t="s">
        <v>2817</v>
      </c>
      <c r="L478" s="38" t="str">
        <f t="shared" si="11"/>
        <v>2026-04-14melamedori@gmail.com</v>
      </c>
    </row>
    <row r="479" spans="1:12" ht="15" customHeight="1">
      <c r="A479" s="68">
        <f>IF(tblOutreachLog[[#This Row],[Interaction Date]]&lt;&gt;0,ROW()-1,"")</f>
        <v>478</v>
      </c>
      <c r="B479" s="13">
        <v>46126</v>
      </c>
      <c r="C479" s="15" t="s">
        <v>1428</v>
      </c>
      <c r="D479" s="63" t="str">
        <f>IFERROR(INDEX(Contacts!$B:$B,MATCH(C479,Contacts!$F:$F,0))&amp;" "&amp;INDEX(Contacts!$C:$C,MATCH(C479,Contacts!$F:$F,0)),"")</f>
        <v>מנחם שרמן</v>
      </c>
      <c r="E479" s="64" t="str">
        <f>IFERROR(INDEX(Contacts!$E:$E,MATCH(C479,Contacts!$F:$F,0)),"")</f>
        <v>שרמן דיאגנוסטיקה בע"מ</v>
      </c>
      <c r="F479" s="9" t="s">
        <v>9</v>
      </c>
      <c r="G479" t="s">
        <v>3365</v>
      </c>
      <c r="H479" s="15" t="s">
        <v>2105</v>
      </c>
      <c r="I479" s="13"/>
      <c r="J479" s="13"/>
      <c r="K479" s="15" t="s">
        <v>2817</v>
      </c>
      <c r="L479" s="16" t="str">
        <f t="shared" si="11"/>
        <v>2026-04-14menny@shermandx.com</v>
      </c>
    </row>
    <row r="480" spans="1:12" ht="15" customHeight="1">
      <c r="A480" s="68">
        <f>IF(tblOutreachLog[[#This Row],[Interaction Date]]&lt;&gt;0,ROW()-1,"")</f>
        <v>479</v>
      </c>
      <c r="B480" s="13">
        <v>46126</v>
      </c>
      <c r="C480" s="15" t="s">
        <v>1517</v>
      </c>
      <c r="D480" s="63" t="str">
        <f>IFERROR(INDEX(Contacts!$B:$B,MATCH(C480,Contacts!$F:$F,0))&amp;" "&amp;INDEX(Contacts!$C:$C,MATCH(C480,Contacts!$F:$F,0)),"")</f>
        <v>ניר שן-טל</v>
      </c>
      <c r="E480" s="64" t="str">
        <f>IFERROR(INDEX(Contacts!$E:$E,MATCH(C480,Contacts!$F:$F,0)),"")</f>
        <v>Top i vision LTD</v>
      </c>
      <c r="F480" s="9" t="s">
        <v>9</v>
      </c>
      <c r="G480" s="15" t="s">
        <v>3418</v>
      </c>
      <c r="H480" s="15" t="s">
        <v>2105</v>
      </c>
      <c r="I480" s="13" t="s">
        <v>2807</v>
      </c>
      <c r="J480" s="13">
        <v>46128</v>
      </c>
      <c r="K480" s="15" t="s">
        <v>2817</v>
      </c>
      <c r="L480" s="16" t="str">
        <f>TEXT(B480,"YYYY-MM-DD")&amp;C480</f>
        <v>2026-04-14nir@topivision.com</v>
      </c>
    </row>
  </sheetData>
  <conditionalFormatting sqref="C303:C304">
    <cfRule type="duplicateValues" dxfId="0" priority="1"/>
  </conditionalFormatting>
  <dataValidations count="2">
    <dataValidation type="list" allowBlank="1" sqref="F2:F480" xr:uid="{00000000-0002-0000-0300-000000000000}">
      <formula1>TypeList</formula1>
      <formula2>0</formula2>
    </dataValidation>
    <dataValidation type="list" allowBlank="1" showInputMessage="1" showErrorMessage="1" sqref="K2:K480" xr:uid="{07FD33CA-AE3C-1948-92C6-D17FF8ECC32D}">
      <formula1>"Done, Waiting of answer, In Progress"</formula1>
    </dataValidation>
  </dataValidations>
  <hyperlinks>
    <hyperlink ref="C151" r:id="rId1" xr:uid="{3770B44D-5236-7346-B203-0E9D083B6955}"/>
    <hyperlink ref="C150" r:id="rId2" xr:uid="{64D5A977-42DA-ED4A-BFC5-E9B2F006493F}"/>
    <hyperlink ref="C235" r:id="rId3" xr:uid="{5FF97F51-EE65-2147-853F-7D63B6E0D7D5}"/>
    <hyperlink ref="C236" r:id="rId4" xr:uid="{C8CA66AA-F04D-4547-B3A3-C764B61913FF}"/>
    <hyperlink ref="C237" r:id="rId5" xr:uid="{9F651AD9-2FFC-FD44-A561-00CCEF2C7FE7}"/>
    <hyperlink ref="C231" r:id="rId6" xr:uid="{E534715B-C935-4FF6-9A15-431C22CB5ADF}"/>
    <hyperlink ref="C234" r:id="rId7" xr:uid="{8271BA37-8FBC-5F41-BE90-3526DDF8BBEC}"/>
    <hyperlink ref="C303" r:id="rId8" xr:uid="{385A92FF-C326-8444-8E21-FEB7A17E4219}"/>
  </hyperlinks>
  <pageMargins left="0.75" right="0.75" top="1" bottom="1" header="0.511811023622047" footer="0.511811023622047"/>
  <pageSetup paperSize="9" orientation="portrait" horizontalDpi="300" verticalDpi="300"/>
  <tableParts count="1">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AB8D23-370F-1040-9B06-B502CE3B7F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Lists</vt:lpstr>
      <vt:lpstr>Next Actions</vt:lpstr>
      <vt:lpstr>Companies</vt:lpstr>
      <vt:lpstr>Contacts</vt:lpstr>
      <vt:lpstr>Outreach Log</vt:lpstr>
      <vt:lpstr>LeadTypeList</vt:lpstr>
      <vt:lpstr>SourceList</vt:lpstr>
      <vt:lpstr>StageList</vt:lpstr>
      <vt:lpstr>TypeList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Shir Dee Noor | Neat</cp:lastModifiedBy>
  <cp:revision>0</cp:revision>
  <dcterms:created xsi:type="dcterms:W3CDTF">2026-03-15T14:43:08Z</dcterms:created>
  <dcterms:modified xsi:type="dcterms:W3CDTF">2026-04-15T11:07:13Z</dcterms:modified>
  <dc:language>en-US</dc:language>
</cp:coreProperties>
</file>